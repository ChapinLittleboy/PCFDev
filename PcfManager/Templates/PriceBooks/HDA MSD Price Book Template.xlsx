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llit2\Downloads\"/>
    </mc:Choice>
  </mc:AlternateContent>
  <xr:revisionPtr revIDLastSave="0" documentId="13_ncr:1_{FB50C9F9-F3A3-4ADC-81E3-F6D816973F94}" xr6:coauthVersionLast="47" xr6:coauthVersionMax="47" xr10:uidLastSave="{00000000-0000-0000-0000-000000000000}"/>
  <bookViews>
    <workbookView xWindow="28680" yWindow="-120" windowWidth="29040" windowHeight="15870" tabRatio="709" xr2:uid="{00000000-000D-0000-FFFF-FFFF00000000}"/>
  </bookViews>
  <sheets>
    <sheet name="6_1_2025 Price Book" sheetId="24" r:id="rId1"/>
    <sheet name="Accessories &amp; Replacement Parts" sheetId="25" r:id="rId2"/>
    <sheet name="Skus 12 &amp; 5 increase" sheetId="17" state="hidden" r:id="rId3"/>
  </sheets>
  <definedNames>
    <definedName name="_xlnm._FilterDatabase" localSheetId="1" hidden="1">'Accessories &amp; Replacement Parts'!$A$5:$D$5</definedName>
    <definedName name="ANCHOR_WS01">'6_1_2025 Price Book'!$A$3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7" i="17" l="1"/>
  <c r="AD106" i="17"/>
  <c r="AD105" i="17"/>
  <c r="AD98" i="17"/>
  <c r="AD99" i="17"/>
  <c r="AD100" i="17"/>
  <c r="AD101" i="17"/>
  <c r="AD102" i="17"/>
  <c r="AD103" i="17"/>
  <c r="AD104" i="17"/>
  <c r="AD97" i="17"/>
  <c r="AD96" i="17"/>
  <c r="AD93" i="17"/>
  <c r="AD92" i="17"/>
  <c r="AD91" i="17"/>
  <c r="AD83" i="17"/>
  <c r="AD84" i="17"/>
  <c r="AD85" i="17"/>
  <c r="AD86" i="17"/>
  <c r="AD87" i="17"/>
  <c r="AD88" i="17"/>
  <c r="AD89" i="17"/>
  <c r="AD82" i="17"/>
  <c r="AD95" i="17"/>
  <c r="AD94" i="17"/>
  <c r="AD90" i="17"/>
  <c r="AD80" i="17"/>
  <c r="AD81" i="17"/>
  <c r="AD79" i="17"/>
  <c r="S85" i="17" l="1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79" i="17"/>
  <c r="S105" i="17" s="1"/>
  <c r="S80" i="17"/>
  <c r="S81" i="17"/>
  <c r="S82" i="17"/>
  <c r="S83" i="17"/>
  <c r="S84" i="17"/>
  <c r="L92" i="17"/>
  <c r="U88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79" i="17"/>
  <c r="U83" i="17"/>
  <c r="S106" i="17" l="1"/>
  <c r="S107" i="17" s="1"/>
  <c r="K105" i="17"/>
  <c r="K106" i="17"/>
  <c r="G367" i="17"/>
  <c r="G364" i="17"/>
  <c r="G363" i="17"/>
  <c r="G362" i="17"/>
  <c r="G361" i="17"/>
  <c r="G293" i="17"/>
  <c r="G294" i="17"/>
  <c r="G295" i="17"/>
  <c r="G296" i="17"/>
  <c r="G297" i="17"/>
  <c r="G298" i="17"/>
  <c r="G299" i="17"/>
  <c r="G300" i="17"/>
  <c r="G301" i="17"/>
  <c r="G302" i="17"/>
  <c r="G303" i="17"/>
  <c r="G304" i="17"/>
  <c r="G305" i="17"/>
  <c r="G306" i="17"/>
  <c r="G307" i="17"/>
  <c r="G308" i="17"/>
  <c r="G309" i="17"/>
  <c r="G310" i="17"/>
  <c r="G311" i="17"/>
  <c r="G312" i="17"/>
  <c r="G313" i="17"/>
  <c r="G314" i="17"/>
  <c r="G315" i="17"/>
  <c r="G316" i="17"/>
  <c r="G317" i="17"/>
  <c r="G318" i="17"/>
  <c r="G319" i="17"/>
  <c r="G320" i="17"/>
  <c r="G321" i="17"/>
  <c r="G322" i="17"/>
  <c r="G323" i="17"/>
  <c r="G324" i="17"/>
  <c r="G325" i="17"/>
  <c r="G326" i="17"/>
  <c r="G327" i="17"/>
  <c r="G328" i="17"/>
  <c r="G329" i="17"/>
  <c r="G330" i="17"/>
  <c r="G331" i="17"/>
  <c r="G332" i="17"/>
  <c r="G333" i="17"/>
  <c r="G334" i="17"/>
  <c r="G335" i="17"/>
  <c r="G336" i="17"/>
  <c r="G337" i="17"/>
  <c r="G338" i="17"/>
  <c r="G339" i="17"/>
  <c r="G340" i="17"/>
  <c r="G341" i="17"/>
  <c r="G342" i="17"/>
  <c r="G343" i="17"/>
  <c r="G344" i="17"/>
  <c r="G345" i="17"/>
  <c r="G346" i="17"/>
  <c r="G347" i="17"/>
  <c r="G348" i="17"/>
  <c r="G349" i="17"/>
  <c r="G350" i="17"/>
  <c r="G351" i="17"/>
  <c r="G352" i="17"/>
  <c r="G353" i="17"/>
  <c r="G354" i="17"/>
  <c r="G355" i="17"/>
  <c r="G356" i="17"/>
  <c r="G357" i="17"/>
  <c r="G292" i="17"/>
  <c r="G271" i="17"/>
  <c r="G272" i="17"/>
  <c r="G273" i="17"/>
  <c r="G274" i="17"/>
  <c r="G275" i="17"/>
  <c r="G276" i="17"/>
  <c r="G277" i="17"/>
  <c r="G278" i="17"/>
  <c r="G279" i="17"/>
  <c r="G280" i="17"/>
  <c r="G281" i="17"/>
  <c r="G282" i="17"/>
  <c r="G283" i="17"/>
  <c r="G284" i="17"/>
  <c r="G285" i="17"/>
  <c r="G286" i="17"/>
  <c r="G287" i="17"/>
  <c r="G288" i="17"/>
  <c r="G289" i="17"/>
  <c r="G270" i="17"/>
  <c r="G267" i="17"/>
  <c r="G266" i="17"/>
  <c r="G265" i="17"/>
  <c r="G264" i="17"/>
  <c r="G243" i="17"/>
  <c r="G244" i="17"/>
  <c r="G245" i="17"/>
  <c r="G246" i="17"/>
  <c r="G247" i="17"/>
  <c r="G248" i="17"/>
  <c r="G249" i="17"/>
  <c r="G250" i="17"/>
  <c r="G251" i="17"/>
  <c r="G252" i="17"/>
  <c r="G253" i="17"/>
  <c r="G254" i="17"/>
  <c r="G255" i="17"/>
  <c r="G256" i="17"/>
  <c r="G257" i="17"/>
  <c r="G258" i="17"/>
  <c r="G259" i="17"/>
  <c r="G260" i="17"/>
  <c r="G261" i="17"/>
  <c r="G242" i="17"/>
  <c r="G239" i="17"/>
  <c r="G238" i="17"/>
  <c r="G237" i="17"/>
  <c r="G236" i="17"/>
  <c r="G228" i="17"/>
  <c r="G229" i="17"/>
  <c r="G230" i="17"/>
  <c r="G231" i="17"/>
  <c r="G232" i="17"/>
  <c r="G233" i="17"/>
  <c r="G227" i="17"/>
  <c r="G212" i="17"/>
  <c r="G213" i="17"/>
  <c r="G214" i="17"/>
  <c r="G215" i="17"/>
  <c r="G216" i="17"/>
  <c r="G217" i="17"/>
  <c r="G222" i="17"/>
  <c r="G221" i="17"/>
  <c r="G220" i="17"/>
  <c r="G211" i="17"/>
  <c r="G208" i="17"/>
  <c r="G205" i="17"/>
  <c r="G204" i="17"/>
  <c r="G203" i="17"/>
  <c r="G190" i="17"/>
  <c r="G191" i="17"/>
  <c r="G192" i="17"/>
  <c r="G193" i="17"/>
  <c r="G194" i="17"/>
  <c r="G195" i="17"/>
  <c r="G196" i="17"/>
  <c r="G197" i="17"/>
  <c r="G198" i="17"/>
  <c r="G199" i="17"/>
  <c r="G200" i="17"/>
  <c r="G189" i="17"/>
  <c r="G185" i="17"/>
  <c r="G184" i="17"/>
  <c r="G183" i="17"/>
  <c r="G182" i="17"/>
  <c r="G175" i="17"/>
  <c r="G176" i="17"/>
  <c r="G177" i="17"/>
  <c r="G178" i="17"/>
  <c r="G179" i="17"/>
  <c r="G174" i="17"/>
  <c r="G165" i="17"/>
  <c r="G166" i="17"/>
  <c r="G167" i="17"/>
  <c r="G168" i="17"/>
  <c r="G169" i="17"/>
  <c r="G170" i="17"/>
  <c r="G171" i="17"/>
  <c r="G172" i="17"/>
  <c r="G164" i="17"/>
  <c r="G155" i="17"/>
  <c r="G156" i="17"/>
  <c r="G157" i="17"/>
  <c r="G158" i="17"/>
  <c r="G159" i="17"/>
  <c r="G160" i="17"/>
  <c r="G161" i="17"/>
  <c r="G154" i="17"/>
  <c r="G151" i="17"/>
  <c r="G150" i="17"/>
  <c r="G149" i="17"/>
  <c r="G141" i="17"/>
  <c r="G142" i="17"/>
  <c r="G143" i="17"/>
  <c r="G144" i="17"/>
  <c r="G145" i="17"/>
  <c r="G146" i="17"/>
  <c r="G140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0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8" i="17"/>
  <c r="G79" i="17"/>
  <c r="G66" i="17"/>
  <c r="G65" i="17"/>
  <c r="G64" i="17"/>
  <c r="G69" i="17"/>
  <c r="G63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37" i="17"/>
  <c r="G24" i="17"/>
  <c r="G25" i="17"/>
  <c r="G26" i="17"/>
  <c r="G27" i="17"/>
  <c r="G28" i="17"/>
  <c r="G29" i="17"/>
  <c r="G30" i="17"/>
  <c r="G31" i="17"/>
  <c r="G32" i="17"/>
  <c r="G33" i="17"/>
  <c r="G34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5" i="17"/>
  <c r="AH81" i="17"/>
  <c r="AI81" i="17" s="1"/>
  <c r="AH79" i="17"/>
  <c r="AJ79" i="17" s="1"/>
  <c r="W80" i="17"/>
  <c r="AC80" i="17" s="1"/>
  <c r="W81" i="17"/>
  <c r="AC81" i="17" s="1"/>
  <c r="W82" i="17"/>
  <c r="AC82" i="17" s="1"/>
  <c r="W83" i="17"/>
  <c r="AC83" i="17" s="1"/>
  <c r="W84" i="17"/>
  <c r="AC84" i="17" s="1"/>
  <c r="W85" i="17"/>
  <c r="AC85" i="17" s="1"/>
  <c r="W86" i="17"/>
  <c r="AC86" i="17" s="1"/>
  <c r="W87" i="17"/>
  <c r="AC87" i="17" s="1"/>
  <c r="W88" i="17"/>
  <c r="AC88" i="17" s="1"/>
  <c r="W89" i="17"/>
  <c r="AC89" i="17" s="1"/>
  <c r="W90" i="17"/>
  <c r="W91" i="17"/>
  <c r="AC91" i="17" s="1"/>
  <c r="W92" i="17"/>
  <c r="AC92" i="17" s="1"/>
  <c r="W93" i="17"/>
  <c r="AC93" i="17" s="1"/>
  <c r="W94" i="17"/>
  <c r="AC94" i="17" s="1"/>
  <c r="W95" i="17"/>
  <c r="AC95" i="17" s="1"/>
  <c r="W96" i="17"/>
  <c r="AC96" i="17" s="1"/>
  <c r="W97" i="17"/>
  <c r="AC97" i="17" s="1"/>
  <c r="W98" i="17"/>
  <c r="AC98" i="17" s="1"/>
  <c r="W99" i="17"/>
  <c r="AC99" i="17" s="1"/>
  <c r="W100" i="17"/>
  <c r="AC100" i="17" s="1"/>
  <c r="W101" i="17"/>
  <c r="AC101" i="17" s="1"/>
  <c r="W102" i="17"/>
  <c r="AC102" i="17" s="1"/>
  <c r="W103" i="17"/>
  <c r="AC103" i="17" s="1"/>
  <c r="W104" i="17"/>
  <c r="AC104" i="17" s="1"/>
  <c r="W79" i="17"/>
  <c r="AC79" i="17" s="1"/>
  <c r="K107" i="17" l="1"/>
  <c r="AC106" i="17"/>
  <c r="Z90" i="17"/>
  <c r="AC90" i="17"/>
  <c r="AC105" i="17" s="1"/>
  <c r="AC107" i="17" s="1"/>
  <c r="AI79" i="17"/>
  <c r="AJ81" i="17"/>
  <c r="Z74" i="17"/>
  <c r="Z79" i="17"/>
  <c r="Z238" i="17"/>
  <c r="W20" i="17"/>
  <c r="Z20" i="17" s="1"/>
  <c r="W21" i="17"/>
  <c r="T21" i="17" s="1"/>
  <c r="W22" i="17"/>
  <c r="X22" i="17" s="1"/>
  <c r="W23" i="17"/>
  <c r="X23" i="17" s="1"/>
  <c r="W24" i="17"/>
  <c r="Z24" i="17" s="1"/>
  <c r="W25" i="17"/>
  <c r="X25" i="17" s="1"/>
  <c r="W26" i="17"/>
  <c r="Z26" i="17" s="1"/>
  <c r="Z82" i="17"/>
  <c r="T83" i="17"/>
  <c r="X79" i="17"/>
  <c r="X80" i="17"/>
  <c r="W157" i="17"/>
  <c r="T157" i="17" s="1"/>
  <c r="T80" i="17"/>
  <c r="T92" i="17"/>
  <c r="T93" i="17"/>
  <c r="T98" i="17"/>
  <c r="T100" i="17"/>
  <c r="T81" i="17"/>
  <c r="T84" i="17"/>
  <c r="X86" i="17"/>
  <c r="X87" i="17"/>
  <c r="X88" i="17"/>
  <c r="X89" i="17"/>
  <c r="Z91" i="17"/>
  <c r="Z92" i="17"/>
  <c r="T94" i="17"/>
  <c r="X95" i="17"/>
  <c r="T96" i="17"/>
  <c r="Z97" i="17"/>
  <c r="X98" i="17"/>
  <c r="X99" i="17"/>
  <c r="X100" i="17"/>
  <c r="X101" i="17"/>
  <c r="X104" i="17"/>
  <c r="W6" i="17"/>
  <c r="Z6" i="17" s="1"/>
  <c r="W7" i="17"/>
  <c r="X7" i="17" s="1"/>
  <c r="W8" i="17"/>
  <c r="X8" i="17" s="1"/>
  <c r="W9" i="17"/>
  <c r="T9" i="17" s="1"/>
  <c r="W10" i="17"/>
  <c r="Z10" i="17" s="1"/>
  <c r="W11" i="17"/>
  <c r="X11" i="17" s="1"/>
  <c r="W12" i="17"/>
  <c r="X12" i="17" s="1"/>
  <c r="W13" i="17"/>
  <c r="X13" i="17" s="1"/>
  <c r="W14" i="17"/>
  <c r="Z14" i="17" s="1"/>
  <c r="W15" i="17"/>
  <c r="Z15" i="17" s="1"/>
  <c r="W16" i="17"/>
  <c r="T16" i="17" s="1"/>
  <c r="W17" i="17"/>
  <c r="Z17" i="17" s="1"/>
  <c r="W18" i="17"/>
  <c r="X18" i="17" s="1"/>
  <c r="W19" i="17"/>
  <c r="X19" i="17" s="1"/>
  <c r="W27" i="17"/>
  <c r="T27" i="17" s="1"/>
  <c r="W28" i="17"/>
  <c r="X28" i="17" s="1"/>
  <c r="W29" i="17"/>
  <c r="Z29" i="17" s="1"/>
  <c r="W30" i="17"/>
  <c r="X30" i="17" s="1"/>
  <c r="W31" i="17"/>
  <c r="X31" i="17" s="1"/>
  <c r="W32" i="17"/>
  <c r="Z32" i="17" s="1"/>
  <c r="W33" i="17"/>
  <c r="X33" i="17" s="1"/>
  <c r="W34" i="17"/>
  <c r="Z34" i="17" s="1"/>
  <c r="W37" i="17"/>
  <c r="X37" i="17" s="1"/>
  <c r="W38" i="17"/>
  <c r="X38" i="17" s="1"/>
  <c r="W39" i="17"/>
  <c r="X39" i="17" s="1"/>
  <c r="W40" i="17"/>
  <c r="Z40" i="17" s="1"/>
  <c r="W41" i="17"/>
  <c r="Z41" i="17" s="1"/>
  <c r="W42" i="17"/>
  <c r="Z42" i="17" s="1"/>
  <c r="W43" i="17"/>
  <c r="Z43" i="17" s="1"/>
  <c r="W44" i="17"/>
  <c r="X44" i="17" s="1"/>
  <c r="W45" i="17"/>
  <c r="Z45" i="17" s="1"/>
  <c r="W46" i="17"/>
  <c r="T46" i="17" s="1"/>
  <c r="W47" i="17"/>
  <c r="Z47" i="17" s="1"/>
  <c r="W48" i="17"/>
  <c r="Z48" i="17" s="1"/>
  <c r="W49" i="17"/>
  <c r="Z49" i="17" s="1"/>
  <c r="W50" i="17"/>
  <c r="X50" i="17" s="1"/>
  <c r="W51" i="17"/>
  <c r="Z51" i="17" s="1"/>
  <c r="W52" i="17"/>
  <c r="X52" i="17" s="1"/>
  <c r="W53" i="17"/>
  <c r="X53" i="17" s="1"/>
  <c r="W54" i="17"/>
  <c r="X54" i="17" s="1"/>
  <c r="W55" i="17"/>
  <c r="X55" i="17" s="1"/>
  <c r="W56" i="17"/>
  <c r="X56" i="17" s="1"/>
  <c r="W57" i="17"/>
  <c r="Z57" i="17" s="1"/>
  <c r="W58" i="17"/>
  <c r="Z58" i="17" s="1"/>
  <c r="W59" i="17"/>
  <c r="T59" i="17" s="1"/>
  <c r="W60" i="17"/>
  <c r="Z60" i="17" s="1"/>
  <c r="W63" i="17"/>
  <c r="X63" i="17" s="1"/>
  <c r="W64" i="17"/>
  <c r="Z64" i="17" s="1"/>
  <c r="W65" i="17"/>
  <c r="T65" i="17" s="1"/>
  <c r="W66" i="17"/>
  <c r="Z66" i="17" s="1"/>
  <c r="W69" i="17"/>
  <c r="X69" i="17" s="1"/>
  <c r="W70" i="17"/>
  <c r="X70" i="17" s="1"/>
  <c r="W71" i="17"/>
  <c r="X71" i="17" s="1"/>
  <c r="W72" i="17"/>
  <c r="X72" i="17" s="1"/>
  <c r="W73" i="17"/>
  <c r="X73" i="17" s="1"/>
  <c r="W74" i="17"/>
  <c r="X74" i="17" s="1"/>
  <c r="W75" i="17"/>
  <c r="T75" i="17" s="1"/>
  <c r="W76" i="17"/>
  <c r="T76" i="17" s="1"/>
  <c r="X76" i="17"/>
  <c r="X92" i="17"/>
  <c r="X93" i="17"/>
  <c r="W108" i="17"/>
  <c r="Z108" i="17" s="1"/>
  <c r="W109" i="17"/>
  <c r="X109" i="17" s="1"/>
  <c r="W110" i="17"/>
  <c r="Z110" i="17" s="1"/>
  <c r="W111" i="17"/>
  <c r="X111" i="17" s="1"/>
  <c r="W112" i="17"/>
  <c r="X112" i="17" s="1"/>
  <c r="W113" i="17"/>
  <c r="Z113" i="17" s="1"/>
  <c r="W114" i="17"/>
  <c r="T114" i="17" s="1"/>
  <c r="W115" i="17"/>
  <c r="Z115" i="17" s="1"/>
  <c r="W116" i="17"/>
  <c r="Z116" i="17" s="1"/>
  <c r="W117" i="17"/>
  <c r="X117" i="17" s="1"/>
  <c r="W118" i="17"/>
  <c r="T118" i="17" s="1"/>
  <c r="W119" i="17"/>
  <c r="Z119" i="17" s="1"/>
  <c r="W120" i="17"/>
  <c r="T120" i="17" s="1"/>
  <c r="W121" i="17"/>
  <c r="Z121" i="17" s="1"/>
  <c r="W123" i="17"/>
  <c r="X123" i="17" s="1"/>
  <c r="W124" i="17"/>
  <c r="X124" i="17" s="1"/>
  <c r="W125" i="17"/>
  <c r="X125" i="17" s="1"/>
  <c r="W126" i="17"/>
  <c r="X126" i="17" s="1"/>
  <c r="W127" i="17"/>
  <c r="X127" i="17" s="1"/>
  <c r="W128" i="17"/>
  <c r="X128" i="17" s="1"/>
  <c r="W129" i="17"/>
  <c r="X129" i="17" s="1"/>
  <c r="W130" i="17"/>
  <c r="X130" i="17" s="1"/>
  <c r="W131" i="17"/>
  <c r="X131" i="17" s="1"/>
  <c r="W132" i="17"/>
  <c r="Z132" i="17" s="1"/>
  <c r="W133" i="17"/>
  <c r="X133" i="17" s="1"/>
  <c r="W134" i="17"/>
  <c r="X134" i="17" s="1"/>
  <c r="W135" i="17"/>
  <c r="X135" i="17" s="1"/>
  <c r="W136" i="17"/>
  <c r="Z136" i="17" s="1"/>
  <c r="W137" i="17"/>
  <c r="Z137" i="17" s="1"/>
  <c r="W140" i="17"/>
  <c r="X140" i="17" s="1"/>
  <c r="W141" i="17"/>
  <c r="X141" i="17" s="1"/>
  <c r="W142" i="17"/>
  <c r="T142" i="17" s="1"/>
  <c r="W143" i="17"/>
  <c r="X143" i="17" s="1"/>
  <c r="W144" i="17"/>
  <c r="X144" i="17" s="1"/>
  <c r="W145" i="17"/>
  <c r="X145" i="17" s="1"/>
  <c r="W146" i="17"/>
  <c r="X146" i="17" s="1"/>
  <c r="W149" i="17"/>
  <c r="Z149" i="17" s="1"/>
  <c r="X149" i="17"/>
  <c r="W150" i="17"/>
  <c r="T150" i="17" s="1"/>
  <c r="W151" i="17"/>
  <c r="X151" i="17" s="1"/>
  <c r="W154" i="17"/>
  <c r="Z154" i="17" s="1"/>
  <c r="W155" i="17"/>
  <c r="T155" i="17" s="1"/>
  <c r="W156" i="17"/>
  <c r="T156" i="17" s="1"/>
  <c r="W158" i="17"/>
  <c r="X158" i="17" s="1"/>
  <c r="W159" i="17"/>
  <c r="Z159" i="17" s="1"/>
  <c r="W160" i="17"/>
  <c r="T160" i="17" s="1"/>
  <c r="W161" i="17"/>
  <c r="X161" i="17" s="1"/>
  <c r="W164" i="17"/>
  <c r="X164" i="17" s="1"/>
  <c r="W165" i="17"/>
  <c r="Z165" i="17" s="1"/>
  <c r="W166" i="17"/>
  <c r="Z166" i="17" s="1"/>
  <c r="W167" i="17"/>
  <c r="X167" i="17" s="1"/>
  <c r="W168" i="17"/>
  <c r="T168" i="17" s="1"/>
  <c r="W169" i="17"/>
  <c r="Z169" i="17" s="1"/>
  <c r="W170" i="17"/>
  <c r="Z170" i="17" s="1"/>
  <c r="W171" i="17"/>
  <c r="Z171" i="17" s="1"/>
  <c r="W172" i="17"/>
  <c r="Z172" i="17" s="1"/>
  <c r="W174" i="17"/>
  <c r="X174" i="17" s="1"/>
  <c r="W175" i="17"/>
  <c r="X175" i="17" s="1"/>
  <c r="W176" i="17"/>
  <c r="X176" i="17" s="1"/>
  <c r="W177" i="17"/>
  <c r="X177" i="17" s="1"/>
  <c r="W178" i="17"/>
  <c r="Z178" i="17" s="1"/>
  <c r="W179" i="17"/>
  <c r="Z179" i="17" s="1"/>
  <c r="W182" i="17"/>
  <c r="X182" i="17" s="1"/>
  <c r="W183" i="17"/>
  <c r="Z183" i="17" s="1"/>
  <c r="W184" i="17"/>
  <c r="Z184" i="17" s="1"/>
  <c r="W185" i="17"/>
  <c r="Z185" i="17" s="1"/>
  <c r="W189" i="17"/>
  <c r="X189" i="17" s="1"/>
  <c r="W190" i="17"/>
  <c r="X190" i="17" s="1"/>
  <c r="W191" i="17"/>
  <c r="X191" i="17" s="1"/>
  <c r="W192" i="17"/>
  <c r="T192" i="17" s="1"/>
  <c r="W193" i="17"/>
  <c r="Z193" i="17" s="1"/>
  <c r="W194" i="17"/>
  <c r="Z194" i="17" s="1"/>
  <c r="W195" i="17"/>
  <c r="Z195" i="17" s="1"/>
  <c r="W196" i="17"/>
  <c r="Z196" i="17" s="1"/>
  <c r="W197" i="17"/>
  <c r="X197" i="17" s="1"/>
  <c r="W198" i="17"/>
  <c r="T198" i="17" s="1"/>
  <c r="W199" i="17"/>
  <c r="X199" i="17" s="1"/>
  <c r="W200" i="17"/>
  <c r="X200" i="17" s="1"/>
  <c r="W203" i="17"/>
  <c r="T203" i="17" s="1"/>
  <c r="W204" i="17"/>
  <c r="T204" i="17" s="1"/>
  <c r="W205" i="17"/>
  <c r="X205" i="17" s="1"/>
  <c r="W208" i="17"/>
  <c r="X208" i="17" s="1"/>
  <c r="W211" i="17"/>
  <c r="X211" i="17" s="1"/>
  <c r="W212" i="17"/>
  <c r="Z212" i="17" s="1"/>
  <c r="W213" i="17"/>
  <c r="Z213" i="17" s="1"/>
  <c r="W214" i="17"/>
  <c r="X214" i="17" s="1"/>
  <c r="W215" i="17"/>
  <c r="Z215" i="17" s="1"/>
  <c r="W216" i="17"/>
  <c r="X216" i="17" s="1"/>
  <c r="W217" i="17"/>
  <c r="X217" i="17" s="1"/>
  <c r="W220" i="17"/>
  <c r="X220" i="17" s="1"/>
  <c r="W221" i="17"/>
  <c r="Z221" i="17" s="1"/>
  <c r="W222" i="17"/>
  <c r="T222" i="17" s="1"/>
  <c r="W227" i="17"/>
  <c r="X227" i="17" s="1"/>
  <c r="W228" i="17"/>
  <c r="X228" i="17" s="1"/>
  <c r="W229" i="17"/>
  <c r="X229" i="17" s="1"/>
  <c r="W230" i="17"/>
  <c r="X230" i="17" s="1"/>
  <c r="W231" i="17"/>
  <c r="X231" i="17" s="1"/>
  <c r="W232" i="17"/>
  <c r="X232" i="17" s="1"/>
  <c r="W233" i="17"/>
  <c r="X233" i="17" s="1"/>
  <c r="W236" i="17"/>
  <c r="X236" i="17" s="1"/>
  <c r="W237" i="17"/>
  <c r="X237" i="17" s="1"/>
  <c r="W238" i="17"/>
  <c r="X238" i="17" s="1"/>
  <c r="W239" i="17"/>
  <c r="X239" i="17" s="1"/>
  <c r="W242" i="17"/>
  <c r="X242" i="17" s="1"/>
  <c r="W243" i="17"/>
  <c r="X243" i="17" s="1"/>
  <c r="W244" i="17"/>
  <c r="Z244" i="17" s="1"/>
  <c r="W245" i="17"/>
  <c r="X245" i="17" s="1"/>
  <c r="W246" i="17"/>
  <c r="Z246" i="17" s="1"/>
  <c r="W247" i="17"/>
  <c r="X247" i="17" s="1"/>
  <c r="W248" i="17"/>
  <c r="X248" i="17" s="1"/>
  <c r="W249" i="17"/>
  <c r="X249" i="17" s="1"/>
  <c r="W250" i="17"/>
  <c r="X250" i="17" s="1"/>
  <c r="W251" i="17"/>
  <c r="X251" i="17" s="1"/>
  <c r="W252" i="17"/>
  <c r="X252" i="17" s="1"/>
  <c r="W253" i="17"/>
  <c r="X253" i="17" s="1"/>
  <c r="W254" i="17"/>
  <c r="X254" i="17" s="1"/>
  <c r="W255" i="17"/>
  <c r="X255" i="17" s="1"/>
  <c r="W256" i="17"/>
  <c r="X256" i="17" s="1"/>
  <c r="W257" i="17"/>
  <c r="X257" i="17" s="1"/>
  <c r="W258" i="17"/>
  <c r="Z258" i="17" s="1"/>
  <c r="W259" i="17"/>
  <c r="X259" i="17" s="1"/>
  <c r="W260" i="17"/>
  <c r="X260" i="17" s="1"/>
  <c r="W261" i="17"/>
  <c r="X261" i="17" s="1"/>
  <c r="W264" i="17"/>
  <c r="Z264" i="17" s="1"/>
  <c r="W265" i="17"/>
  <c r="X265" i="17" s="1"/>
  <c r="W266" i="17"/>
  <c r="X266" i="17" s="1"/>
  <c r="W267" i="17"/>
  <c r="X267" i="17" s="1"/>
  <c r="W270" i="17"/>
  <c r="X270" i="17" s="1"/>
  <c r="W271" i="17"/>
  <c r="X271" i="17" s="1"/>
  <c r="W272" i="17"/>
  <c r="X272" i="17" s="1"/>
  <c r="W273" i="17"/>
  <c r="X273" i="17" s="1"/>
  <c r="W274" i="17"/>
  <c r="Z274" i="17" s="1"/>
  <c r="W275" i="17"/>
  <c r="Z275" i="17" s="1"/>
  <c r="W276" i="17"/>
  <c r="X276" i="17" s="1"/>
  <c r="W277" i="17"/>
  <c r="X277" i="17" s="1"/>
  <c r="W278" i="17"/>
  <c r="X278" i="17" s="1"/>
  <c r="W279" i="17"/>
  <c r="X279" i="17" s="1"/>
  <c r="W280" i="17"/>
  <c r="X280" i="17" s="1"/>
  <c r="W281" i="17"/>
  <c r="Z281" i="17" s="1"/>
  <c r="X281" i="17"/>
  <c r="W282" i="17"/>
  <c r="X282" i="17" s="1"/>
  <c r="W283" i="17"/>
  <c r="X283" i="17" s="1"/>
  <c r="W284" i="17"/>
  <c r="X284" i="17" s="1"/>
  <c r="W285" i="17"/>
  <c r="X285" i="17" s="1"/>
  <c r="W286" i="17"/>
  <c r="X286" i="17" s="1"/>
  <c r="W287" i="17"/>
  <c r="X287" i="17" s="1"/>
  <c r="W288" i="17"/>
  <c r="X288" i="17" s="1"/>
  <c r="W289" i="17"/>
  <c r="X289" i="17" s="1"/>
  <c r="W292" i="17"/>
  <c r="X292" i="17" s="1"/>
  <c r="W293" i="17"/>
  <c r="Z293" i="17" s="1"/>
  <c r="W294" i="17"/>
  <c r="Z294" i="17" s="1"/>
  <c r="X294" i="17"/>
  <c r="W295" i="17"/>
  <c r="X295" i="17" s="1"/>
  <c r="W296" i="17"/>
  <c r="X296" i="17" s="1"/>
  <c r="W297" i="17"/>
  <c r="X297" i="17" s="1"/>
  <c r="W298" i="17"/>
  <c r="X298" i="17" s="1"/>
  <c r="W299" i="17"/>
  <c r="X299" i="17" s="1"/>
  <c r="W300" i="17"/>
  <c r="Z300" i="17" s="1"/>
  <c r="W301" i="17"/>
  <c r="X301" i="17" s="1"/>
  <c r="W302" i="17"/>
  <c r="X302" i="17" s="1"/>
  <c r="W303" i="17"/>
  <c r="X303" i="17" s="1"/>
  <c r="W304" i="17"/>
  <c r="X304" i="17" s="1"/>
  <c r="W305" i="17"/>
  <c r="X305" i="17" s="1"/>
  <c r="W306" i="17"/>
  <c r="Z306" i="17" s="1"/>
  <c r="X306" i="17"/>
  <c r="W307" i="17"/>
  <c r="X307" i="17" s="1"/>
  <c r="W308" i="17"/>
  <c r="X308" i="17" s="1"/>
  <c r="W309" i="17"/>
  <c r="X309" i="17" s="1"/>
  <c r="W310" i="17"/>
  <c r="X310" i="17" s="1"/>
  <c r="W311" i="17"/>
  <c r="Z311" i="17" s="1"/>
  <c r="W312" i="17"/>
  <c r="X312" i="17" s="1"/>
  <c r="W313" i="17"/>
  <c r="X313" i="17" s="1"/>
  <c r="W314" i="17"/>
  <c r="X314" i="17" s="1"/>
  <c r="W315" i="17"/>
  <c r="X315" i="17" s="1"/>
  <c r="W316" i="17"/>
  <c r="Z316" i="17" s="1"/>
  <c r="X316" i="17"/>
  <c r="W317" i="17"/>
  <c r="X317" i="17" s="1"/>
  <c r="W318" i="17"/>
  <c r="X318" i="17" s="1"/>
  <c r="W319" i="17"/>
  <c r="X319" i="17" s="1"/>
  <c r="W320" i="17"/>
  <c r="X320" i="17" s="1"/>
  <c r="W321" i="17"/>
  <c r="X321" i="17" s="1"/>
  <c r="W322" i="17"/>
  <c r="X322" i="17" s="1"/>
  <c r="W323" i="17"/>
  <c r="Z323" i="17" s="1"/>
  <c r="W324" i="17"/>
  <c r="Z324" i="17" s="1"/>
  <c r="W325" i="17"/>
  <c r="X325" i="17" s="1"/>
  <c r="W326" i="17"/>
  <c r="X326" i="17" s="1"/>
  <c r="W327" i="17"/>
  <c r="X327" i="17" s="1"/>
  <c r="W328" i="17"/>
  <c r="X328" i="17" s="1"/>
  <c r="W329" i="17"/>
  <c r="Z329" i="17" s="1"/>
  <c r="W330" i="17"/>
  <c r="X330" i="17" s="1"/>
  <c r="W331" i="17"/>
  <c r="X331" i="17" s="1"/>
  <c r="W332" i="17"/>
  <c r="X332" i="17" s="1"/>
  <c r="W333" i="17"/>
  <c r="X333" i="17" s="1"/>
  <c r="W334" i="17"/>
  <c r="Z334" i="17" s="1"/>
  <c r="W335" i="17"/>
  <c r="X335" i="17" s="1"/>
  <c r="W336" i="17"/>
  <c r="X336" i="17" s="1"/>
  <c r="W337" i="17"/>
  <c r="X337" i="17" s="1"/>
  <c r="W338" i="17"/>
  <c r="X338" i="17" s="1"/>
  <c r="W339" i="17"/>
  <c r="X339" i="17" s="1"/>
  <c r="W340" i="17"/>
  <c r="X340" i="17" s="1"/>
  <c r="W341" i="17"/>
  <c r="Z341" i="17" s="1"/>
  <c r="W342" i="17"/>
  <c r="X342" i="17" s="1"/>
  <c r="W343" i="17"/>
  <c r="X343" i="17" s="1"/>
  <c r="W344" i="17"/>
  <c r="X344" i="17" s="1"/>
  <c r="W345" i="17"/>
  <c r="X345" i="17" s="1"/>
  <c r="W346" i="17"/>
  <c r="X346" i="17" s="1"/>
  <c r="W347" i="17"/>
  <c r="X347" i="17" s="1"/>
  <c r="W348" i="17"/>
  <c r="X348" i="17" s="1"/>
  <c r="W349" i="17"/>
  <c r="X349" i="17" s="1"/>
  <c r="W350" i="17"/>
  <c r="X350" i="17" s="1"/>
  <c r="W351" i="17"/>
  <c r="X351" i="17" s="1"/>
  <c r="W352" i="17"/>
  <c r="X352" i="17" s="1"/>
  <c r="W353" i="17"/>
  <c r="Z353" i="17" s="1"/>
  <c r="W354" i="17"/>
  <c r="Z354" i="17" s="1"/>
  <c r="W355" i="17"/>
  <c r="X355" i="17" s="1"/>
  <c r="W356" i="17"/>
  <c r="X356" i="17" s="1"/>
  <c r="W357" i="17"/>
  <c r="X357" i="17" s="1"/>
  <c r="W361" i="17"/>
  <c r="X361" i="17" s="1"/>
  <c r="W362" i="17"/>
  <c r="X362" i="17" s="1"/>
  <c r="W363" i="17"/>
  <c r="X363" i="17" s="1"/>
  <c r="W364" i="17"/>
  <c r="X364" i="17" s="1"/>
  <c r="W367" i="17"/>
  <c r="X367" i="17" s="1"/>
  <c r="W5" i="17"/>
  <c r="T5" i="17" s="1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Y34" i="17" s="1"/>
  <c r="U37" i="17"/>
  <c r="U38" i="17"/>
  <c r="U39" i="17"/>
  <c r="U40" i="17"/>
  <c r="U41" i="17"/>
  <c r="U42" i="17"/>
  <c r="U43" i="17"/>
  <c r="U44" i="17"/>
  <c r="U45" i="17"/>
  <c r="U46" i="17"/>
  <c r="U47" i="17"/>
  <c r="U48" i="17"/>
  <c r="Y48" i="17" s="1"/>
  <c r="U49" i="17"/>
  <c r="U50" i="17"/>
  <c r="U51" i="17"/>
  <c r="U52" i="17"/>
  <c r="U53" i="17"/>
  <c r="U54" i="17"/>
  <c r="U55" i="17"/>
  <c r="U56" i="17"/>
  <c r="U57" i="17"/>
  <c r="U58" i="17"/>
  <c r="Y58" i="17" s="1"/>
  <c r="U59" i="17"/>
  <c r="U60" i="17"/>
  <c r="U63" i="17"/>
  <c r="U64" i="17"/>
  <c r="U65" i="17"/>
  <c r="U66" i="17"/>
  <c r="U69" i="17"/>
  <c r="U70" i="17"/>
  <c r="U71" i="17"/>
  <c r="U72" i="17"/>
  <c r="U73" i="17"/>
  <c r="U74" i="17"/>
  <c r="U75" i="17"/>
  <c r="U76" i="17"/>
  <c r="U79" i="17"/>
  <c r="U80" i="17"/>
  <c r="U81" i="17"/>
  <c r="U82" i="17"/>
  <c r="Y82" i="17" s="1"/>
  <c r="Y83" i="17"/>
  <c r="U84" i="17"/>
  <c r="U85" i="17"/>
  <c r="U86" i="17"/>
  <c r="U87" i="17"/>
  <c r="U89" i="17"/>
  <c r="U90" i="17"/>
  <c r="U91" i="17"/>
  <c r="U92" i="17"/>
  <c r="U93" i="17"/>
  <c r="U94" i="17"/>
  <c r="Y94" i="17" s="1"/>
  <c r="U95" i="17"/>
  <c r="Y95" i="17" s="1"/>
  <c r="U96" i="17"/>
  <c r="U97" i="17"/>
  <c r="U98" i="17"/>
  <c r="U99" i="17"/>
  <c r="U100" i="17"/>
  <c r="U101" i="17"/>
  <c r="U102" i="17"/>
  <c r="U103" i="17"/>
  <c r="U104" i="17"/>
  <c r="U108" i="17"/>
  <c r="U109" i="17"/>
  <c r="U110" i="17"/>
  <c r="U111" i="17"/>
  <c r="U112" i="17"/>
  <c r="U113" i="17"/>
  <c r="U114" i="17"/>
  <c r="U115" i="17"/>
  <c r="U116" i="17"/>
  <c r="U117" i="17"/>
  <c r="U118" i="17"/>
  <c r="U119" i="17"/>
  <c r="U120" i="17"/>
  <c r="U121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40" i="17"/>
  <c r="U141" i="17"/>
  <c r="U142" i="17"/>
  <c r="U143" i="17"/>
  <c r="U144" i="17"/>
  <c r="U145" i="17"/>
  <c r="U146" i="17"/>
  <c r="U149" i="17"/>
  <c r="U150" i="17"/>
  <c r="U151" i="17"/>
  <c r="U154" i="17"/>
  <c r="U155" i="17"/>
  <c r="U156" i="17"/>
  <c r="U157" i="17"/>
  <c r="U158" i="17"/>
  <c r="U159" i="17"/>
  <c r="U160" i="17"/>
  <c r="U161" i="17"/>
  <c r="U164" i="17"/>
  <c r="U165" i="17"/>
  <c r="U166" i="17"/>
  <c r="U167" i="17"/>
  <c r="U168" i="17"/>
  <c r="U169" i="17"/>
  <c r="U170" i="17"/>
  <c r="U171" i="17"/>
  <c r="U172" i="17"/>
  <c r="U174" i="17"/>
  <c r="U175" i="17"/>
  <c r="U176" i="17"/>
  <c r="U177" i="17"/>
  <c r="U178" i="17"/>
  <c r="U179" i="17"/>
  <c r="U182" i="17"/>
  <c r="U183" i="17"/>
  <c r="U184" i="17"/>
  <c r="U185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3" i="17"/>
  <c r="U204" i="17"/>
  <c r="U205" i="17"/>
  <c r="U208" i="17"/>
  <c r="U211" i="17"/>
  <c r="U212" i="17"/>
  <c r="U213" i="17"/>
  <c r="U214" i="17"/>
  <c r="U215" i="17"/>
  <c r="U216" i="17"/>
  <c r="U217" i="17"/>
  <c r="U220" i="17"/>
  <c r="U221" i="17"/>
  <c r="U222" i="17"/>
  <c r="U227" i="17"/>
  <c r="U228" i="17"/>
  <c r="U229" i="17"/>
  <c r="U230" i="17"/>
  <c r="U231" i="17"/>
  <c r="U232" i="17"/>
  <c r="U233" i="17"/>
  <c r="U236" i="17"/>
  <c r="U237" i="17"/>
  <c r="U238" i="17"/>
  <c r="U239" i="17"/>
  <c r="U242" i="17"/>
  <c r="U243" i="17"/>
  <c r="U244" i="17"/>
  <c r="U245" i="17"/>
  <c r="U246" i="17"/>
  <c r="U247" i="17"/>
  <c r="U248" i="17"/>
  <c r="U249" i="17"/>
  <c r="U250" i="17"/>
  <c r="U251" i="17"/>
  <c r="U252" i="17"/>
  <c r="U253" i="17"/>
  <c r="U254" i="17"/>
  <c r="U255" i="17"/>
  <c r="U256" i="17"/>
  <c r="U257" i="17"/>
  <c r="U258" i="17"/>
  <c r="U259" i="17"/>
  <c r="U260" i="17"/>
  <c r="U261" i="17"/>
  <c r="U264" i="17"/>
  <c r="U265" i="17"/>
  <c r="U266" i="17"/>
  <c r="U267" i="17"/>
  <c r="U270" i="17"/>
  <c r="U271" i="17"/>
  <c r="U272" i="17"/>
  <c r="U273" i="17"/>
  <c r="U274" i="17"/>
  <c r="U275" i="17"/>
  <c r="U276" i="17"/>
  <c r="U277" i="17"/>
  <c r="U278" i="17"/>
  <c r="U279" i="17"/>
  <c r="U280" i="17"/>
  <c r="U281" i="17"/>
  <c r="U282" i="17"/>
  <c r="U283" i="17"/>
  <c r="U284" i="17"/>
  <c r="U285" i="17"/>
  <c r="U286" i="17"/>
  <c r="U287" i="17"/>
  <c r="U288" i="17"/>
  <c r="U289" i="17"/>
  <c r="U292" i="17"/>
  <c r="U293" i="17"/>
  <c r="U294" i="17"/>
  <c r="U295" i="17"/>
  <c r="U296" i="17"/>
  <c r="U297" i="17"/>
  <c r="U298" i="17"/>
  <c r="U299" i="17"/>
  <c r="U300" i="17"/>
  <c r="U301" i="17"/>
  <c r="U302" i="17"/>
  <c r="U303" i="17"/>
  <c r="U304" i="17"/>
  <c r="U305" i="17"/>
  <c r="U306" i="17"/>
  <c r="U307" i="17"/>
  <c r="U308" i="17"/>
  <c r="U309" i="17"/>
  <c r="U310" i="17"/>
  <c r="U311" i="17"/>
  <c r="U312" i="17"/>
  <c r="U313" i="17"/>
  <c r="U314" i="17"/>
  <c r="U315" i="17"/>
  <c r="U316" i="17"/>
  <c r="U317" i="17"/>
  <c r="U318" i="17"/>
  <c r="U319" i="17"/>
  <c r="U320" i="17"/>
  <c r="U321" i="17"/>
  <c r="U322" i="17"/>
  <c r="U323" i="17"/>
  <c r="U324" i="17"/>
  <c r="U325" i="17"/>
  <c r="U326" i="17"/>
  <c r="U327" i="17"/>
  <c r="U328" i="17"/>
  <c r="U329" i="17"/>
  <c r="U330" i="17"/>
  <c r="U331" i="17"/>
  <c r="U332" i="17"/>
  <c r="U333" i="17"/>
  <c r="U334" i="17"/>
  <c r="U335" i="17"/>
  <c r="U336" i="17"/>
  <c r="U337" i="17"/>
  <c r="U338" i="17"/>
  <c r="U339" i="17"/>
  <c r="U340" i="17"/>
  <c r="U341" i="17"/>
  <c r="U342" i="17"/>
  <c r="U343" i="17"/>
  <c r="U344" i="17"/>
  <c r="U345" i="17"/>
  <c r="U346" i="17"/>
  <c r="U347" i="17"/>
  <c r="U348" i="17"/>
  <c r="U349" i="17"/>
  <c r="U350" i="17"/>
  <c r="U351" i="17"/>
  <c r="U352" i="17"/>
  <c r="U353" i="17"/>
  <c r="U354" i="17"/>
  <c r="U355" i="17"/>
  <c r="U356" i="17"/>
  <c r="U357" i="17"/>
  <c r="U361" i="17"/>
  <c r="U362" i="17"/>
  <c r="U363" i="17"/>
  <c r="U364" i="17"/>
  <c r="U367" i="17"/>
  <c r="U5" i="17"/>
  <c r="N367" i="17"/>
  <c r="P367" i="17" s="1"/>
  <c r="L367" i="17"/>
  <c r="N364" i="17"/>
  <c r="P364" i="17" s="1"/>
  <c r="L364" i="17"/>
  <c r="N363" i="17"/>
  <c r="O363" i="17" s="1"/>
  <c r="L363" i="17"/>
  <c r="N362" i="17"/>
  <c r="P362" i="17" s="1"/>
  <c r="L362" i="17"/>
  <c r="N361" i="17"/>
  <c r="P361" i="17" s="1"/>
  <c r="L361" i="17"/>
  <c r="N357" i="17"/>
  <c r="N356" i="17"/>
  <c r="O356" i="17" s="1"/>
  <c r="N355" i="17"/>
  <c r="P355" i="17" s="1"/>
  <c r="N354" i="17"/>
  <c r="P354" i="17" s="1"/>
  <c r="N353" i="17"/>
  <c r="P353" i="17" s="1"/>
  <c r="N352" i="17"/>
  <c r="O352" i="17" s="1"/>
  <c r="N351" i="17"/>
  <c r="P351" i="17" s="1"/>
  <c r="N350" i="17"/>
  <c r="P350" i="17" s="1"/>
  <c r="N349" i="17"/>
  <c r="P349" i="17" s="1"/>
  <c r="N348" i="17"/>
  <c r="O348" i="17" s="1"/>
  <c r="N347" i="17"/>
  <c r="P347" i="17" s="1"/>
  <c r="N346" i="17"/>
  <c r="N345" i="17"/>
  <c r="P345" i="17" s="1"/>
  <c r="N344" i="17"/>
  <c r="O344" i="17" s="1"/>
  <c r="N343" i="17"/>
  <c r="P343" i="17" s="1"/>
  <c r="N342" i="17"/>
  <c r="P342" i="17" s="1"/>
  <c r="N341" i="17"/>
  <c r="N340" i="17"/>
  <c r="O340" i="17" s="1"/>
  <c r="N339" i="17"/>
  <c r="P339" i="17" s="1"/>
  <c r="N338" i="17"/>
  <c r="P338" i="17" s="1"/>
  <c r="N337" i="17"/>
  <c r="P337" i="17" s="1"/>
  <c r="N336" i="17"/>
  <c r="O336" i="17" s="1"/>
  <c r="N335" i="17"/>
  <c r="P335" i="17" s="1"/>
  <c r="N334" i="17"/>
  <c r="P334" i="17" s="1"/>
  <c r="N333" i="17"/>
  <c r="P333" i="17" s="1"/>
  <c r="N332" i="17"/>
  <c r="O332" i="17" s="1"/>
  <c r="N331" i="17"/>
  <c r="P331" i="17" s="1"/>
  <c r="N330" i="17"/>
  <c r="N329" i="17"/>
  <c r="O329" i="17" s="1"/>
  <c r="N328" i="17"/>
  <c r="O328" i="17" s="1"/>
  <c r="N327" i="17"/>
  <c r="P327" i="17" s="1"/>
  <c r="N326" i="17"/>
  <c r="P326" i="17" s="1"/>
  <c r="N325" i="17"/>
  <c r="N324" i="17"/>
  <c r="O324" i="17" s="1"/>
  <c r="N323" i="17"/>
  <c r="P323" i="17" s="1"/>
  <c r="N322" i="17"/>
  <c r="P322" i="17" s="1"/>
  <c r="N321" i="17"/>
  <c r="P321" i="17" s="1"/>
  <c r="N320" i="17"/>
  <c r="O320" i="17" s="1"/>
  <c r="N319" i="17"/>
  <c r="P319" i="17" s="1"/>
  <c r="N318" i="17"/>
  <c r="P318" i="17" s="1"/>
  <c r="N317" i="17"/>
  <c r="P317" i="17" s="1"/>
  <c r="N316" i="17"/>
  <c r="O316" i="17" s="1"/>
  <c r="N315" i="17"/>
  <c r="P315" i="17" s="1"/>
  <c r="N314" i="17"/>
  <c r="N313" i="17"/>
  <c r="O313" i="17" s="1"/>
  <c r="N312" i="17"/>
  <c r="O312" i="17" s="1"/>
  <c r="N311" i="17"/>
  <c r="P311" i="17" s="1"/>
  <c r="N310" i="17"/>
  <c r="O310" i="17" s="1"/>
  <c r="N309" i="17"/>
  <c r="N308" i="17"/>
  <c r="O308" i="17" s="1"/>
  <c r="N307" i="17"/>
  <c r="P307" i="17" s="1"/>
  <c r="N306" i="17"/>
  <c r="P306" i="17" s="1"/>
  <c r="N305" i="17"/>
  <c r="O305" i="17" s="1"/>
  <c r="N304" i="17"/>
  <c r="O304" i="17" s="1"/>
  <c r="N303" i="17"/>
  <c r="P303" i="17" s="1"/>
  <c r="N302" i="17"/>
  <c r="P302" i="17" s="1"/>
  <c r="N301" i="17"/>
  <c r="P301" i="17" s="1"/>
  <c r="N300" i="17"/>
  <c r="O300" i="17" s="1"/>
  <c r="N299" i="17"/>
  <c r="P299" i="17" s="1"/>
  <c r="N298" i="17"/>
  <c r="N297" i="17"/>
  <c r="P297" i="17" s="1"/>
  <c r="N296" i="17"/>
  <c r="O296" i="17" s="1"/>
  <c r="N295" i="17"/>
  <c r="P295" i="17" s="1"/>
  <c r="N294" i="17"/>
  <c r="P294" i="17" s="1"/>
  <c r="N293" i="17"/>
  <c r="N292" i="17"/>
  <c r="O292" i="17" s="1"/>
  <c r="N289" i="17"/>
  <c r="P289" i="17" s="1"/>
  <c r="N288" i="17"/>
  <c r="P288" i="17" s="1"/>
  <c r="N287" i="17"/>
  <c r="O287" i="17" s="1"/>
  <c r="N286" i="17"/>
  <c r="O286" i="17" s="1"/>
  <c r="N285" i="17"/>
  <c r="P285" i="17" s="1"/>
  <c r="N284" i="17"/>
  <c r="N283" i="17"/>
  <c r="P283" i="17" s="1"/>
  <c r="N282" i="17"/>
  <c r="O282" i="17" s="1"/>
  <c r="N281" i="17"/>
  <c r="P281" i="17" s="1"/>
  <c r="N280" i="17"/>
  <c r="P280" i="17" s="1"/>
  <c r="N279" i="17"/>
  <c r="P279" i="17" s="1"/>
  <c r="N278" i="17"/>
  <c r="P278" i="17" s="1"/>
  <c r="N277" i="17"/>
  <c r="P277" i="17" s="1"/>
  <c r="N276" i="17"/>
  <c r="P276" i="17" s="1"/>
  <c r="N275" i="17"/>
  <c r="P275" i="17" s="1"/>
  <c r="N274" i="17"/>
  <c r="O274" i="17" s="1"/>
  <c r="N273" i="17"/>
  <c r="P273" i="17" s="1"/>
  <c r="N272" i="17"/>
  <c r="P272" i="17" s="1"/>
  <c r="N271" i="17"/>
  <c r="N270" i="17"/>
  <c r="P270" i="17" s="1"/>
  <c r="N267" i="17"/>
  <c r="P267" i="17" s="1"/>
  <c r="N266" i="17"/>
  <c r="P266" i="17" s="1"/>
  <c r="N265" i="17"/>
  <c r="O265" i="17" s="1"/>
  <c r="N264" i="17"/>
  <c r="P264" i="17" s="1"/>
  <c r="N261" i="17"/>
  <c r="P261" i="17" s="1"/>
  <c r="N260" i="17"/>
  <c r="P260" i="17" s="1"/>
  <c r="N259" i="17"/>
  <c r="O259" i="17" s="1"/>
  <c r="N258" i="17"/>
  <c r="P258" i="17" s="1"/>
  <c r="N257" i="17"/>
  <c r="P257" i="17" s="1"/>
  <c r="N256" i="17"/>
  <c r="O256" i="17" s="1"/>
  <c r="N255" i="17"/>
  <c r="P255" i="17" s="1"/>
  <c r="N254" i="17"/>
  <c r="P254" i="17" s="1"/>
  <c r="N253" i="17"/>
  <c r="P253" i="17" s="1"/>
  <c r="N252" i="17"/>
  <c r="P252" i="17" s="1"/>
  <c r="N251" i="17"/>
  <c r="O251" i="17" s="1"/>
  <c r="N250" i="17"/>
  <c r="P250" i="17" s="1"/>
  <c r="N249" i="17"/>
  <c r="P249" i="17" s="1"/>
  <c r="N248" i="17"/>
  <c r="P248" i="17" s="1"/>
  <c r="N247" i="17"/>
  <c r="P247" i="17" s="1"/>
  <c r="N246" i="17"/>
  <c r="N245" i="17"/>
  <c r="P245" i="17" s="1"/>
  <c r="N244" i="17"/>
  <c r="P244" i="17" s="1"/>
  <c r="N243" i="17"/>
  <c r="N242" i="17"/>
  <c r="P242" i="17" s="1"/>
  <c r="N239" i="17"/>
  <c r="P239" i="17" s="1"/>
  <c r="N238" i="17"/>
  <c r="O238" i="17" s="1"/>
  <c r="N237" i="17"/>
  <c r="O237" i="17" s="1"/>
  <c r="N236" i="17"/>
  <c r="O236" i="17" s="1"/>
  <c r="N233" i="17"/>
  <c r="P233" i="17" s="1"/>
  <c r="N232" i="17"/>
  <c r="P232" i="17" s="1"/>
  <c r="M231" i="17"/>
  <c r="N231" i="17" s="1"/>
  <c r="L231" i="17"/>
  <c r="M230" i="17"/>
  <c r="N230" i="17" s="1"/>
  <c r="L230" i="17"/>
  <c r="M229" i="17"/>
  <c r="N229" i="17" s="1"/>
  <c r="L229" i="17"/>
  <c r="N228" i="17"/>
  <c r="P228" i="17" s="1"/>
  <c r="L228" i="17"/>
  <c r="N227" i="17"/>
  <c r="L227" i="17"/>
  <c r="M222" i="17"/>
  <c r="N222" i="17" s="1"/>
  <c r="O222" i="17" s="1"/>
  <c r="L222" i="17"/>
  <c r="M221" i="17"/>
  <c r="N221" i="17" s="1"/>
  <c r="P221" i="17" s="1"/>
  <c r="L221" i="17"/>
  <c r="M220" i="17"/>
  <c r="N220" i="17" s="1"/>
  <c r="L220" i="17"/>
  <c r="M217" i="17"/>
  <c r="N217" i="17" s="1"/>
  <c r="L217" i="17"/>
  <c r="M216" i="17"/>
  <c r="N216" i="17" s="1"/>
  <c r="L216" i="17"/>
  <c r="M215" i="17"/>
  <c r="N215" i="17" s="1"/>
  <c r="L215" i="17"/>
  <c r="M214" i="17"/>
  <c r="N214" i="17" s="1"/>
  <c r="L214" i="17"/>
  <c r="M213" i="17"/>
  <c r="N213" i="17" s="1"/>
  <c r="L213" i="17"/>
  <c r="M212" i="17"/>
  <c r="N212" i="17" s="1"/>
  <c r="O212" i="17" s="1"/>
  <c r="L212" i="17"/>
  <c r="M211" i="17"/>
  <c r="N211" i="17" s="1"/>
  <c r="L211" i="17"/>
  <c r="M208" i="17"/>
  <c r="N208" i="17" s="1"/>
  <c r="P208" i="17" s="1"/>
  <c r="L208" i="17"/>
  <c r="N205" i="17"/>
  <c r="P205" i="17" s="1"/>
  <c r="M204" i="17"/>
  <c r="N204" i="17" s="1"/>
  <c r="L204" i="17"/>
  <c r="N203" i="17"/>
  <c r="P203" i="17" s="1"/>
  <c r="N200" i="17"/>
  <c r="M199" i="17"/>
  <c r="N199" i="17" s="1"/>
  <c r="P199" i="17" s="1"/>
  <c r="L199" i="17"/>
  <c r="M198" i="17"/>
  <c r="N198" i="17" s="1"/>
  <c r="L198" i="17"/>
  <c r="M197" i="17"/>
  <c r="N197" i="17" s="1"/>
  <c r="L197" i="17"/>
  <c r="M196" i="17"/>
  <c r="N196" i="17" s="1"/>
  <c r="P196" i="17" s="1"/>
  <c r="L196" i="17"/>
  <c r="M195" i="17"/>
  <c r="N195" i="17" s="1"/>
  <c r="P195" i="17" s="1"/>
  <c r="L195" i="17"/>
  <c r="M194" i="17"/>
  <c r="N194" i="17" s="1"/>
  <c r="L194" i="17"/>
  <c r="M193" i="17"/>
  <c r="N193" i="17" s="1"/>
  <c r="P193" i="17" s="1"/>
  <c r="L193" i="17"/>
  <c r="M192" i="17"/>
  <c r="N192" i="17" s="1"/>
  <c r="L192" i="17"/>
  <c r="M191" i="17"/>
  <c r="N191" i="17" s="1"/>
  <c r="P191" i="17" s="1"/>
  <c r="L191" i="17"/>
  <c r="N190" i="17"/>
  <c r="P190" i="17" s="1"/>
  <c r="N189" i="17"/>
  <c r="N185" i="17"/>
  <c r="P185" i="17" s="1"/>
  <c r="N184" i="17"/>
  <c r="O184" i="17" s="1"/>
  <c r="N183" i="17"/>
  <c r="P183" i="17" s="1"/>
  <c r="N182" i="17"/>
  <c r="P182" i="17" s="1"/>
  <c r="N179" i="17"/>
  <c r="P179" i="17" s="1"/>
  <c r="L179" i="17"/>
  <c r="N178" i="17"/>
  <c r="O178" i="17" s="1"/>
  <c r="L178" i="17"/>
  <c r="N177" i="17"/>
  <c r="N176" i="17"/>
  <c r="O176" i="17" s="1"/>
  <c r="N175" i="17"/>
  <c r="P175" i="17" s="1"/>
  <c r="N174" i="17"/>
  <c r="P174" i="17" s="1"/>
  <c r="N172" i="17"/>
  <c r="L172" i="17"/>
  <c r="N171" i="17"/>
  <c r="O171" i="17" s="1"/>
  <c r="L171" i="17"/>
  <c r="N170" i="17"/>
  <c r="P170" i="17" s="1"/>
  <c r="L170" i="17"/>
  <c r="N169" i="17"/>
  <c r="L169" i="17"/>
  <c r="N168" i="17"/>
  <c r="O168" i="17" s="1"/>
  <c r="N167" i="17"/>
  <c r="O167" i="17" s="1"/>
  <c r="N166" i="17"/>
  <c r="P166" i="17" s="1"/>
  <c r="L166" i="17"/>
  <c r="N165" i="17"/>
  <c r="P165" i="17" s="1"/>
  <c r="N164" i="17"/>
  <c r="O164" i="17" s="1"/>
  <c r="L164" i="17"/>
  <c r="N161" i="17"/>
  <c r="P161" i="17" s="1"/>
  <c r="N160" i="17"/>
  <c r="N159" i="17"/>
  <c r="P159" i="17" s="1"/>
  <c r="N158" i="17"/>
  <c r="P158" i="17" s="1"/>
  <c r="N157" i="17"/>
  <c r="P157" i="17" s="1"/>
  <c r="N156" i="17"/>
  <c r="N155" i="17"/>
  <c r="O155" i="17" s="1"/>
  <c r="N154" i="17"/>
  <c r="O154" i="17" s="1"/>
  <c r="N151" i="17"/>
  <c r="P151" i="17" s="1"/>
  <c r="N150" i="17"/>
  <c r="N149" i="17"/>
  <c r="O149" i="17" s="1"/>
  <c r="N146" i="17"/>
  <c r="P146" i="17" s="1"/>
  <c r="L146" i="17"/>
  <c r="N145" i="17"/>
  <c r="P145" i="17" s="1"/>
  <c r="L145" i="17"/>
  <c r="N144" i="17"/>
  <c r="P144" i="17" s="1"/>
  <c r="L144" i="17"/>
  <c r="N143" i="17"/>
  <c r="N142" i="17"/>
  <c r="P142" i="17" s="1"/>
  <c r="N141" i="17"/>
  <c r="N140" i="17"/>
  <c r="O140" i="17" s="1"/>
  <c r="N137" i="17"/>
  <c r="P137" i="17" s="1"/>
  <c r="N136" i="17"/>
  <c r="P136" i="17" s="1"/>
  <c r="N135" i="17"/>
  <c r="N134" i="17"/>
  <c r="P134" i="17" s="1"/>
  <c r="N133" i="17"/>
  <c r="P133" i="17" s="1"/>
  <c r="N132" i="17"/>
  <c r="P132" i="17" s="1"/>
  <c r="N131" i="17"/>
  <c r="N130" i="17"/>
  <c r="N129" i="17"/>
  <c r="P129" i="17" s="1"/>
  <c r="N128" i="17"/>
  <c r="P128" i="17" s="1"/>
  <c r="N127" i="17"/>
  <c r="N126" i="17"/>
  <c r="O126" i="17" s="1"/>
  <c r="N125" i="17"/>
  <c r="P125" i="17" s="1"/>
  <c r="N124" i="17"/>
  <c r="P124" i="17" s="1"/>
  <c r="N123" i="17"/>
  <c r="M120" i="17"/>
  <c r="N120" i="17" s="1"/>
  <c r="L120" i="17"/>
  <c r="M119" i="17"/>
  <c r="N119" i="17" s="1"/>
  <c r="O119" i="17" s="1"/>
  <c r="L119" i="17"/>
  <c r="N118" i="17"/>
  <c r="P118" i="17" s="1"/>
  <c r="L118" i="17"/>
  <c r="N117" i="17"/>
  <c r="O117" i="17" s="1"/>
  <c r="N116" i="17"/>
  <c r="P116" i="17" s="1"/>
  <c r="N115" i="17"/>
  <c r="P115" i="17" s="1"/>
  <c r="N114" i="17"/>
  <c r="N113" i="17"/>
  <c r="P113" i="17" s="1"/>
  <c r="L113" i="17"/>
  <c r="N112" i="17"/>
  <c r="P112" i="17" s="1"/>
  <c r="L112" i="17"/>
  <c r="N111" i="17"/>
  <c r="P111" i="17" s="1"/>
  <c r="L111" i="17"/>
  <c r="N110" i="17"/>
  <c r="P110" i="17" s="1"/>
  <c r="L110" i="17"/>
  <c r="N109" i="17"/>
  <c r="P109" i="17" s="1"/>
  <c r="L109" i="17"/>
  <c r="N108" i="17"/>
  <c r="P108" i="17" s="1"/>
  <c r="L108" i="17"/>
  <c r="M104" i="17"/>
  <c r="N104" i="17" s="1"/>
  <c r="O104" i="17" s="1"/>
  <c r="L104" i="17"/>
  <c r="N103" i="17"/>
  <c r="L103" i="17"/>
  <c r="M102" i="17"/>
  <c r="N102" i="17" s="1"/>
  <c r="L102" i="17"/>
  <c r="N101" i="17"/>
  <c r="O101" i="17" s="1"/>
  <c r="L101" i="17"/>
  <c r="M100" i="17"/>
  <c r="N100" i="17" s="1"/>
  <c r="L100" i="17"/>
  <c r="N99" i="17"/>
  <c r="P99" i="17" s="1"/>
  <c r="L99" i="17"/>
  <c r="M98" i="17"/>
  <c r="N98" i="17" s="1"/>
  <c r="L98" i="17"/>
  <c r="N97" i="17"/>
  <c r="L97" i="17"/>
  <c r="N96" i="17"/>
  <c r="P96" i="17" s="1"/>
  <c r="L96" i="17"/>
  <c r="N95" i="17"/>
  <c r="O95" i="17" s="1"/>
  <c r="L95" i="17"/>
  <c r="N94" i="17"/>
  <c r="O94" i="17" s="1"/>
  <c r="L94" i="17"/>
  <c r="M93" i="17"/>
  <c r="N93" i="17" s="1"/>
  <c r="L93" i="17"/>
  <c r="N92" i="17"/>
  <c r="N91" i="17"/>
  <c r="O91" i="17" s="1"/>
  <c r="L91" i="17"/>
  <c r="M90" i="17"/>
  <c r="N90" i="17" s="1"/>
  <c r="L90" i="17"/>
  <c r="M89" i="17"/>
  <c r="N89" i="17" s="1"/>
  <c r="L89" i="17"/>
  <c r="M88" i="17"/>
  <c r="N88" i="17" s="1"/>
  <c r="L88" i="17"/>
  <c r="M87" i="17"/>
  <c r="N87" i="17" s="1"/>
  <c r="L87" i="17"/>
  <c r="N86" i="17"/>
  <c r="P86" i="17" s="1"/>
  <c r="L86" i="17"/>
  <c r="N85" i="17"/>
  <c r="P85" i="17" s="1"/>
  <c r="L85" i="17"/>
  <c r="N84" i="17"/>
  <c r="O84" i="17" s="1"/>
  <c r="L84" i="17"/>
  <c r="M83" i="17"/>
  <c r="N83" i="17" s="1"/>
  <c r="P83" i="17" s="1"/>
  <c r="L83" i="17"/>
  <c r="N82" i="17"/>
  <c r="P82" i="17" s="1"/>
  <c r="L82" i="17"/>
  <c r="N81" i="17"/>
  <c r="O81" i="17" s="1"/>
  <c r="L81" i="17"/>
  <c r="N80" i="17"/>
  <c r="P80" i="17" s="1"/>
  <c r="L80" i="17"/>
  <c r="N79" i="17"/>
  <c r="P79" i="17" s="1"/>
  <c r="L79" i="17"/>
  <c r="N76" i="17"/>
  <c r="P76" i="17" s="1"/>
  <c r="L76" i="17"/>
  <c r="N75" i="17"/>
  <c r="N74" i="17"/>
  <c r="O74" i="17" s="1"/>
  <c r="N73" i="17"/>
  <c r="O73" i="17" s="1"/>
  <c r="L73" i="17"/>
  <c r="N72" i="17"/>
  <c r="P72" i="17" s="1"/>
  <c r="L72" i="17"/>
  <c r="N71" i="17"/>
  <c r="P71" i="17" s="1"/>
  <c r="L71" i="17"/>
  <c r="N70" i="17"/>
  <c r="P70" i="17" s="1"/>
  <c r="N69" i="17"/>
  <c r="P69" i="17" s="1"/>
  <c r="N66" i="17"/>
  <c r="P66" i="17" s="1"/>
  <c r="N65" i="17"/>
  <c r="P65" i="17" s="1"/>
  <c r="L65" i="17"/>
  <c r="N64" i="17"/>
  <c r="P64" i="17" s="1"/>
  <c r="L64" i="17"/>
  <c r="N63" i="17"/>
  <c r="P63" i="17" s="1"/>
  <c r="L63" i="17"/>
  <c r="N60" i="17"/>
  <c r="O60" i="17" s="1"/>
  <c r="L60" i="17"/>
  <c r="N59" i="17"/>
  <c r="O59" i="17" s="1"/>
  <c r="L59" i="17"/>
  <c r="N58" i="17"/>
  <c r="P58" i="17" s="1"/>
  <c r="L58" i="17"/>
  <c r="N57" i="17"/>
  <c r="O57" i="17" s="1"/>
  <c r="L57" i="17"/>
  <c r="N56" i="17"/>
  <c r="P56" i="17" s="1"/>
  <c r="L56" i="17"/>
  <c r="N55" i="17"/>
  <c r="P55" i="17" s="1"/>
  <c r="L55" i="17"/>
  <c r="N54" i="17"/>
  <c r="P54" i="17" s="1"/>
  <c r="L54" i="17"/>
  <c r="N53" i="17"/>
  <c r="P53" i="17" s="1"/>
  <c r="L53" i="17"/>
  <c r="N52" i="17"/>
  <c r="P52" i="17" s="1"/>
  <c r="L52" i="17"/>
  <c r="N51" i="17"/>
  <c r="P51" i="17" s="1"/>
  <c r="L51" i="17"/>
  <c r="N50" i="17"/>
  <c r="P50" i="17" s="1"/>
  <c r="L50" i="17"/>
  <c r="N49" i="17"/>
  <c r="P49" i="17" s="1"/>
  <c r="L49" i="17"/>
  <c r="N48" i="17"/>
  <c r="O48" i="17" s="1"/>
  <c r="L48" i="17"/>
  <c r="N47" i="17"/>
  <c r="P47" i="17" s="1"/>
  <c r="L47" i="17"/>
  <c r="N46" i="17"/>
  <c r="P46" i="17" s="1"/>
  <c r="L46" i="17"/>
  <c r="N45" i="17"/>
  <c r="P45" i="17" s="1"/>
  <c r="L45" i="17"/>
  <c r="N44" i="17"/>
  <c r="P44" i="17" s="1"/>
  <c r="L44" i="17"/>
  <c r="N43" i="17"/>
  <c r="P43" i="17" s="1"/>
  <c r="L43" i="17"/>
  <c r="N42" i="17"/>
  <c r="P42" i="17" s="1"/>
  <c r="L42" i="17"/>
  <c r="N41" i="17"/>
  <c r="L41" i="17"/>
  <c r="N40" i="17"/>
  <c r="P40" i="17" s="1"/>
  <c r="L40" i="17"/>
  <c r="N39" i="17"/>
  <c r="P39" i="17" s="1"/>
  <c r="L39" i="17"/>
  <c r="N38" i="17"/>
  <c r="O38" i="17" s="1"/>
  <c r="L38" i="17"/>
  <c r="N37" i="17"/>
  <c r="P37" i="17" s="1"/>
  <c r="L37" i="17"/>
  <c r="N34" i="17"/>
  <c r="P34" i="17" s="1"/>
  <c r="N33" i="17"/>
  <c r="P33" i="17" s="1"/>
  <c r="N32" i="17"/>
  <c r="P32" i="17" s="1"/>
  <c r="N31" i="17"/>
  <c r="P31" i="17" s="1"/>
  <c r="N30" i="17"/>
  <c r="P30" i="17" s="1"/>
  <c r="L30" i="17"/>
  <c r="N29" i="17"/>
  <c r="P29" i="17" s="1"/>
  <c r="L29" i="17"/>
  <c r="N28" i="17"/>
  <c r="P28" i="17" s="1"/>
  <c r="L28" i="17"/>
  <c r="N27" i="17"/>
  <c r="N26" i="17"/>
  <c r="P26" i="17" s="1"/>
  <c r="N25" i="17"/>
  <c r="P25" i="17" s="1"/>
  <c r="N24" i="17"/>
  <c r="P24" i="17" s="1"/>
  <c r="N23" i="17"/>
  <c r="O23" i="17" s="1"/>
  <c r="N22" i="17"/>
  <c r="P22" i="17" s="1"/>
  <c r="N21" i="17"/>
  <c r="O21" i="17" s="1"/>
  <c r="N20" i="17"/>
  <c r="P20" i="17" s="1"/>
  <c r="N19" i="17"/>
  <c r="O19" i="17" s="1"/>
  <c r="N18" i="17"/>
  <c r="P18" i="17" s="1"/>
  <c r="N17" i="17"/>
  <c r="P17" i="17" s="1"/>
  <c r="N16" i="17"/>
  <c r="P16" i="17" s="1"/>
  <c r="N15" i="17"/>
  <c r="P15" i="17" s="1"/>
  <c r="N14" i="17"/>
  <c r="N13" i="17"/>
  <c r="O13" i="17" s="1"/>
  <c r="N12" i="17"/>
  <c r="P12" i="17" s="1"/>
  <c r="N11" i="17"/>
  <c r="P11" i="17" s="1"/>
  <c r="N10" i="17"/>
  <c r="O10" i="17" s="1"/>
  <c r="L10" i="17"/>
  <c r="N9" i="17"/>
  <c r="O9" i="17" s="1"/>
  <c r="L9" i="17"/>
  <c r="N8" i="17"/>
  <c r="P8" i="17" s="1"/>
  <c r="L8" i="17"/>
  <c r="N7" i="17"/>
  <c r="P7" i="17" s="1"/>
  <c r="L7" i="17"/>
  <c r="N6" i="17"/>
  <c r="P6" i="17" s="1"/>
  <c r="L6" i="17"/>
  <c r="N5" i="17"/>
  <c r="L5" i="17"/>
  <c r="Y302" i="17" l="1"/>
  <c r="T34" i="17"/>
  <c r="Z161" i="17"/>
  <c r="X324" i="17"/>
  <c r="Y124" i="17"/>
  <c r="Y322" i="17"/>
  <c r="Y287" i="17"/>
  <c r="Z229" i="17"/>
  <c r="X258" i="17"/>
  <c r="Z211" i="17"/>
  <c r="Y66" i="17"/>
  <c r="Z25" i="17"/>
  <c r="Y301" i="17"/>
  <c r="Y231" i="17"/>
  <c r="Y149" i="17"/>
  <c r="Y65" i="17"/>
  <c r="Y69" i="17"/>
  <c r="Y367" i="17"/>
  <c r="Y214" i="17"/>
  <c r="Y26" i="17"/>
  <c r="X323" i="17"/>
  <c r="X264" i="17"/>
  <c r="X157" i="17"/>
  <c r="X142" i="17"/>
  <c r="Z339" i="17"/>
  <c r="Z270" i="17"/>
  <c r="Y135" i="17"/>
  <c r="Y123" i="17"/>
  <c r="Y53" i="17"/>
  <c r="Y41" i="17"/>
  <c r="Y179" i="17"/>
  <c r="Y134" i="17"/>
  <c r="Y310" i="17"/>
  <c r="Y298" i="17"/>
  <c r="Y256" i="17"/>
  <c r="Y228" i="17"/>
  <c r="Y192" i="17"/>
  <c r="X168" i="17"/>
  <c r="Z239" i="17"/>
  <c r="Y133" i="17"/>
  <c r="Y160" i="17"/>
  <c r="Y222" i="17"/>
  <c r="Y172" i="17"/>
  <c r="X179" i="17"/>
  <c r="X154" i="17"/>
  <c r="Z352" i="17"/>
  <c r="Z140" i="17"/>
  <c r="Y353" i="17"/>
  <c r="Z131" i="17"/>
  <c r="Z308" i="17"/>
  <c r="Y154" i="17"/>
  <c r="Z304" i="17"/>
  <c r="Y238" i="17"/>
  <c r="P282" i="17"/>
  <c r="Y289" i="17"/>
  <c r="Y249" i="17"/>
  <c r="Y182" i="17"/>
  <c r="Y167" i="17"/>
  <c r="X27" i="17"/>
  <c r="Z271" i="17"/>
  <c r="Y248" i="17"/>
  <c r="Y150" i="17"/>
  <c r="Z142" i="17"/>
  <c r="Y313" i="17"/>
  <c r="Y247" i="17"/>
  <c r="Y165" i="17"/>
  <c r="Y39" i="17"/>
  <c r="Z7" i="17"/>
  <c r="Z292" i="17"/>
  <c r="Z227" i="17"/>
  <c r="Y323" i="17"/>
  <c r="Y176" i="17"/>
  <c r="Y145" i="17"/>
  <c r="Y63" i="17"/>
  <c r="X293" i="17"/>
  <c r="X46" i="17"/>
  <c r="X34" i="17"/>
  <c r="Z348" i="17"/>
  <c r="Z280" i="17"/>
  <c r="Z220" i="17"/>
  <c r="Z124" i="17"/>
  <c r="Z205" i="17"/>
  <c r="Y344" i="17"/>
  <c r="Y332" i="17"/>
  <c r="Y242" i="17"/>
  <c r="X354" i="17"/>
  <c r="X311" i="17"/>
  <c r="X204" i="17"/>
  <c r="T45" i="17"/>
  <c r="Z331" i="17"/>
  <c r="Z257" i="17"/>
  <c r="Z204" i="17"/>
  <c r="Z72" i="17"/>
  <c r="Z333" i="17"/>
  <c r="Y57" i="17"/>
  <c r="T41" i="17"/>
  <c r="Z330" i="17"/>
  <c r="Z255" i="17"/>
  <c r="Z70" i="17"/>
  <c r="Y280" i="17"/>
  <c r="Y252" i="17"/>
  <c r="X329" i="17"/>
  <c r="T56" i="17"/>
  <c r="Z321" i="17"/>
  <c r="Z254" i="17"/>
  <c r="Z176" i="17"/>
  <c r="Z63" i="17"/>
  <c r="X118" i="17"/>
  <c r="X65" i="17"/>
  <c r="X41" i="17"/>
  <c r="T71" i="17"/>
  <c r="Z320" i="17"/>
  <c r="Z252" i="17"/>
  <c r="Z174" i="17"/>
  <c r="Z59" i="17"/>
  <c r="Y292" i="17"/>
  <c r="X274" i="17"/>
  <c r="Z5" i="17"/>
  <c r="Z319" i="17"/>
  <c r="Z243" i="17"/>
  <c r="Z11" i="17"/>
  <c r="Y10" i="17"/>
  <c r="T22" i="17"/>
  <c r="T8" i="17"/>
  <c r="Y8" i="17"/>
  <c r="Z23" i="17"/>
  <c r="X17" i="17"/>
  <c r="T17" i="17"/>
  <c r="Y17" i="17"/>
  <c r="Z13" i="17"/>
  <c r="Z8" i="17"/>
  <c r="Y361" i="17"/>
  <c r="Y346" i="17"/>
  <c r="Y284" i="17"/>
  <c r="Y272" i="17"/>
  <c r="Z285" i="17"/>
  <c r="Y271" i="17"/>
  <c r="Y159" i="17"/>
  <c r="Y47" i="17"/>
  <c r="X9" i="17"/>
  <c r="T108" i="17"/>
  <c r="Z283" i="17"/>
  <c r="Z250" i="17"/>
  <c r="Z200" i="17"/>
  <c r="Z118" i="17"/>
  <c r="Z56" i="17"/>
  <c r="T44" i="17"/>
  <c r="Y259" i="17"/>
  <c r="Y108" i="17"/>
  <c r="T20" i="17"/>
  <c r="P13" i="17"/>
  <c r="O137" i="17"/>
  <c r="Y274" i="17"/>
  <c r="T214" i="17"/>
  <c r="Z129" i="17"/>
  <c r="Y285" i="17"/>
  <c r="T64" i="17"/>
  <c r="Z126" i="17"/>
  <c r="P292" i="17"/>
  <c r="Y281" i="17"/>
  <c r="Y171" i="17"/>
  <c r="Y31" i="17"/>
  <c r="T149" i="17"/>
  <c r="Z361" i="17"/>
  <c r="Z191" i="17"/>
  <c r="Z156" i="17"/>
  <c r="T143" i="17"/>
  <c r="Y348" i="17"/>
  <c r="Y296" i="17"/>
  <c r="Y142" i="17"/>
  <c r="Y343" i="17"/>
  <c r="Y295" i="17"/>
  <c r="Y114" i="17"/>
  <c r="Y330" i="17"/>
  <c r="Y306" i="17"/>
  <c r="Y200" i="17"/>
  <c r="Y170" i="17"/>
  <c r="T154" i="17"/>
  <c r="Z357" i="17"/>
  <c r="Z277" i="17"/>
  <c r="Z190" i="17"/>
  <c r="Y338" i="17"/>
  <c r="P149" i="17"/>
  <c r="Y118" i="17"/>
  <c r="T200" i="17"/>
  <c r="Z168" i="17"/>
  <c r="Y308" i="17"/>
  <c r="Y282" i="17"/>
  <c r="Y158" i="17"/>
  <c r="T140" i="17"/>
  <c r="Z362" i="17"/>
  <c r="Z157" i="17"/>
  <c r="Z54" i="17"/>
  <c r="Y331" i="17"/>
  <c r="X45" i="17"/>
  <c r="T53" i="17"/>
  <c r="Z22" i="17"/>
  <c r="Z355" i="17"/>
  <c r="Z236" i="17"/>
  <c r="Z145" i="17"/>
  <c r="Z76" i="17"/>
  <c r="Y168" i="17"/>
  <c r="X108" i="17"/>
  <c r="T50" i="17"/>
  <c r="T167" i="17"/>
  <c r="Z309" i="17"/>
  <c r="Z273" i="17"/>
  <c r="Z233" i="17"/>
  <c r="Z143" i="17"/>
  <c r="Z75" i="17"/>
  <c r="Y244" i="17"/>
  <c r="Y175" i="17"/>
  <c r="Y130" i="17"/>
  <c r="Y60" i="17"/>
  <c r="T184" i="17"/>
  <c r="T191" i="17"/>
  <c r="Z347" i="17"/>
  <c r="Z335" i="17"/>
  <c r="Z299" i="17"/>
  <c r="Z245" i="17"/>
  <c r="O66" i="17"/>
  <c r="Y345" i="17"/>
  <c r="Y333" i="17"/>
  <c r="Y297" i="17"/>
  <c r="Y283" i="17"/>
  <c r="Y255" i="17"/>
  <c r="Y243" i="17"/>
  <c r="Y227" i="17"/>
  <c r="Y191" i="17"/>
  <c r="Y129" i="17"/>
  <c r="Y101" i="17"/>
  <c r="Y59" i="17"/>
  <c r="Y9" i="17"/>
  <c r="X244" i="17"/>
  <c r="X215" i="17"/>
  <c r="X120" i="17"/>
  <c r="X51" i="17"/>
  <c r="T99" i="17"/>
  <c r="T63" i="17"/>
  <c r="T190" i="17"/>
  <c r="Z12" i="17"/>
  <c r="Z346" i="17"/>
  <c r="Z322" i="17"/>
  <c r="Z310" i="17"/>
  <c r="Z298" i="17"/>
  <c r="Z284" i="17"/>
  <c r="Z272" i="17"/>
  <c r="Z256" i="17"/>
  <c r="Z228" i="17"/>
  <c r="Z208" i="17"/>
  <c r="Z192" i="17"/>
  <c r="Z175" i="17"/>
  <c r="Z160" i="17"/>
  <c r="Z144" i="17"/>
  <c r="Z130" i="17"/>
  <c r="Z117" i="17"/>
  <c r="Z345" i="17"/>
  <c r="Z297" i="17"/>
  <c r="Z89" i="17"/>
  <c r="P328" i="17"/>
  <c r="Y203" i="17"/>
  <c r="X275" i="17"/>
  <c r="X198" i="17"/>
  <c r="X150" i="17"/>
  <c r="X119" i="17"/>
  <c r="X59" i="17"/>
  <c r="Y136" i="17"/>
  <c r="T69" i="17"/>
  <c r="T164" i="17"/>
  <c r="T216" i="17"/>
  <c r="Z356" i="17"/>
  <c r="Z344" i="17"/>
  <c r="Z332" i="17"/>
  <c r="Z296" i="17"/>
  <c r="Z282" i="17"/>
  <c r="Z242" i="17"/>
  <c r="Z222" i="17"/>
  <c r="Z158" i="17"/>
  <c r="Z128" i="17"/>
  <c r="Z100" i="17"/>
  <c r="Z46" i="17"/>
  <c r="Y266" i="17"/>
  <c r="Y30" i="17"/>
  <c r="X353" i="17"/>
  <c r="X184" i="17"/>
  <c r="X160" i="17"/>
  <c r="X137" i="17"/>
  <c r="X40" i="17"/>
  <c r="T51" i="17"/>
  <c r="T72" i="17"/>
  <c r="T215" i="17"/>
  <c r="Z33" i="17"/>
  <c r="Z21" i="17"/>
  <c r="Z9" i="17"/>
  <c r="Z343" i="17"/>
  <c r="Z307" i="17"/>
  <c r="Z295" i="17"/>
  <c r="Z267" i="17"/>
  <c r="Z253" i="17"/>
  <c r="Z203" i="17"/>
  <c r="Z189" i="17"/>
  <c r="Z141" i="17"/>
  <c r="Z127" i="17"/>
  <c r="Z114" i="17"/>
  <c r="Z99" i="17"/>
  <c r="Z87" i="17"/>
  <c r="Z73" i="17"/>
  <c r="T89" i="17"/>
  <c r="Z342" i="17"/>
  <c r="Z318" i="17"/>
  <c r="Z266" i="17"/>
  <c r="Z98" i="17"/>
  <c r="Z44" i="17"/>
  <c r="O258" i="17"/>
  <c r="X341" i="17"/>
  <c r="X222" i="17"/>
  <c r="X136" i="17"/>
  <c r="Y70" i="17"/>
  <c r="Y27" i="17"/>
  <c r="T88" i="17"/>
  <c r="T70" i="17"/>
  <c r="T146" i="17"/>
  <c r="T208" i="17"/>
  <c r="Z31" i="17"/>
  <c r="Z19" i="17"/>
  <c r="Z317" i="17"/>
  <c r="Z305" i="17"/>
  <c r="Z279" i="17"/>
  <c r="Z265" i="17"/>
  <c r="Z251" i="17"/>
  <c r="Z237" i="17"/>
  <c r="Z217" i="17"/>
  <c r="Z199" i="17"/>
  <c r="Z155" i="17"/>
  <c r="Z125" i="17"/>
  <c r="Z112" i="17"/>
  <c r="Z71" i="17"/>
  <c r="Z55" i="17"/>
  <c r="Y215" i="17"/>
  <c r="Y89" i="17"/>
  <c r="T145" i="17"/>
  <c r="Z30" i="17"/>
  <c r="Z18" i="17"/>
  <c r="Z340" i="17"/>
  <c r="Z328" i="17"/>
  <c r="Z278" i="17"/>
  <c r="Z216" i="17"/>
  <c r="Z198" i="17"/>
  <c r="Z111" i="17"/>
  <c r="Z96" i="17"/>
  <c r="Y314" i="17"/>
  <c r="Y288" i="17"/>
  <c r="Y276" i="17"/>
  <c r="Y260" i="17"/>
  <c r="Y232" i="17"/>
  <c r="Y121" i="17"/>
  <c r="Y52" i="17"/>
  <c r="Y40" i="17"/>
  <c r="Y14" i="17"/>
  <c r="T119" i="17"/>
  <c r="T199" i="17"/>
  <c r="Z37" i="17"/>
  <c r="Z351" i="17"/>
  <c r="Z327" i="17"/>
  <c r="Z315" i="17"/>
  <c r="Z303" i="17"/>
  <c r="Z289" i="17"/>
  <c r="Z261" i="17"/>
  <c r="Z249" i="17"/>
  <c r="Z197" i="17"/>
  <c r="Z182" i="17"/>
  <c r="Z167" i="17"/>
  <c r="Z151" i="17"/>
  <c r="Z135" i="17"/>
  <c r="Z123" i="17"/>
  <c r="Z95" i="17"/>
  <c r="Z83" i="17"/>
  <c r="Z69" i="17"/>
  <c r="Z53" i="17"/>
  <c r="O116" i="17"/>
  <c r="Y337" i="17"/>
  <c r="Y275" i="17"/>
  <c r="Y213" i="17"/>
  <c r="Y195" i="17"/>
  <c r="Y178" i="17"/>
  <c r="Y120" i="17"/>
  <c r="Y51" i="17"/>
  <c r="Y13" i="17"/>
  <c r="T79" i="17"/>
  <c r="T40" i="17"/>
  <c r="Z28" i="17"/>
  <c r="Z16" i="17"/>
  <c r="Z367" i="17"/>
  <c r="Z350" i="17"/>
  <c r="Z338" i="17"/>
  <c r="Z326" i="17"/>
  <c r="Z314" i="17"/>
  <c r="Z302" i="17"/>
  <c r="Z288" i="17"/>
  <c r="Z276" i="17"/>
  <c r="Z260" i="17"/>
  <c r="Z248" i="17"/>
  <c r="Z232" i="17"/>
  <c r="Z214" i="17"/>
  <c r="Z150" i="17"/>
  <c r="Z134" i="17"/>
  <c r="Z109" i="17"/>
  <c r="Z94" i="17"/>
  <c r="Z52" i="17"/>
  <c r="Y324" i="17"/>
  <c r="Y312" i="17"/>
  <c r="Y300" i="17"/>
  <c r="Y286" i="17"/>
  <c r="Y258" i="17"/>
  <c r="Y246" i="17"/>
  <c r="Y230" i="17"/>
  <c r="Y212" i="17"/>
  <c r="Y177" i="17"/>
  <c r="Y164" i="17"/>
  <c r="Y146" i="17"/>
  <c r="Y132" i="17"/>
  <c r="Y119" i="17"/>
  <c r="Y104" i="17"/>
  <c r="Y92" i="17"/>
  <c r="Y80" i="17"/>
  <c r="Y64" i="17"/>
  <c r="Y50" i="17"/>
  <c r="Y12" i="17"/>
  <c r="X300" i="17"/>
  <c r="X246" i="17"/>
  <c r="X192" i="17"/>
  <c r="X178" i="17"/>
  <c r="X155" i="17"/>
  <c r="X114" i="17"/>
  <c r="T104" i="17"/>
  <c r="T12" i="17"/>
  <c r="T39" i="17"/>
  <c r="T117" i="17"/>
  <c r="T141" i="17"/>
  <c r="T197" i="17"/>
  <c r="Z27" i="17"/>
  <c r="Z364" i="17"/>
  <c r="Z349" i="17"/>
  <c r="Z337" i="17"/>
  <c r="Z325" i="17"/>
  <c r="Z313" i="17"/>
  <c r="Z301" i="17"/>
  <c r="Z287" i="17"/>
  <c r="Z259" i="17"/>
  <c r="Z247" i="17"/>
  <c r="Z231" i="17"/>
  <c r="Z133" i="17"/>
  <c r="Z120" i="17"/>
  <c r="Z65" i="17"/>
  <c r="Z39" i="17"/>
  <c r="Y199" i="17"/>
  <c r="Y335" i="17"/>
  <c r="Y11" i="17"/>
  <c r="X203" i="17"/>
  <c r="X132" i="17"/>
  <c r="X75" i="17"/>
  <c r="X64" i="17"/>
  <c r="X16" i="17"/>
  <c r="T101" i="17"/>
  <c r="T11" i="17"/>
  <c r="T38" i="17"/>
  <c r="T111" i="17"/>
  <c r="T182" i="17"/>
  <c r="Z363" i="17"/>
  <c r="Z336" i="17"/>
  <c r="Z312" i="17"/>
  <c r="Z286" i="17"/>
  <c r="Z230" i="17"/>
  <c r="Z177" i="17"/>
  <c r="Z164" i="17"/>
  <c r="Z146" i="17"/>
  <c r="Z50" i="17"/>
  <c r="Z38" i="17"/>
  <c r="T221" i="17"/>
  <c r="X221" i="17"/>
  <c r="X194" i="17"/>
  <c r="T194" i="17"/>
  <c r="X169" i="17"/>
  <c r="T169" i="17"/>
  <c r="X116" i="17"/>
  <c r="T116" i="17"/>
  <c r="X66" i="17"/>
  <c r="T66" i="17"/>
  <c r="O158" i="17"/>
  <c r="P336" i="17"/>
  <c r="X115" i="17"/>
  <c r="T115" i="17"/>
  <c r="P81" i="17"/>
  <c r="Y194" i="17"/>
  <c r="P19" i="17"/>
  <c r="O250" i="17"/>
  <c r="P274" i="17"/>
  <c r="X6" i="17"/>
  <c r="T6" i="17"/>
  <c r="P178" i="17"/>
  <c r="P320" i="17"/>
  <c r="Y357" i="17"/>
  <c r="Y321" i="17"/>
  <c r="Y75" i="17"/>
  <c r="Y33" i="17"/>
  <c r="X165" i="17"/>
  <c r="T165" i="17"/>
  <c r="X42" i="17"/>
  <c r="T42" i="17"/>
  <c r="X15" i="17"/>
  <c r="T15" i="17"/>
  <c r="Y15" i="17"/>
  <c r="Y97" i="17"/>
  <c r="T97" i="17"/>
  <c r="Y85" i="17"/>
  <c r="T85" i="17"/>
  <c r="T7" i="17"/>
  <c r="P140" i="17"/>
  <c r="T87" i="17"/>
  <c r="X102" i="17"/>
  <c r="T102" i="17"/>
  <c r="X90" i="17"/>
  <c r="T90" i="17"/>
  <c r="T18" i="17"/>
  <c r="X82" i="17"/>
  <c r="T82" i="17"/>
  <c r="P9" i="17"/>
  <c r="P305" i="17"/>
  <c r="X193" i="17"/>
  <c r="T193" i="17"/>
  <c r="T26" i="17"/>
  <c r="X26" i="17"/>
  <c r="P284" i="17"/>
  <c r="O284" i="17"/>
  <c r="Y102" i="17"/>
  <c r="Y76" i="17"/>
  <c r="Y166" i="17"/>
  <c r="T166" i="17"/>
  <c r="X121" i="17"/>
  <c r="T121" i="17"/>
  <c r="X113" i="17"/>
  <c r="T113" i="17"/>
  <c r="Y356" i="17"/>
  <c r="Y254" i="17"/>
  <c r="Y32" i="17"/>
  <c r="X60" i="17"/>
  <c r="T60" i="17"/>
  <c r="X14" i="17"/>
  <c r="T14" i="17"/>
  <c r="P171" i="17"/>
  <c r="O244" i="17"/>
  <c r="P287" i="17"/>
  <c r="O321" i="17"/>
  <c r="P352" i="17"/>
  <c r="Y355" i="17"/>
  <c r="Y307" i="17"/>
  <c r="Y267" i="17"/>
  <c r="Y253" i="17"/>
  <c r="Y7" i="17"/>
  <c r="X29" i="17"/>
  <c r="T29" i="17"/>
  <c r="T33" i="17"/>
  <c r="Y354" i="17"/>
  <c r="Y140" i="17"/>
  <c r="X213" i="17"/>
  <c r="T213" i="17"/>
  <c r="X49" i="17"/>
  <c r="T49" i="17"/>
  <c r="P84" i="17"/>
  <c r="X212" i="17"/>
  <c r="T212" i="17"/>
  <c r="T172" i="17"/>
  <c r="X172" i="17"/>
  <c r="T58" i="17"/>
  <c r="X58" i="17"/>
  <c r="T55" i="17"/>
  <c r="T161" i="17"/>
  <c r="T189" i="17"/>
  <c r="O246" i="17"/>
  <c r="P246" i="17"/>
  <c r="Y198" i="17"/>
  <c r="Y196" i="17"/>
  <c r="T196" i="17"/>
  <c r="X196" i="17"/>
  <c r="X183" i="17"/>
  <c r="Y183" i="17"/>
  <c r="T183" i="17"/>
  <c r="X171" i="17"/>
  <c r="T171" i="17"/>
  <c r="X159" i="17"/>
  <c r="T159" i="17"/>
  <c r="X57" i="17"/>
  <c r="T57" i="17"/>
  <c r="X47" i="17"/>
  <c r="T47" i="17"/>
  <c r="X10" i="17"/>
  <c r="T10" i="17"/>
  <c r="Y151" i="17"/>
  <c r="T220" i="17"/>
  <c r="P259" i="17"/>
  <c r="X24" i="17"/>
  <c r="T24" i="17"/>
  <c r="Y90" i="17"/>
  <c r="X43" i="17"/>
  <c r="T43" i="17"/>
  <c r="X32" i="17"/>
  <c r="T32" i="17"/>
  <c r="T205" i="17"/>
  <c r="Y320" i="17"/>
  <c r="Y270" i="17"/>
  <c r="Y204" i="17"/>
  <c r="Y115" i="17"/>
  <c r="Y221" i="17"/>
  <c r="Y141" i="17"/>
  <c r="X185" i="17"/>
  <c r="T185" i="17"/>
  <c r="X110" i="17"/>
  <c r="T110" i="17"/>
  <c r="T86" i="17"/>
  <c r="T151" i="17"/>
  <c r="O130" i="17"/>
  <c r="P130" i="17"/>
  <c r="O342" i="17"/>
  <c r="Y220" i="17"/>
  <c r="Y113" i="17"/>
  <c r="Y42" i="17"/>
  <c r="T28" i="17"/>
  <c r="X48" i="17"/>
  <c r="T48" i="17"/>
  <c r="T25" i="17"/>
  <c r="O25" i="17"/>
  <c r="P167" i="17"/>
  <c r="O185" i="17"/>
  <c r="X195" i="17"/>
  <c r="T195" i="17"/>
  <c r="X170" i="17"/>
  <c r="T170" i="17"/>
  <c r="X103" i="17"/>
  <c r="T103" i="17"/>
  <c r="X91" i="17"/>
  <c r="T91" i="17"/>
  <c r="T19" i="17"/>
  <c r="T52" i="17"/>
  <c r="T112" i="17"/>
  <c r="T217" i="17"/>
  <c r="Y38" i="17"/>
  <c r="Y24" i="17"/>
  <c r="X81" i="17"/>
  <c r="T37" i="17"/>
  <c r="Y362" i="17"/>
  <c r="Y347" i="17"/>
  <c r="Y311" i="17"/>
  <c r="Y299" i="17"/>
  <c r="Y273" i="17"/>
  <c r="Y257" i="17"/>
  <c r="Y245" i="17"/>
  <c r="Y229" i="17"/>
  <c r="Y211" i="17"/>
  <c r="Y193" i="17"/>
  <c r="Y161" i="17"/>
  <c r="Y131" i="17"/>
  <c r="Y103" i="17"/>
  <c r="Y91" i="17"/>
  <c r="Y79" i="17"/>
  <c r="Y49" i="17"/>
  <c r="Y37" i="17"/>
  <c r="Y23" i="17"/>
  <c r="T23" i="17"/>
  <c r="T54" i="17"/>
  <c r="T109" i="17"/>
  <c r="T144" i="17"/>
  <c r="Y56" i="17"/>
  <c r="Y6" i="17"/>
  <c r="Y329" i="17"/>
  <c r="Y305" i="17"/>
  <c r="Y251" i="17"/>
  <c r="Y237" i="17"/>
  <c r="Y217" i="17"/>
  <c r="Y169" i="17"/>
  <c r="Y137" i="17"/>
  <c r="Y112" i="17"/>
  <c r="Y71" i="17"/>
  <c r="Y43" i="17"/>
  <c r="Y29" i="17"/>
  <c r="T31" i="17"/>
  <c r="T74" i="17"/>
  <c r="T158" i="17"/>
  <c r="O6" i="17"/>
  <c r="P236" i="17"/>
  <c r="Y340" i="17"/>
  <c r="Y316" i="17"/>
  <c r="Y278" i="17"/>
  <c r="Y264" i="17"/>
  <c r="Y236" i="17"/>
  <c r="Y16" i="17"/>
  <c r="X5" i="17"/>
  <c r="X156" i="17"/>
  <c r="T95" i="17"/>
  <c r="T30" i="17"/>
  <c r="T73" i="17"/>
  <c r="Y5" i="17"/>
  <c r="Y339" i="17"/>
  <c r="Y327" i="17"/>
  <c r="Y315" i="17"/>
  <c r="Y303" i="17"/>
  <c r="Y277" i="17"/>
  <c r="Y261" i="17"/>
  <c r="Y233" i="17"/>
  <c r="Y334" i="17"/>
  <c r="X94" i="17"/>
  <c r="T13" i="17"/>
  <c r="T211" i="17"/>
  <c r="Y25" i="17"/>
  <c r="Y22" i="17"/>
  <c r="X83" i="17"/>
  <c r="X20" i="17"/>
  <c r="Y21" i="17"/>
  <c r="X21" i="17"/>
  <c r="O198" i="17"/>
  <c r="P198" i="17"/>
  <c r="P231" i="17"/>
  <c r="O231" i="17"/>
  <c r="Y309" i="17"/>
  <c r="P59" i="17"/>
  <c r="O69" i="17"/>
  <c r="P75" i="17"/>
  <c r="O75" i="17"/>
  <c r="P238" i="17"/>
  <c r="Y350" i="17"/>
  <c r="Y197" i="17"/>
  <c r="O143" i="17"/>
  <c r="P143" i="17"/>
  <c r="O278" i="17"/>
  <c r="P308" i="17"/>
  <c r="O353" i="17"/>
  <c r="P363" i="17"/>
  <c r="Y208" i="17"/>
  <c r="Y144" i="17"/>
  <c r="Y117" i="17"/>
  <c r="Y351" i="17"/>
  <c r="Y184" i="17"/>
  <c r="Y155" i="17"/>
  <c r="Y125" i="17"/>
  <c r="Y55" i="17"/>
  <c r="Y110" i="17"/>
  <c r="O32" i="17"/>
  <c r="O80" i="17"/>
  <c r="O193" i="17"/>
  <c r="P313" i="17"/>
  <c r="Y364" i="17"/>
  <c r="Y109" i="17"/>
  <c r="Y28" i="17"/>
  <c r="P101" i="17"/>
  <c r="O217" i="17"/>
  <c r="P217" i="17"/>
  <c r="Y363" i="17"/>
  <c r="Y336" i="17"/>
  <c r="O41" i="17"/>
  <c r="P41" i="17"/>
  <c r="P73" i="17"/>
  <c r="P237" i="17"/>
  <c r="O254" i="17"/>
  <c r="P332" i="17"/>
  <c r="X166" i="17"/>
  <c r="Y54" i="17"/>
  <c r="P21" i="17"/>
  <c r="P344" i="17"/>
  <c r="Y174" i="17"/>
  <c r="Y190" i="17"/>
  <c r="Y128" i="17"/>
  <c r="Y74" i="17"/>
  <c r="Y46" i="17"/>
  <c r="Y20" i="17"/>
  <c r="X334" i="17"/>
  <c r="O20" i="17"/>
  <c r="O34" i="17"/>
  <c r="P74" i="17"/>
  <c r="O190" i="17"/>
  <c r="P200" i="17"/>
  <c r="O200" i="17"/>
  <c r="P316" i="17"/>
  <c r="P324" i="17"/>
  <c r="Y349" i="17"/>
  <c r="Y325" i="17"/>
  <c r="O133" i="17"/>
  <c r="O270" i="17"/>
  <c r="Y319" i="17"/>
  <c r="Y239" i="17"/>
  <c r="Y205" i="17"/>
  <c r="Y143" i="17"/>
  <c r="Y116" i="17"/>
  <c r="P94" i="17"/>
  <c r="P300" i="17"/>
  <c r="Y342" i="17"/>
  <c r="Y318" i="17"/>
  <c r="Y294" i="17"/>
  <c r="O50" i="17"/>
  <c r="O337" i="17"/>
  <c r="Y341" i="17"/>
  <c r="Y317" i="17"/>
  <c r="Y293" i="17"/>
  <c r="Y279" i="17"/>
  <c r="Y265" i="17"/>
  <c r="Y189" i="17"/>
  <c r="Y157" i="17"/>
  <c r="Y127" i="17"/>
  <c r="Y73" i="17"/>
  <c r="Y45" i="17"/>
  <c r="Y19" i="17"/>
  <c r="O16" i="17"/>
  <c r="O183" i="17"/>
  <c r="P251" i="17"/>
  <c r="Y352" i="17"/>
  <c r="Y328" i="17"/>
  <c r="Y304" i="17"/>
  <c r="Y250" i="17"/>
  <c r="Y216" i="17"/>
  <c r="Y185" i="17"/>
  <c r="Y156" i="17"/>
  <c r="Y126" i="17"/>
  <c r="Y72" i="17"/>
  <c r="Y44" i="17"/>
  <c r="Y18" i="17"/>
  <c r="Y111" i="17"/>
  <c r="Y326" i="17"/>
  <c r="O134" i="17"/>
  <c r="P176" i="17"/>
  <c r="O272" i="17"/>
  <c r="O294" i="17"/>
  <c r="P356" i="17"/>
  <c r="O111" i="17"/>
  <c r="P117" i="17"/>
  <c r="P154" i="17"/>
  <c r="O170" i="17"/>
  <c r="P184" i="17"/>
  <c r="O203" i="17"/>
  <c r="O242" i="17"/>
  <c r="O264" i="17"/>
  <c r="O279" i="17"/>
  <c r="P310" i="17"/>
  <c r="O326" i="17"/>
  <c r="O334" i="17"/>
  <c r="Y96" i="17"/>
  <c r="Y84" i="17"/>
  <c r="P126" i="17"/>
  <c r="O7" i="17"/>
  <c r="O42" i="17"/>
  <c r="O228" i="17"/>
  <c r="P256" i="17"/>
  <c r="P286" i="17"/>
  <c r="P304" i="17"/>
  <c r="P10" i="17"/>
  <c r="P340" i="17"/>
  <c r="O12" i="17"/>
  <c r="O24" i="17"/>
  <c r="O65" i="17"/>
  <c r="O72" i="17"/>
  <c r="O17" i="17"/>
  <c r="P348" i="17"/>
  <c r="P23" i="17"/>
  <c r="P57" i="17"/>
  <c r="O31" i="17"/>
  <c r="P38" i="17"/>
  <c r="P48" i="17"/>
  <c r="O145" i="17"/>
  <c r="O166" i="17"/>
  <c r="P265" i="17"/>
  <c r="P296" i="17"/>
  <c r="P312" i="17"/>
  <c r="O361" i="17"/>
  <c r="Y93" i="17"/>
  <c r="Y81" i="17"/>
  <c r="Y100" i="17"/>
  <c r="Y88" i="17"/>
  <c r="X97" i="17"/>
  <c r="X85" i="17"/>
  <c r="X96" i="17"/>
  <c r="X84" i="17"/>
  <c r="Y99" i="17"/>
  <c r="Y87" i="17"/>
  <c r="Y98" i="17"/>
  <c r="Y86" i="17"/>
  <c r="P204" i="17"/>
  <c r="O204" i="17"/>
  <c r="P229" i="17"/>
  <c r="O229" i="17"/>
  <c r="P90" i="17"/>
  <c r="O90" i="17"/>
  <c r="P100" i="17"/>
  <c r="O100" i="17"/>
  <c r="P120" i="17"/>
  <c r="O120" i="17"/>
  <c r="P194" i="17"/>
  <c r="O194" i="17"/>
  <c r="P216" i="17"/>
  <c r="O216" i="17"/>
  <c r="P211" i="17"/>
  <c r="O211" i="17"/>
  <c r="P88" i="17"/>
  <c r="O88" i="17"/>
  <c r="P213" i="17"/>
  <c r="O213" i="17"/>
  <c r="P87" i="17"/>
  <c r="O87" i="17"/>
  <c r="P93" i="17"/>
  <c r="O93" i="17"/>
  <c r="P97" i="17"/>
  <c r="O97" i="17"/>
  <c r="P102" i="17"/>
  <c r="O102" i="17"/>
  <c r="P98" i="17"/>
  <c r="O98" i="17"/>
  <c r="O85" i="17"/>
  <c r="O113" i="17"/>
  <c r="O118" i="17"/>
  <c r="P141" i="17"/>
  <c r="O141" i="17"/>
  <c r="P155" i="17"/>
  <c r="P164" i="17"/>
  <c r="P168" i="17"/>
  <c r="P172" i="17"/>
  <c r="O172" i="17"/>
  <c r="O199" i="17"/>
  <c r="O255" i="17"/>
  <c r="O280" i="17"/>
  <c r="P329" i="17"/>
  <c r="O8" i="17"/>
  <c r="O22" i="17"/>
  <c r="P27" i="17"/>
  <c r="O27" i="17"/>
  <c r="O45" i="17"/>
  <c r="O53" i="17"/>
  <c r="P60" i="17"/>
  <c r="O82" i="17"/>
  <c r="O99" i="17"/>
  <c r="O146" i="17"/>
  <c r="O156" i="17"/>
  <c r="P156" i="17"/>
  <c r="O179" i="17"/>
  <c r="O196" i="17"/>
  <c r="O208" i="17"/>
  <c r="O260" i="17"/>
  <c r="O275" i="17"/>
  <c r="O318" i="17"/>
  <c r="P330" i="17"/>
  <c r="O330" i="17"/>
  <c r="P89" i="17"/>
  <c r="O89" i="17"/>
  <c r="P114" i="17"/>
  <c r="O114" i="17"/>
  <c r="O127" i="17"/>
  <c r="P127" i="17"/>
  <c r="O165" i="17"/>
  <c r="O169" i="17"/>
  <c r="P169" i="17"/>
  <c r="O301" i="17"/>
  <c r="O306" i="17"/>
  <c r="O349" i="17"/>
  <c r="O354" i="17"/>
  <c r="O18" i="17"/>
  <c r="O79" i="17"/>
  <c r="O110" i="17"/>
  <c r="O175" i="17"/>
  <c r="O214" i="17"/>
  <c r="P214" i="17"/>
  <c r="P220" i="17"/>
  <c r="O220" i="17"/>
  <c r="P325" i="17"/>
  <c r="O325" i="17"/>
  <c r="P91" i="17"/>
  <c r="O322" i="17"/>
  <c r="P5" i="17"/>
  <c r="P222" i="17"/>
  <c r="P341" i="17"/>
  <c r="O341" i="17"/>
  <c r="P346" i="17"/>
  <c r="O346" i="17"/>
  <c r="O26" i="17"/>
  <c r="P95" i="17"/>
  <c r="O192" i="17"/>
  <c r="P192" i="17"/>
  <c r="P298" i="17"/>
  <c r="O298" i="17"/>
  <c r="O5" i="17"/>
  <c r="O11" i="17"/>
  <c r="O30" i="17"/>
  <c r="O44" i="17"/>
  <c r="O108" i="17"/>
  <c r="P243" i="17"/>
  <c r="O243" i="17"/>
  <c r="O266" i="17"/>
  <c r="O317" i="17"/>
  <c r="O56" i="17"/>
  <c r="O76" i="17"/>
  <c r="P92" i="17"/>
  <c r="O92" i="17"/>
  <c r="O125" i="17"/>
  <c r="P189" i="17"/>
  <c r="O189" i="17"/>
  <c r="P293" i="17"/>
  <c r="O293" i="17"/>
  <c r="O103" i="17"/>
  <c r="P103" i="17"/>
  <c r="P197" i="17"/>
  <c r="O197" i="17"/>
  <c r="P271" i="17"/>
  <c r="O271" i="17"/>
  <c r="P14" i="17"/>
  <c r="O14" i="17"/>
  <c r="O54" i="17"/>
  <c r="O70" i="17"/>
  <c r="O129" i="17"/>
  <c r="O191" i="17"/>
  <c r="P215" i="17"/>
  <c r="O215" i="17"/>
  <c r="O302" i="17"/>
  <c r="P314" i="17"/>
  <c r="O314" i="17"/>
  <c r="O350" i="17"/>
  <c r="O29" i="17"/>
  <c r="O33" i="17"/>
  <c r="O64" i="17"/>
  <c r="O135" i="17"/>
  <c r="P135" i="17"/>
  <c r="O150" i="17"/>
  <c r="P150" i="17"/>
  <c r="O177" i="17"/>
  <c r="P177" i="17"/>
  <c r="O252" i="17"/>
  <c r="O283" i="17"/>
  <c r="O288" i="17"/>
  <c r="O333" i="17"/>
  <c r="O338" i="17"/>
  <c r="O15" i="17"/>
  <c r="O39" i="17"/>
  <c r="O47" i="17"/>
  <c r="P104" i="17"/>
  <c r="O144" i="17"/>
  <c r="P160" i="17"/>
  <c r="O160" i="17"/>
  <c r="O232" i="17"/>
  <c r="O247" i="17"/>
  <c r="O297" i="17"/>
  <c r="P309" i="17"/>
  <c r="O309" i="17"/>
  <c r="O345" i="17"/>
  <c r="P357" i="17"/>
  <c r="O357" i="17"/>
  <c r="O51" i="17"/>
  <c r="O71" i="17"/>
  <c r="P123" i="17"/>
  <c r="O123" i="17"/>
  <c r="O131" i="17"/>
  <c r="P131" i="17"/>
  <c r="O230" i="17"/>
  <c r="P230" i="17"/>
  <c r="O159" i="17"/>
  <c r="P227" i="17"/>
  <c r="O227" i="17"/>
  <c r="O248" i="17"/>
  <c r="O276" i="17"/>
  <c r="O364" i="17"/>
  <c r="P119" i="17"/>
  <c r="O182" i="17"/>
  <c r="P212" i="17"/>
  <c r="O115" i="17"/>
  <c r="O205" i="17"/>
  <c r="O233" i="17"/>
  <c r="O239" i="17"/>
  <c r="O245" i="17"/>
  <c r="O249" i="17"/>
  <c r="O253" i="17"/>
  <c r="O257" i="17"/>
  <c r="O261" i="17"/>
  <c r="O267" i="17"/>
  <c r="O273" i="17"/>
  <c r="O277" i="17"/>
  <c r="O281" i="17"/>
  <c r="O285" i="17"/>
  <c r="O289" i="17"/>
  <c r="O295" i="17"/>
  <c r="O299" i="17"/>
  <c r="O303" i="17"/>
  <c r="O307" i="17"/>
  <c r="O311" i="17"/>
  <c r="O315" i="17"/>
  <c r="O319" i="17"/>
  <c r="O323" i="17"/>
  <c r="O327" i="17"/>
  <c r="O331" i="17"/>
  <c r="O335" i="17"/>
  <c r="O339" i="17"/>
  <c r="O343" i="17"/>
  <c r="O347" i="17"/>
  <c r="O351" i="17"/>
  <c r="O355" i="17"/>
  <c r="O28" i="17"/>
  <c r="O37" i="17"/>
  <c r="O40" i="17"/>
  <c r="O43" i="17"/>
  <c r="O46" i="17"/>
  <c r="O49" i="17"/>
  <c r="O52" i="17"/>
  <c r="O55" i="17"/>
  <c r="O58" i="17"/>
  <c r="O63" i="17"/>
  <c r="O83" i="17"/>
  <c r="O86" i="17"/>
  <c r="O96" i="17"/>
  <c r="O109" i="17"/>
  <c r="O112" i="17"/>
  <c r="O124" i="17"/>
  <c r="O128" i="17"/>
  <c r="O132" i="17"/>
  <c r="O136" i="17"/>
  <c r="O142" i="17"/>
  <c r="O151" i="17"/>
  <c r="O157" i="17"/>
  <c r="O161" i="17"/>
  <c r="O174" i="17"/>
  <c r="O195" i="17"/>
  <c r="O221" i="17"/>
  <c r="O362" i="17"/>
  <c r="O367" i="17"/>
</calcChain>
</file>

<file path=xl/sharedStrings.xml><?xml version="1.0" encoding="utf-8"?>
<sst xmlns="http://schemas.openxmlformats.org/spreadsheetml/2006/main" count="2176" uniqueCount="1924">
  <si>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</si>
  <si>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</si>
  <si>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</si>
  <si>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</si>
  <si>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</si>
  <si>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</si>
  <si>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</si>
  <si>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</si>
  <si>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</si>
  <si>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</si>
  <si>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</si>
  <si>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</si>
  <si>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</si>
  <si>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</si>
  <si>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</si>
  <si>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</si>
  <si>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</si>
  <si>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</si>
  <si>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</si>
  <si>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</si>
  <si>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</si>
  <si>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</si>
  <si>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</si>
  <si>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</si>
  <si>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</si>
  <si>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</si>
  <si>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</si>
  <si>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</si>
  <si>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</si>
  <si>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</si>
  <si>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</si>
  <si>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</si>
  <si>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</si>
  <si>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</si>
  <si>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</si>
  <si>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</si>
  <si>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</si>
  <si>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</si>
  <si>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</si>
  <si>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</si>
  <si>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</si>
  <si>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</si>
  <si>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</si>
  <si>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</si>
  <si>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</si>
  <si>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</si>
  <si>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</si>
  <si>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</si>
  <si>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</si>
  <si>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</si>
  <si>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</si>
  <si>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</si>
  <si>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</si>
  <si>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</si>
  <si>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</si>
  <si>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</si>
  <si>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</si>
  <si>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</si>
  <si>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</si>
  <si>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</si>
  <si>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</si>
  <si>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</si>
  <si>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</si>
  <si>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</si>
  <si>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</si>
  <si>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</si>
  <si>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</si>
  <si>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</si>
  <si>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</si>
  <si>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</si>
  <si>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</si>
  <si>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</si>
  <si>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</si>
  <si>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</si>
  <si>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</si>
  <si>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</si>
  <si>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</si>
  <si>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</si>
  <si>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</si>
  <si>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</si>
  <si>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</si>
  <si>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</si>
  <si>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</rPr>
      <t>™</t>
    </r>
    <r>
      <rPr>
        <sz val="10"/>
        <rFont val="Tahoma"/>
        <family val="2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</si>
  <si>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</si>
  <si>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</si>
  <si>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</rPr>
      <t>™</t>
    </r>
    <r>
      <rPr>
        <sz val="10"/>
        <rFont val="Tahoma"/>
        <family val="2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</si>
  <si>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</si>
  <si>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</si>
  <si>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</si>
  <si>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</si>
  <si>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</si>
  <si>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</si>
  <si>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</si>
  <si>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</si>
  <si>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</si>
  <si>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</si>
  <si>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</si>
  <si>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</si>
  <si>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</si>
  <si>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</si>
  <si>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</si>
  <si>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</si>
  <si>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</si>
  <si>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</si>
  <si>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</si>
  <si>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</si>
  <si>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</si>
  <si>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</si>
  <si>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</si>
  <si>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</si>
  <si>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</si>
  <si>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</si>
  <si>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</si>
  <si>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</si>
  <si>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</si>
  <si>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</si>
  <si>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</si>
  <si>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</si>
  <si>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</si>
  <si>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</si>
  <si>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</si>
  <si>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</si>
  <si>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</si>
  <si>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</si>
  <si>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</si>
  <si>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</si>
  <si>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</si>
  <si>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</si>
  <si>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</si>
  <si>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</si>
  <si>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</si>
  <si>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</si>
  <si>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</si>
  <si>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</si>
  <si>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</si>
  <si>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</si>
  <si>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</si>
  <si>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</si>
  <si>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</si>
  <si>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</si>
  <si>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</si>
  <si>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</si>
  <si>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</si>
  <si>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</si>
  <si>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</si>
  <si>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</si>
  <si>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</si>
  <si>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</si>
  <si>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</si>
  <si>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</si>
  <si>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</si>
  <si>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</si>
  <si>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</si>
  <si>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</si>
  <si>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</si>
  <si>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</si>
  <si>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</si>
  <si>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</si>
  <si>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</si>
  <si>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</si>
  <si>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</si>
  <si>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</si>
  <si>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</si>
  <si>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</si>
  <si>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</si>
  <si>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</si>
  <si>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</si>
  <si>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</si>
  <si>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</si>
  <si>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</si>
  <si>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</si>
  <si>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</si>
  <si>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</si>
  <si>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</si>
  <si>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</si>
  <si>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</si>
  <si>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</si>
  <si>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</si>
  <si>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</si>
  <si>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</si>
  <si>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</si>
  <si>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</si>
  <si>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</si>
  <si>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</si>
  <si>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</si>
  <si>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</si>
  <si>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</si>
  <si>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</si>
  <si>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</si>
  <si>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</si>
  <si>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</si>
  <si>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</si>
  <si>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</si>
  <si>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</si>
  <si>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</si>
  <si>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</si>
  <si>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</si>
  <si>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</si>
  <si>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</si>
  <si>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</si>
  <si>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</si>
  <si>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</si>
  <si>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</si>
  <si>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</si>
  <si>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</si>
  <si>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</si>
  <si>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</si>
  <si>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</si>
  <si>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</si>
  <si>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</si>
  <si>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</si>
  <si>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</si>
  <si>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</si>
  <si>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</si>
  <si>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</si>
  <si>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</si>
  <si>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</si>
  <si>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</si>
  <si>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</si>
  <si>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</si>
  <si>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</si>
  <si>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</si>
  <si>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</si>
  <si>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</si>
  <si>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</si>
  <si>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</si>
  <si>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</si>
  <si>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</si>
  <si>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</si>
  <si>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</si>
  <si>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</si>
  <si>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</si>
  <si>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</si>
  <si>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</si>
  <si>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</si>
  <si>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</si>
  <si>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</si>
  <si>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</si>
  <si>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</si>
  <si>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</si>
  <si>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</si>
  <si>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</si>
  <si>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</si>
  <si>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</si>
  <si>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</si>
  <si>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</si>
  <si>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</si>
  <si>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</si>
  <si>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</si>
  <si>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</si>
  <si>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</si>
  <si>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</si>
  <si>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</si>
  <si>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</si>
  <si>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</si>
  <si>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</si>
  <si>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</si>
  <si>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</si>
  <si>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</si>
  <si>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</si>
  <si>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</si>
  <si>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</si>
  <si>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</si>
  <si>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</si>
  <si>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</si>
  <si>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</si>
  <si>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</si>
  <si>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</si>
  <si>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</si>
  <si>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</si>
  <si>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</si>
  <si>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</si>
  <si>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</si>
  <si>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</si>
  <si>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</si>
  <si>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</si>
  <si>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</si>
  <si>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</si>
  <si>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</si>
  <si>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</si>
  <si>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</si>
  <si>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</si>
  <si>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</si>
  <si>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</si>
  <si>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</si>
  <si>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</si>
  <si>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</si>
  <si>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</si>
  <si>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</si>
  <si>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</si>
  <si>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</si>
  <si>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</si>
  <si>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</si>
  <si>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</si>
  <si>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</si>
  <si>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</si>
  <si>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</si>
  <si>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</si>
  <si>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</si>
  <si>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</si>
  <si>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</si>
  <si>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</si>
  <si>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</si>
  <si>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</si>
  <si>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</si>
  <si>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</si>
  <si>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</si>
  <si>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</si>
  <si>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</si>
  <si>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</si>
  <si>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</si>
  <si>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</si>
  <si>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</si>
  <si>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</si>
  <si>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</si>
  <si>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</si>
  <si>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</si>
  <si>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</si>
  <si>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</si>
  <si>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</si>
  <si>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</si>
  <si>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</si>
  <si>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</si>
  <si>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</si>
  <si>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</si>
  <si>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</si>
  <si>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</si>
  <si>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</si>
  <si>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</si>
  <si>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</si>
  <si>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</si>
  <si>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</si>
  <si>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</si>
  <si>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</si>
  <si>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</si>
  <si>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</si>
  <si>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</si>
  <si>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</si>
  <si>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</si>
  <si>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</si>
  <si>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</si>
  <si>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</si>
  <si>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</si>
  <si>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</si>
  <si>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</si>
  <si>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</si>
  <si>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</si>
  <si>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</si>
  <si>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</si>
  <si>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</si>
  <si>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</si>
  <si>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</si>
  <si>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</si>
  <si>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</si>
  <si>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</si>
  <si>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</si>
  <si>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</si>
  <si>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</si>
  <si>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</si>
  <si>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</si>
  <si>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</si>
  <si>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</si>
  <si>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</si>
  <si>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</si>
  <si>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</si>
  <si>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</si>
  <si>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</si>
  <si>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</si>
  <si>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</si>
  <si>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</si>
  <si>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</si>
  <si>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</si>
  <si>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</si>
  <si>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</si>
  <si>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</si>
  <si>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</si>
  <si>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</si>
  <si>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</si>
  <si>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</si>
  <si>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</si>
  <si>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</si>
  <si>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</si>
  <si>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</si>
  <si>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</si>
  <si>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</si>
  <si>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</si>
  <si>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</si>
  <si>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</si>
  <si>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</si>
  <si>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</si>
  <si>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</si>
  <si>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</si>
  <si>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</si>
  <si>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</si>
  <si>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</si>
  <si>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</si>
  <si>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</si>
  <si>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</si>
  <si>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</si>
  <si>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</si>
  <si>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</si>
  <si>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</si>
  <si>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</si>
  <si>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</si>
  <si>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</si>
  <si>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</si>
  <si>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</si>
  <si>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</si>
  <si>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</si>
  <si>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</si>
  <si>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</si>
  <si>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</si>
  <si>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</si>
  <si>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</si>
  <si>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</si>
  <si>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</si>
  <si>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</si>
  <si>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</si>
  <si>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</si>
  <si>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</si>
  <si>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</si>
  <si>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</si>
  <si>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</si>
  <si>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</si>
  <si>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</si>
  <si>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</si>
  <si>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</si>
  <si>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</si>
  <si>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</si>
  <si>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</si>
  <si>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</si>
  <si>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</si>
  <si>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</si>
  <si>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</si>
  <si>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</si>
  <si>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</si>
  <si>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</si>
  <si>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</si>
  <si>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</si>
  <si>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</si>
  <si>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</si>
  <si>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</si>
  <si>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</si>
  <si>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</si>
  <si>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</si>
  <si>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</si>
  <si>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</si>
  <si>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</si>
  <si>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</si>
  <si>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</si>
  <si>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</si>
  <si>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</si>
  <si>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</si>
  <si>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</si>
  <si>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</si>
  <si>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</si>
  <si>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</si>
  <si>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</si>
  <si>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</si>
  <si>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</si>
  <si>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</si>
  <si>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</si>
  <si>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</si>
  <si>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</si>
  <si>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</si>
  <si>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</si>
  <si>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</si>
  <si>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</si>
  <si>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</si>
  <si>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</si>
  <si>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</si>
  <si>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</si>
  <si>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</si>
  <si>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</si>
  <si>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</si>
  <si>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</si>
  <si>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</si>
  <si>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</si>
  <si>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</si>
  <si>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</si>
  <si>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</si>
  <si>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</si>
  <si>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</si>
  <si>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</si>
  <si>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</si>
  <si>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</si>
  <si>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</si>
  <si>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</si>
  <si>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</si>
  <si>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</si>
  <si>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</si>
  <si>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</si>
  <si>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</si>
  <si>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</si>
  <si>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</si>
  <si>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</si>
  <si>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</si>
  <si>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</si>
  <si>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</si>
  <si>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</si>
  <si>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</si>
  <si>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</si>
  <si>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</si>
  <si>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</si>
  <si>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</si>
  <si>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</si>
  <si>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</si>
  <si>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</si>
  <si>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</si>
  <si>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</si>
  <si>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</si>
  <si>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</si>
  <si>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</si>
  <si>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</si>
  <si>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</si>
  <si>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</si>
  <si>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</si>
  <si>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</si>
  <si>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</si>
  <si>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</si>
  <si>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</si>
  <si>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</si>
  <si>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</si>
  <si>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</si>
  <si>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</si>
  <si>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</si>
  <si>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</si>
  <si>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</si>
  <si>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</si>
  <si>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</si>
  <si>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</si>
  <si>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</si>
  <si>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</si>
  <si>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</si>
  <si>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</si>
  <si>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</si>
  <si>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</si>
  <si>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</si>
  <si>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</si>
  <si>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</si>
  <si>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</si>
  <si>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</si>
  <si>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</si>
  <si>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</si>
  <si>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</si>
  <si>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</si>
  <si>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</si>
  <si>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</si>
  <si>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</si>
  <si>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</si>
  <si>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</rPr>
      <t xml:space="preserve"> </t>
    </r>
    <r>
      <rPr>
        <sz val="10"/>
        <color rgb="FFBA122B"/>
        <rFont val="Tahoma"/>
        <family val="2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</si>
  <si>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</si>
  <si>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</si>
  <si>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</si>
  <si>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</si>
  <si>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</si>
  <si>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</si>
  <si>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</si>
  <si>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</si>
  <si>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</si>
  <si>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</si>
  <si>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</si>
  <si>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</rPr>
      <t xml:space="preserve"> </t>
    </r>
    <r>
      <rPr>
        <sz val="10"/>
        <color rgb="FFBA122B"/>
        <rFont val="Tahoma"/>
        <family val="2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</si>
  <si>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</si>
  <si>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</si>
  <si>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</si>
  <si>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</si>
  <si>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</si>
  <si>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</si>
  <si>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</si>
  <si>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</si>
  <si>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</si>
  <si>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</si>
  <si>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</si>
  <si>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</si>
  <si>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</si>
  <si>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</si>
  <si>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</si>
  <si>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</si>
  <si>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</si>
  <si>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</si>
  <si>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</si>
  <si>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</si>
  <si>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</si>
  <si>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</si>
  <si>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</si>
  <si>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</si>
  <si>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</si>
  <si>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</si>
  <si>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</si>
  <si>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</si>
  <si>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</si>
  <si>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</si>
  <si>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</si>
  <si>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</si>
  <si>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</si>
  <si>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</si>
  <si>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</si>
  <si>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</si>
  <si>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</si>
  <si>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</si>
  <si>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</si>
  <si>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</si>
  <si>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</si>
  <si>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</si>
  <si>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</si>
  <si>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</si>
  <si>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</si>
  <si>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</si>
  <si>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</si>
  <si>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</si>
  <si>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</si>
  <si>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</si>
  <si>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</si>
  <si>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</si>
  <si>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</si>
  <si>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</si>
  <si>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</si>
  <si>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</si>
  <si>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</si>
  <si>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</si>
  <si>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</si>
  <si>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</si>
  <si>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</si>
  <si>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</si>
  <si>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</si>
  <si>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</si>
  <si>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</si>
  <si>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</si>
  <si>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</si>
  <si>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</si>
  <si>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</si>
  <si>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</si>
  <si>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</si>
  <si>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</si>
  <si>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</si>
  <si>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</si>
  <si>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</si>
  <si>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</si>
  <si>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</si>
  <si>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</si>
  <si>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</si>
  <si>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</si>
  <si>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</si>
  <si>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</si>
  <si>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</si>
  <si>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</si>
  <si>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</si>
  <si>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</si>
  <si>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</si>
  <si>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</si>
  <si>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</si>
  <si>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</si>
  <si>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</si>
  <si>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</si>
  <si>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</si>
  <si>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</si>
  <si>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</si>
  <si>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</si>
  <si>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</si>
  <si>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</si>
  <si>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</si>
  <si>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</si>
  <si>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</si>
  <si>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</si>
  <si>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</si>
  <si>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</si>
  <si>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</si>
  <si>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</si>
  <si>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</si>
  <si>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</si>
  <si>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</si>
  <si>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</si>
  <si>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</si>
  <si>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</si>
  <si>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</si>
  <si>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</si>
  <si>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</si>
  <si>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</si>
  <si>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</si>
  <si>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</si>
  <si>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</si>
  <si>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</si>
  <si>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</si>
  <si>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</si>
  <si>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</si>
  <si>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</si>
  <si>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</si>
  <si>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</si>
  <si>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</si>
  <si>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</si>
  <si>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</si>
  <si>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</si>
  <si>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</si>
  <si>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</si>
  <si>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</si>
  <si>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</si>
  <si>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</si>
  <si>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</si>
  <si>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</si>
  <si>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</si>
  <si>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</si>
  <si>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</si>
  <si>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</si>
  <si>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</si>
  <si>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</si>
  <si>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</si>
  <si>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</si>
  <si>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</si>
  <si>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</si>
  <si>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</si>
  <si>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</si>
  <si>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</si>
  <si>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</si>
  <si>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</si>
  <si>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</si>
  <si>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</si>
  <si>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</si>
  <si>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</si>
  <si>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</si>
  <si>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</si>
  <si>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</si>
  <si>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</si>
  <si>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</si>
  <si>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</si>
  <si>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</si>
  <si>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</si>
  <si>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</si>
  <si>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</si>
  <si>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</si>
  <si>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</si>
  <si>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</si>
  <si>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</si>
  <si>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</si>
  <si>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</si>
  <si>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</si>
  <si>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</si>
  <si>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</si>
  <si>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</si>
  <si>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</si>
  <si>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</si>
  <si>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</si>
  <si>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</si>
  <si>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</si>
  <si>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</si>
  <si>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</si>
  <si>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</si>
  <si>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</si>
  <si>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</si>
  <si>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</si>
  <si>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</si>
  <si>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</si>
  <si>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</si>
  <si>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</si>
  <si>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</si>
  <si>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</si>
  <si>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</si>
  <si>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</si>
  <si>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</si>
  <si>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</si>
  <si>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</si>
  <si>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</si>
  <si>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</si>
  <si>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</si>
  <si>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</si>
  <si>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</si>
  <si>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</si>
  <si>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</si>
  <si>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</si>
  <si>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</si>
  <si>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</si>
  <si>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</si>
  <si>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</si>
  <si>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</si>
  <si>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</si>
  <si>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</si>
  <si>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</si>
  <si>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</si>
  <si>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</si>
  <si>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</si>
  <si>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</si>
  <si>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</si>
  <si>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</si>
  <si>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</si>
  <si>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</si>
  <si>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</si>
  <si>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</si>
  <si>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</si>
  <si>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</si>
  <si>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</si>
  <si>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</si>
  <si>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</si>
  <si>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</si>
  <si>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</si>
  <si>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</si>
  <si>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</si>
  <si>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</si>
  <si>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</si>
  <si>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</si>
  <si>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</si>
  <si>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</si>
  <si>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</si>
  <si>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</si>
  <si>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</si>
  <si>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</si>
  <si>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</si>
  <si>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</si>
  <si>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</si>
  <si>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</si>
  <si>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</si>
  <si>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</si>
  <si>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</si>
  <si>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</si>
  <si>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</si>
  <si>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</si>
  <si>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</si>
  <si>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</si>
  <si>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</si>
  <si>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</si>
  <si>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</si>
  <si>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</si>
  <si>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</si>
  <si>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</si>
  <si>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</si>
  <si>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</si>
  <si>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</si>
  <si>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</si>
  <si>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</si>
  <si>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</si>
  <si>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</si>
  <si>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</si>
  <si>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</si>
  <si>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</si>
  <si>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</si>
  <si>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</si>
  <si>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</si>
  <si>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</si>
  <si>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</si>
  <si>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</si>
  <si>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</si>
  <si>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</si>
  <si>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</si>
  <si>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</si>
  <si>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</si>
  <si>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</si>
  <si>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</si>
  <si>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</si>
  <si>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</si>
  <si>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</si>
  <si>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</si>
  <si>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</si>
  <si>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</si>
  <si>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</si>
  <si>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</si>
  <si>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</si>
  <si>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</si>
  <si>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</si>
  <si>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</si>
  <si>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</si>
  <si>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</si>
  <si>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</si>
  <si>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</si>
  <si>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</si>
  <si>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</si>
  <si>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</si>
  <si>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</si>
  <si>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</si>
  <si>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</si>
  <si>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</si>
  <si>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</si>
  <si>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</si>
  <si>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rPr>
        <sz val="11"/>
        <color rgb="FFC00000"/>
        <rFont val="Calibri"/>
        <family val="2"/>
        <scheme val="minor"/>
      </rPr>
      <t>Red - Low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4"/>
        <rFont val="Calibri"/>
        <family val="2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</si>
  <si>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</si>
  <si>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</si>
  <si>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</si>
  <si>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</si>
  <si>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</si>
  <si>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</si>
  <si>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</si>
  <si>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</si>
  <si>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</si>
  <si>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</si>
  <si>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</si>
  <si>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</si>
  <si>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</si>
  <si>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</si>
  <si>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</si>
  <si>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 xml:space="preserve"> 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</si>
  <si>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</si>
  <si>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</si>
  <si>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</si>
  <si>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</si>
  <si>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</si>
  <si>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</si>
  <si>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</si>
  <si>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</si>
  <si>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</si>
  <si>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</si>
  <si>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</si>
  <si>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</si>
  <si>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</si>
  <si>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</si>
  <si>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</si>
  <si>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</si>
  <si>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</si>
  <si>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</si>
  <si>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</si>
  <si>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</si>
  <si>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</si>
  <si>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</si>
  <si>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</si>
  <si>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</si>
  <si>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</si>
  <si>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</si>
  <si>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</si>
  <si>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</si>
  <si>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</si>
  <si>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</si>
  <si>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</si>
  <si>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</si>
  <si>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</si>
  <si>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</si>
  <si>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</si>
  <si>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</si>
  <si>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</si>
  <si>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</si>
  <si>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</si>
  <si>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</si>
  <si>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</si>
  <si>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</si>
  <si>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</si>
  <si>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</si>
  <si>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</si>
  <si>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</si>
  <si>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</si>
  <si>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</si>
  <si>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</si>
  <si>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</si>
  <si>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</si>
  <si>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</si>
  <si>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</si>
  <si>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</si>
  <si>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</si>
  <si>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</si>
  <si>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</si>
  <si>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</si>
  <si>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</si>
  <si>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</si>
  <si>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</si>
  <si>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</si>
  <si>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</si>
  <si>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</si>
  <si>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</si>
  <si>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</si>
  <si>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</si>
  <si>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</si>
  <si>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</si>
  <si>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</si>
  <si>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</si>
  <si>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</si>
  <si>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</si>
  <si>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</si>
  <si>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</si>
  <si>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</si>
  <si>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</si>
  <si>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</si>
  <si>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</si>
  <si>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</si>
  <si>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</si>
  <si>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</si>
  <si>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</si>
  <si>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</si>
  <si>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</si>
  <si>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</si>
  <si>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</si>
  <si>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</si>
  <si>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</si>
  <si>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</si>
  <si>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</si>
  <si>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</si>
  <si>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</si>
  <si>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</si>
  <si>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</si>
  <si>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</si>
  <si>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</si>
  <si>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</si>
  <si>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</si>
  <si>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</si>
  <si>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</si>
  <si>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</si>
  <si>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</si>
  <si>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</si>
  <si>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</si>
  <si>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</si>
  <si>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</si>
  <si>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</si>
  <si>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</si>
  <si>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</si>
  <si>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</si>
  <si>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</si>
  <si>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</si>
  <si>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</si>
  <si>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</si>
  <si>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</si>
  <si>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</si>
  <si>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</si>
  <si>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</si>
  <si>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</si>
  <si>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</si>
  <si>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</si>
  <si>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</si>
  <si>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</si>
  <si>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</si>
  <si>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</si>
  <si>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</si>
  <si>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</si>
  <si>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</si>
  <si>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</si>
  <si>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</si>
  <si>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</si>
  <si>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</si>
  <si>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</si>
  <si>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</si>
  <si>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</si>
  <si>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</si>
  <si>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</si>
  <si>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</si>
  <si>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</si>
  <si>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</si>
  <si>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</si>
  <si>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</si>
  <si>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</si>
  <si>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</si>
  <si>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</si>
  <si>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</si>
  <si>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</si>
  <si>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</si>
  <si>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</si>
  <si>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</si>
  <si>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</si>
  <si>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</si>
  <si>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</si>
  <si>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</si>
  <si>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</si>
  <si>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</si>
  <si>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</si>
  <si>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</si>
  <si>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</si>
  <si>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</si>
  <si>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</si>
  <si>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</si>
  <si>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</si>
  <si>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</si>
  <si>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</si>
  <si>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</si>
  <si>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</si>
  <si>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</si>
  <si>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</si>
  <si>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</si>
  <si>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</si>
  <si>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</si>
  <si>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</si>
  <si>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</si>
  <si>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</si>
  <si>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</si>
  <si>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</si>
  <si>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</si>
  <si>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</si>
  <si>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</si>
  <si>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</si>
  <si>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</si>
  <si>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</si>
  <si>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</si>
  <si>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</si>
  <si>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</si>
  <si>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</si>
  <si>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</si>
  <si>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</si>
  <si>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</si>
  <si>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</si>
  <si>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</si>
  <si>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</si>
  <si>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</si>
  <si>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</si>
  <si>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</si>
  <si>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</si>
  <si>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</si>
  <si>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</si>
  <si>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</si>
  <si>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</si>
  <si>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</si>
  <si>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</si>
  <si>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</si>
  <si>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</si>
  <si>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</si>
  <si>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</si>
  <si>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</si>
  <si>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</si>
  <si>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</si>
  <si>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</si>
  <si>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</si>
  <si>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</si>
  <si>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</si>
  <si>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</si>
  <si>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</si>
  <si>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</si>
  <si>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</si>
  <si>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</si>
  <si>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</si>
  <si>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</si>
  <si>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</si>
  <si>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</si>
  <si>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</si>
  <si>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</si>
  <si>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</si>
  <si>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</si>
  <si>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</si>
  <si>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</si>
  <si>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</si>
  <si>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</si>
  <si>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</si>
  <si>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</si>
  <si>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</si>
  <si>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</si>
  <si>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</si>
  <si>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</si>
  <si>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</si>
  <si>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</si>
  <si>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</si>
  <si>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</si>
  <si>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</si>
  <si>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</si>
  <si>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</si>
  <si>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</si>
  <si>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</si>
  <si>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</si>
  <si>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</si>
  <si>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</si>
  <si>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</si>
  <si>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</si>
  <si>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</si>
  <si>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</si>
  <si>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</si>
  <si>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</si>
  <si>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</si>
  <si>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</si>
  <si>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</si>
  <si>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</si>
  <si>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</si>
  <si>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</si>
  <si>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</si>
  <si>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</si>
  <si>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</si>
  <si>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</si>
  <si>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</si>
  <si>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</si>
  <si>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</si>
  <si>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</si>
  <si>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</si>
  <si>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</si>
  <si>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</si>
  <si>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</si>
  <si>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</si>
  <si>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</si>
  <si>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</si>
  <si>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</si>
  <si>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</si>
  <si>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</si>
  <si>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</si>
  <si>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</si>
  <si>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</si>
  <si>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</si>
  <si>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</si>
  <si>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</si>
  <si>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</si>
  <si>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</si>
  <si>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</si>
  <si>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</si>
  <si>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</si>
  <si>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</si>
  <si>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</si>
  <si>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</si>
  <si>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</si>
  <si>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</si>
  <si>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</si>
  <si>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</si>
  <si>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</si>
  <si>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</si>
  <si>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</si>
  <si>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</si>
  <si>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</si>
  <si>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</si>
  <si>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</si>
  <si>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</si>
  <si>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</si>
  <si>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</si>
  <si>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</si>
  <si>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</si>
  <si>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</si>
  <si>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</si>
  <si>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</si>
  <si>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</si>
  <si>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</si>
  <si>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</si>
  <si>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</si>
  <si>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</si>
  <si>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</si>
  <si>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</si>
  <si>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</si>
  <si>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</si>
  <si>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</si>
  <si>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</si>
  <si>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</si>
  <si>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</si>
  <si>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</si>
  <si>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</si>
  <si>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</si>
  <si>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</si>
  <si>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</si>
  <si>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</si>
  <si>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</si>
  <si>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</si>
  <si>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</si>
  <si>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</si>
  <si>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</si>
  <si>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</si>
  <si>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</si>
  <si>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</si>
  <si>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</si>
  <si>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</si>
  <si>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</si>
  <si>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</si>
  <si>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</si>
  <si>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</si>
  <si>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</si>
  <si>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</si>
  <si>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</si>
  <si>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</si>
  <si>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</si>
  <si>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</si>
  <si>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</si>
  <si>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</si>
  <si>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</si>
  <si>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</si>
  <si>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</si>
  <si>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</si>
  <si>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</si>
  <si>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</si>
  <si>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</si>
  <si>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</si>
  <si>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</si>
  <si>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</si>
  <si>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</si>
  <si>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</si>
  <si>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</si>
  <si>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</si>
  <si>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</si>
  <si>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</si>
  <si>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</si>
  <si>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</si>
  <si>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</si>
  <si>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</si>
  <si>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</si>
  <si>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</si>
  <si>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</si>
  <si>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</si>
  <si>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</si>
  <si>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</si>
  <si>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</si>
  <si>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</si>
  <si>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</si>
  <si>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</si>
  <si>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</si>
  <si>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</si>
  <si>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</si>
  <si>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</si>
  <si>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</si>
  <si>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</si>
  <si>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</si>
  <si>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</si>
  <si>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</si>
  <si>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</si>
  <si>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</si>
  <si>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</si>
  <si>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</si>
  <si>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</si>
  <si>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</si>
  <si>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</si>
  <si>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</si>
  <si>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</si>
  <si>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</si>
  <si>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</si>
  <si>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</si>
  <si>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</si>
  <si>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</si>
  <si>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</si>
  <si>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</si>
  <si>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</si>
  <si>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</si>
  <si>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</si>
  <si>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</si>
  <si>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</si>
  <si>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</si>
  <si>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</si>
  <si>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</si>
  <si>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</si>
  <si>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</si>
  <si>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</si>
  <si>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</si>
  <si>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</si>
  <si>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</si>
  <si>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</si>
  <si>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</si>
  <si>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</si>
  <si>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</si>
  <si>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</si>
  <si>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</si>
  <si>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</si>
  <si>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</si>
  <si>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</si>
  <si>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</si>
  <si>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</si>
  <si>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</si>
  <si>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</si>
  <si>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</si>
  <si>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</si>
  <si>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</si>
  <si>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</si>
  <si>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</si>
  <si>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</si>
  <si>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</si>
  <si>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</si>
  <si>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</si>
  <si>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</si>
  <si>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</si>
  <si>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</si>
  <si>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</si>
  <si>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</si>
  <si>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</si>
  <si>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</si>
  <si>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</si>
  <si>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</si>
  <si>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</si>
  <si>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</si>
  <si>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</si>
  <si>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</si>
  <si>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</si>
  <si>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</si>
  <si>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</si>
  <si>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</si>
  <si>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</si>
  <si>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</si>
  <si>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</si>
  <si>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</si>
  <si>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</si>
  <si>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</si>
  <si>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</si>
  <si>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</si>
  <si>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</si>
  <si>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</si>
  <si>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</si>
  <si>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</si>
  <si>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</si>
  <si>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</si>
  <si>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</si>
  <si>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</si>
  <si>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</si>
  <si>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</si>
  <si>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</si>
  <si>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</si>
  <si>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</si>
  <si>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</si>
  <si>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</si>
  <si>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</si>
  <si>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</si>
  <si>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</si>
  <si>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</si>
  <si>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</si>
  <si>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</si>
  <si>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</si>
  <si>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</si>
  <si>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</si>
  <si>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</si>
  <si>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</si>
  <si>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</si>
  <si>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</si>
  <si>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</si>
  <si>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</si>
  <si>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</si>
  <si>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</si>
  <si>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</si>
  <si>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</si>
  <si>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</si>
  <si>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</si>
  <si>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</si>
  <si>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</si>
  <si>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</si>
  <si>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</si>
  <si>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</si>
  <si>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</si>
  <si>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</si>
  <si>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</si>
  <si>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</si>
  <si>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</si>
  <si>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</si>
  <si>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</si>
  <si>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</si>
  <si>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</si>
  <si>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</si>
  <si>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</si>
  <si>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</si>
  <si>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</si>
  <si>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</si>
  <si>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</si>
  <si>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</si>
  <si>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</si>
  <si>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</si>
  <si>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</si>
  <si>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</si>
  <si>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</si>
  <si>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</si>
  <si>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</si>
  <si>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</si>
  <si>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</si>
  <si>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</si>
  <si>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</si>
  <si>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</si>
  <si>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</si>
  <si>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</si>
  <si>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</si>
  <si>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</si>
  <si>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</si>
  <si>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</si>
  <si>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</si>
  <si>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</si>
  <si>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</si>
  <si>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</si>
  <si>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</si>
  <si>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</si>
  <si>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</si>
  <si>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</si>
  <si>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</si>
  <si>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</si>
  <si>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</si>
  <si>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</si>
  <si>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</si>
  <si>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</si>
  <si>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</si>
  <si>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</si>
  <si>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</si>
  <si>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</si>
  <si>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</si>
  <si>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</si>
  <si>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</si>
  <si>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</si>
  <si>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</si>
  <si>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</si>
  <si>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</si>
  <si>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</si>
  <si>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</si>
  <si>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</si>
  <si>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</si>
  <si>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</si>
  <si>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</si>
  <si>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</si>
  <si>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</si>
  <si>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</si>
  <si>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</si>
  <si>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</si>
  <si>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</si>
  <si>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</si>
  <si>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</si>
  <si>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</si>
  <si>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</si>
  <si>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</si>
  <si>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</si>
  <si>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</si>
  <si>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</si>
  <si>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</si>
  <si>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</si>
  <si>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</si>
  <si>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</si>
  <si>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</si>
  <si>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</si>
  <si>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</si>
  <si>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</si>
  <si>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</si>
  <si>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</si>
  <si>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</si>
  <si>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</si>
  <si>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</si>
  <si>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</si>
  <si>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</si>
  <si>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</si>
  <si>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</si>
  <si>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</si>
  <si>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</si>
  <si>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</si>
  <si>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</si>
  <si>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</si>
  <si>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</si>
  <si>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</si>
  <si>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</si>
  <si>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</si>
  <si>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</si>
  <si>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</si>
  <si>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</si>
  <si>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</si>
  <si>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</si>
  <si>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</si>
  <si>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</si>
  <si>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</si>
  <si>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</si>
  <si>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</si>
  <si>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</si>
  <si>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</si>
  <si>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</si>
  <si>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</si>
  <si>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</si>
  <si>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</si>
  <si>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</si>
  <si>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</si>
  <si>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</si>
  <si>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</si>
  <si>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</si>
  <si>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</si>
  <si>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</si>
  <si>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</si>
  <si>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</si>
  <si>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</si>
  <si>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</si>
  <si>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</si>
  <si>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</si>
  <si>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</si>
  <si>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</si>
  <si>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</si>
  <si>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</si>
  <si>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</si>
  <si>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</si>
  <si>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</si>
  <si>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</si>
  <si>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</si>
  <si>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</si>
  <si>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</si>
  <si>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</si>
  <si>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</si>
  <si>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</si>
  <si>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</si>
  <si>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</si>
  <si>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</si>
  <si>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</si>
  <si>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</si>
  <si>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</si>
  <si>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</si>
  <si>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</si>
  <si>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</si>
  <si>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</si>
  <si>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</si>
  <si>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</si>
  <si>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</si>
  <si>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</si>
  <si>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</si>
  <si>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</si>
  <si>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</si>
  <si>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</si>
  <si>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</si>
  <si>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</si>
  <si>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</si>
  <si>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</si>
  <si>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</si>
  <si>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</si>
  <si>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</si>
  <si>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</si>
  <si>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</si>
  <si>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</si>
  <si>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</si>
  <si>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</si>
  <si>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</si>
  <si>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</si>
  <si>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</si>
  <si>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</si>
  <si>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</si>
  <si>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</si>
  <si>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</si>
  <si>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</si>
  <si>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</si>
  <si>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</si>
  <si>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</si>
  <si>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</si>
  <si>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</si>
  <si>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</si>
  <si>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</si>
  <si>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</si>
  <si>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</si>
  <si>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</si>
  <si>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</si>
  <si>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</si>
  <si>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</si>
  <si>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</si>
  <si>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</si>
  <si>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</si>
  <si>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</si>
  <si>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</si>
  <si>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</si>
  <si>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</si>
  <si>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</si>
  <si>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</si>
  <si>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</si>
  <si>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</si>
  <si>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</si>
  <si>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</si>
  <si>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</si>
  <si>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</si>
  <si>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</si>
  <si>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</si>
  <si>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</si>
  <si>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</si>
  <si>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</si>
  <si>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</si>
  <si>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</si>
  <si>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</si>
  <si>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</si>
  <si>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</si>
  <si>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</si>
  <si>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</si>
  <si>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</si>
  <si>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</si>
  <si>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</si>
  <si>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</si>
  <si>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</si>
  <si>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</si>
  <si>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</si>
  <si>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</si>
  <si>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</si>
  <si>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</si>
  <si>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</si>
  <si>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</si>
  <si>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</si>
  <si>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</si>
  <si>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</si>
  <si>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</si>
  <si>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</si>
  <si>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</si>
  <si>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</si>
  <si>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</si>
  <si>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</si>
  <si>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</si>
  <si>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</si>
  <si>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</si>
  <si>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</si>
  <si>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</si>
  <si>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</si>
  <si>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</si>
  <si>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</si>
  <si>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</si>
  <si>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</si>
  <si>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</si>
  <si>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</si>
  <si>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</si>
  <si>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</si>
  <si>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</si>
  <si>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</si>
  <si>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</si>
  <si>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</si>
  <si>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</si>
  <si>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</si>
  <si>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</si>
  <si>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</si>
  <si>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</si>
  <si>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</si>
  <si>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</si>
  <si>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</si>
  <si>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</si>
  <si>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</si>
  <si>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</si>
  <si>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</si>
  <si>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</si>
  <si>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</si>
  <si>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</si>
  <si>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</si>
  <si>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</si>
  <si>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</si>
  <si>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</si>
  <si>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</si>
  <si>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</si>
  <si>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</si>
  <si>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</si>
  <si>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</si>
  <si>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</si>
  <si>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</si>
  <si>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</si>
  <si>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</si>
  <si>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</si>
  <si>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</si>
  <si>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</si>
  <si>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</si>
  <si>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</si>
  <si>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</si>
  <si>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</si>
  <si>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</si>
  <si>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</si>
  <si>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</si>
  <si>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</si>
  <si>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</si>
  <si>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</si>
  <si>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</si>
  <si>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</si>
  <si>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</si>
  <si>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</si>
  <si>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</si>
  <si>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</si>
  <si>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</si>
  <si>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</si>
  <si>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</si>
  <si>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</si>
  <si>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</si>
  <si>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</si>
  <si>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</si>
  <si>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</si>
  <si>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</si>
  <si>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</si>
  <si>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</si>
  <si>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</si>
  <si>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</si>
  <si>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</si>
  <si>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</si>
  <si>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</si>
  <si>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</si>
  <si>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</si>
  <si>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</si>
  <si>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</si>
  <si>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</si>
  <si>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</si>
  <si>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</si>
  <si>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</si>
  <si>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</si>
  <si>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</si>
  <si>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</si>
  <si>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</si>
  <si>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</si>
  <si>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</si>
  <si>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</si>
  <si>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</si>
  <si>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</si>
  <si>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</si>
  <si>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</si>
  <si>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</si>
  <si>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</si>
  <si>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</si>
  <si>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</si>
  <si>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</si>
  <si>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</si>
  <si>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</si>
  <si>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</si>
  <si>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</si>
  <si>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</si>
  <si>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</si>
  <si>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</si>
  <si>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</si>
  <si>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</si>
  <si>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</si>
  <si>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</si>
  <si>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</si>
  <si>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</si>
  <si>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</si>
  <si>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</si>
  <si>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</si>
  <si>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</si>
  <si>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</si>
  <si>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</si>
  <si>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</si>
  <si>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</si>
  <si>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</si>
  <si>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</si>
  <si>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</si>
  <si>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</si>
  <si>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</si>
  <si>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</si>
  <si>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</si>
  <si>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</si>
  <si>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</si>
  <si>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</si>
  <si>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</si>
  <si>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</si>
  <si>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</si>
  <si>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</si>
  <si>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</si>
  <si>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</si>
  <si>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</si>
  <si>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</si>
  <si>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</si>
  <si>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</si>
  <si>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</si>
  <si>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</si>
  <si>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</si>
  <si>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</si>
  <si>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</si>
  <si>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</si>
  <si>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</si>
  <si>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</si>
  <si>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</si>
  <si>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</si>
  <si>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</si>
  <si>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</si>
  <si>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</si>
  <si>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</si>
  <si>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</si>
  <si>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</si>
  <si>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</si>
  <si>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</si>
  <si>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</si>
  <si>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</si>
  <si>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</si>
  <si>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</si>
  <si>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</si>
  <si>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</si>
  <si>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</si>
  <si>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</si>
  <si>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</si>
  <si>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</si>
  <si>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</si>
  <si>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</si>
  <si>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</si>
  <si>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</si>
  <si>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</si>
  <si>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</si>
  <si>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</si>
  <si>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</si>
  <si>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</si>
  <si>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</si>
  <si>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</si>
  <si>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</si>
  <si>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</si>
  <si>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</si>
  <si>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</si>
  <si>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</si>
  <si>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</si>
  <si>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</si>
  <si>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</si>
  <si>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</si>
  <si>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</si>
  <si>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</si>
  <si>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</si>
  <si>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</si>
  <si>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</si>
  <si>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</si>
  <si>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</si>
  <si>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</si>
  <si>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</si>
  <si>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</si>
  <si>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</si>
  <si>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</si>
  <si>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</si>
  <si>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</si>
  <si>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</si>
  <si>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</si>
  <si>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</si>
  <si>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</si>
  <si>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</si>
  <si>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</si>
  <si>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</si>
  <si>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</si>
  <si>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</si>
  <si>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</si>
  <si>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</si>
  <si>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</si>
  <si>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</si>
  <si>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</si>
  <si>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</si>
  <si>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</si>
  <si>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</si>
  <si>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</si>
  <si>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</si>
  <si>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</si>
  <si>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</si>
  <si>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</si>
  <si>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</si>
  <si>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</si>
  <si>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</si>
  <si>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</si>
  <si>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</si>
  <si>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</si>
  <si>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</si>
  <si>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</si>
  <si>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</si>
  <si>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</si>
  <si>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</si>
  <si>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</si>
  <si>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</si>
  <si>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</si>
  <si>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</si>
  <si>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</si>
  <si>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</si>
  <si>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</si>
  <si>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</si>
  <si>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</si>
  <si>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</si>
  <si>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</si>
  <si>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</si>
  <si>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</si>
  <si>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</si>
  <si>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</si>
  <si>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</si>
  <si>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</si>
  <si>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</si>
  <si>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</si>
  <si>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</si>
  <si>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</si>
  <si>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</si>
  <si>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</si>
  <si>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</si>
  <si>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</si>
  <si>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 xml:space="preserve"> 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</si>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</sst>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37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name val="Tahoma"/>
      <family val="2"/>
    </font>
    <font>
      <b/>
      <sz val="11"/>
      <color rgb="FFC00000"/>
      <name val="Calibri"/>
      <family val="2"/>
      <scheme val="minor"/>
    </font>
    <font>
      <b/>
      <sz val="10"/>
      <color theme="0"/>
      <name val="Tahoma"/>
      <family val="2"/>
    </font>
    <font>
      <b/>
      <sz val="12"/>
      <color theme="0"/>
      <name val="Tahoma"/>
      <family val="2"/>
    </font>
    <font>
      <sz val="10"/>
      <name val="Tahoma"/>
      <family val="2"/>
    </font>
    <font>
      <sz val="10"/>
      <name val="Calibri"/>
      <family val="2"/>
    </font>
    <font>
      <sz val="11"/>
      <name val="Calibri"/>
      <family val="2"/>
      <scheme val="minor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0"/>
      <color rgb="FFBA122B"/>
      <name val="Tahoma"/>
      <family val="2"/>
    </font>
    <font>
      <sz val="10"/>
      <color rgb="FF000000"/>
      <name val="Tahoma"/>
      <family val="2"/>
    </font>
    <font>
      <sz val="10"/>
      <color rgb="FFC00000"/>
      <name val="Tahoma"/>
      <family val="2"/>
    </font>
    <font>
      <sz val="11"/>
      <name val="Tahoma"/>
      <family val="2"/>
    </font>
    <font>
      <sz val="8"/>
      <name val="Calibri"/>
      <family val="2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9">
    <xf numFmtId="0" fontId="0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 applyNumberFormat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3" fillId="0" borderId="0" applyNumberFormat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4" fillId="0" borderId="0"/>
    <xf numFmtId="0" fontId="13" fillId="0" borderId="0" applyNumberFormat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</cellStyleXfs>
  <cellXfs count="317">
    <xf numFmtId="0" fontId="0" fillId="0" borderId="0" xfId="0"/>
    <xf numFmtId="0" fontId="14" fillId="0" borderId="1" xfId="7" applyFont="1" applyFill="1" applyBorder="1" applyAlignment="1">
      <alignment horizontal="center" vertical="center" wrapText="1"/>
    </xf>
    <xf numFmtId="0" fontId="6" fillId="3" borderId="0" xfId="8" applyFill="1"/>
    <xf numFmtId="165" fontId="6" fillId="3" borderId="0" xfId="8" applyNumberFormat="1" applyFill="1" applyAlignment="1">
      <alignment horizontal="center" vertical="center" wrapText="1"/>
    </xf>
    <xf numFmtId="0" fontId="6" fillId="3" borderId="0" xfId="8" applyFill="1" applyAlignment="1">
      <alignment horizontal="center" vertical="center"/>
    </xf>
    <xf numFmtId="0" fontId="6" fillId="3" borderId="0" xfId="8" applyFill="1" applyAlignment="1">
      <alignment horizontal="center" vertical="center" wrapText="1"/>
    </xf>
    <xf numFmtId="164" fontId="0" fillId="3" borderId="0" xfId="9" applyNumberFormat="1" applyFont="1" applyFill="1"/>
    <xf numFmtId="164" fontId="15" fillId="3" borderId="0" xfId="9" applyNumberFormat="1" applyFont="1" applyFill="1" applyAlignment="1">
      <alignment horizontal="center" wrapText="1"/>
    </xf>
    <xf numFmtId="0" fontId="6" fillId="3" borderId="0" xfId="8" applyFill="1" applyAlignment="1">
      <alignment horizontal="center"/>
    </xf>
    <xf numFmtId="0" fontId="16" fillId="4" borderId="2" xfId="7" applyFont="1" applyFill="1" applyBorder="1" applyAlignment="1">
      <alignment horizontal="center" vertical="center" wrapText="1"/>
    </xf>
    <xf numFmtId="0" fontId="16" fillId="4" borderId="2" xfId="7" applyFont="1" applyFill="1" applyBorder="1" applyAlignment="1">
      <alignment horizontal="center" vertical="center"/>
    </xf>
    <xf numFmtId="0" fontId="16" fillId="5" borderId="2" xfId="7" applyFont="1" applyFill="1" applyBorder="1" applyAlignment="1">
      <alignment horizontal="center" vertical="center" wrapText="1"/>
    </xf>
    <xf numFmtId="165" fontId="16" fillId="4" borderId="2" xfId="7" applyNumberFormat="1" applyFont="1" applyFill="1" applyBorder="1" applyAlignment="1">
      <alignment horizontal="center" vertical="center" wrapText="1"/>
    </xf>
    <xf numFmtId="165" fontId="16" fillId="6" borderId="2" xfId="7" applyNumberFormat="1" applyFont="1" applyFill="1" applyBorder="1" applyAlignment="1">
      <alignment horizontal="center" vertical="center" wrapText="1"/>
    </xf>
    <xf numFmtId="164" fontId="0" fillId="3" borderId="0" xfId="9" applyNumberFormat="1" applyFont="1" applyFill="1" applyAlignment="1">
      <alignment vertical="center"/>
    </xf>
    <xf numFmtId="0" fontId="6" fillId="3" borderId="0" xfId="8" applyFill="1" applyAlignment="1">
      <alignment vertical="center"/>
    </xf>
    <xf numFmtId="0" fontId="17" fillId="8" borderId="3" xfId="7" applyFont="1" applyFill="1" applyBorder="1" applyAlignment="1">
      <alignment vertical="center"/>
    </xf>
    <xf numFmtId="0" fontId="17" fillId="8" borderId="4" xfId="7" applyFont="1" applyFill="1" applyBorder="1" applyAlignment="1">
      <alignment horizontal="center" vertical="center"/>
    </xf>
    <xf numFmtId="0" fontId="16" fillId="8" borderId="4" xfId="7" applyFont="1" applyFill="1" applyBorder="1" applyAlignment="1">
      <alignment vertical="center"/>
    </xf>
    <xf numFmtId="0" fontId="16" fillId="8" borderId="5" xfId="7" applyFont="1" applyFill="1" applyBorder="1" applyAlignment="1">
      <alignment vertical="center"/>
    </xf>
    <xf numFmtId="0" fontId="14" fillId="9" borderId="6" xfId="7" applyFont="1" applyFill="1" applyBorder="1" applyAlignment="1">
      <alignment horizontal="left" vertical="center" wrapText="1"/>
    </xf>
    <xf numFmtId="0" fontId="18" fillId="9" borderId="7" xfId="7" applyFont="1" applyFill="1" applyBorder="1" applyAlignment="1">
      <alignment horizontal="center" vertical="center" wrapText="1"/>
    </xf>
    <xf numFmtId="165" fontId="18" fillId="9" borderId="7" xfId="7" applyNumberFormat="1" applyFont="1" applyFill="1" applyBorder="1" applyAlignment="1">
      <alignment horizontal="center" vertical="center"/>
    </xf>
    <xf numFmtId="165" fontId="18" fillId="9" borderId="5" xfId="7" applyNumberFormat="1" applyFont="1" applyFill="1" applyBorder="1" applyAlignment="1">
      <alignment horizontal="center" vertical="center"/>
    </xf>
    <xf numFmtId="164" fontId="11" fillId="3" borderId="0" xfId="9" applyNumberFormat="1" applyFont="1" applyFill="1" applyAlignment="1">
      <alignment vertical="center"/>
    </xf>
    <xf numFmtId="0" fontId="18" fillId="3" borderId="8" xfId="8" applyFont="1" applyFill="1" applyBorder="1" applyAlignment="1">
      <alignment horizontal="center" vertical="center" wrapText="1"/>
    </xf>
    <xf numFmtId="0" fontId="18" fillId="3" borderId="8" xfId="8" applyFont="1" applyFill="1" applyBorder="1" applyAlignment="1">
      <alignment vertical="center"/>
    </xf>
    <xf numFmtId="1" fontId="18" fillId="3" borderId="8" xfId="8" applyNumberFormat="1" applyFont="1" applyFill="1" applyBorder="1" applyAlignment="1">
      <alignment horizontal="center" vertical="center"/>
    </xf>
    <xf numFmtId="165" fontId="18" fillId="3" borderId="8" xfId="8" applyNumberFormat="1" applyFont="1" applyFill="1" applyBorder="1" applyAlignment="1">
      <alignment horizontal="center" vertical="center"/>
    </xf>
    <xf numFmtId="164" fontId="0" fillId="3" borderId="0" xfId="9" applyNumberFormat="1" applyFont="1" applyFill="1" applyAlignment="1">
      <alignment horizontal="left"/>
    </xf>
    <xf numFmtId="44" fontId="0" fillId="3" borderId="0" xfId="10" applyFont="1" applyFill="1" applyAlignment="1">
      <alignment horizontal="center"/>
    </xf>
    <xf numFmtId="165" fontId="6" fillId="3" borderId="0" xfId="8" applyNumberFormat="1" applyFill="1" applyAlignment="1">
      <alignment horizontal="center" vertical="center"/>
    </xf>
    <xf numFmtId="2" fontId="6" fillId="3" borderId="0" xfId="8" applyNumberFormat="1" applyFill="1" applyAlignment="1">
      <alignment vertical="center"/>
    </xf>
    <xf numFmtId="0" fontId="18" fillId="3" borderId="9" xfId="8" applyFont="1" applyFill="1" applyBorder="1" applyAlignment="1">
      <alignment horizontal="center" vertical="center" wrapText="1"/>
    </xf>
    <xf numFmtId="0" fontId="18" fillId="3" borderId="9" xfId="8" applyFont="1" applyFill="1" applyBorder="1" applyAlignment="1">
      <alignment vertical="center"/>
    </xf>
    <xf numFmtId="1" fontId="18" fillId="3" borderId="9" xfId="8" applyNumberFormat="1" applyFont="1" applyFill="1" applyBorder="1" applyAlignment="1">
      <alignment horizontal="center" vertical="center"/>
    </xf>
    <xf numFmtId="165" fontId="18" fillId="3" borderId="9" xfId="8" applyNumberFormat="1" applyFont="1" applyFill="1" applyBorder="1" applyAlignment="1">
      <alignment horizontal="center" vertical="center"/>
    </xf>
    <xf numFmtId="0" fontId="18" fillId="3" borderId="9" xfId="8" applyFont="1" applyFill="1" applyBorder="1" applyAlignment="1">
      <alignment horizontal="center" vertical="center"/>
    </xf>
    <xf numFmtId="44" fontId="0" fillId="7" borderId="0" xfId="10" applyFont="1" applyFill="1" applyAlignment="1">
      <alignment horizontal="center"/>
    </xf>
    <xf numFmtId="0" fontId="18" fillId="0" borderId="9" xfId="8" applyFont="1" applyBorder="1" applyAlignment="1">
      <alignment horizontal="center" vertical="center" wrapText="1"/>
    </xf>
    <xf numFmtId="0" fontId="18" fillId="0" borderId="9" xfId="8" applyFont="1" applyBorder="1" applyAlignment="1">
      <alignment vertical="center"/>
    </xf>
    <xf numFmtId="165" fontId="18" fillId="0" borderId="9" xfId="8" applyNumberFormat="1" applyFont="1" applyBorder="1" applyAlignment="1">
      <alignment horizontal="center" vertical="center"/>
    </xf>
    <xf numFmtId="44" fontId="0" fillId="3" borderId="0" xfId="10" applyFont="1" applyFill="1" applyAlignment="1">
      <alignment horizontal="center" vertical="center"/>
    </xf>
    <xf numFmtId="0" fontId="18" fillId="0" borderId="9" xfId="8" applyFont="1" applyBorder="1" applyAlignment="1">
      <alignment horizontal="center" vertical="center"/>
    </xf>
    <xf numFmtId="0" fontId="14" fillId="3" borderId="2" xfId="7" applyFont="1" applyFill="1" applyBorder="1" applyAlignment="1">
      <alignment horizontal="left" vertical="center" wrapText="1"/>
    </xf>
    <xf numFmtId="0" fontId="18" fillId="3" borderId="2" xfId="7" applyFont="1" applyFill="1" applyBorder="1" applyAlignment="1">
      <alignment horizontal="center" vertical="center" wrapText="1"/>
    </xf>
    <xf numFmtId="165" fontId="18" fillId="3" borderId="2" xfId="7" applyNumberFormat="1" applyFont="1" applyFill="1" applyBorder="1" applyAlignment="1">
      <alignment horizontal="center" vertical="center"/>
    </xf>
    <xf numFmtId="165" fontId="18" fillId="9" borderId="10" xfId="7" applyNumberFormat="1" applyFont="1" applyFill="1" applyBorder="1" applyAlignment="1">
      <alignment horizontal="center" vertical="center"/>
    </xf>
    <xf numFmtId="1" fontId="18" fillId="3" borderId="8" xfId="8" applyNumberFormat="1" applyFont="1" applyFill="1" applyBorder="1" applyAlignment="1">
      <alignment horizontal="center" vertical="center" wrapText="1"/>
    </xf>
    <xf numFmtId="1" fontId="18" fillId="3" borderId="9" xfId="8" applyNumberFormat="1" applyFont="1" applyFill="1" applyBorder="1" applyAlignment="1">
      <alignment horizontal="center" vertical="center" wrapText="1"/>
    </xf>
    <xf numFmtId="44" fontId="20" fillId="7" borderId="0" xfId="10" applyFont="1" applyFill="1" applyBorder="1" applyAlignment="1">
      <alignment horizontal="center" vertical="center"/>
    </xf>
    <xf numFmtId="0" fontId="18" fillId="3" borderId="9" xfId="8" quotePrefix="1" applyFont="1" applyFill="1" applyBorder="1" applyAlignment="1">
      <alignment horizontal="center" vertical="center" wrapText="1"/>
    </xf>
    <xf numFmtId="0" fontId="18" fillId="3" borderId="2" xfId="8" applyFont="1" applyFill="1" applyBorder="1" applyAlignment="1">
      <alignment horizontal="center" vertical="center" wrapText="1"/>
    </xf>
    <xf numFmtId="0" fontId="18" fillId="3" borderId="2" xfId="8" applyFont="1" applyFill="1" applyBorder="1" applyAlignment="1">
      <alignment vertical="center"/>
    </xf>
    <xf numFmtId="165" fontId="18" fillId="3" borderId="2" xfId="8" applyNumberFormat="1" applyFont="1" applyFill="1" applyBorder="1" applyAlignment="1">
      <alignment horizontal="center" vertical="center"/>
    </xf>
    <xf numFmtId="0" fontId="18" fillId="3" borderId="3" xfId="8" applyFont="1" applyFill="1" applyBorder="1" applyAlignment="1">
      <alignment horizontal="center" vertical="center" wrapText="1"/>
    </xf>
    <xf numFmtId="0" fontId="18" fillId="3" borderId="4" xfId="8" applyFont="1" applyFill="1" applyBorder="1" applyAlignment="1">
      <alignment vertical="center"/>
    </xf>
    <xf numFmtId="0" fontId="18" fillId="3" borderId="4" xfId="8" applyFont="1" applyFill="1" applyBorder="1" applyAlignment="1">
      <alignment horizontal="center" vertical="center" wrapText="1"/>
    </xf>
    <xf numFmtId="165" fontId="18" fillId="3" borderId="4" xfId="8" applyNumberFormat="1" applyFont="1" applyFill="1" applyBorder="1" applyAlignment="1">
      <alignment horizontal="center" vertical="center"/>
    </xf>
    <xf numFmtId="165" fontId="18" fillId="3" borderId="11" xfId="8" applyNumberFormat="1" applyFont="1" applyFill="1" applyBorder="1" applyAlignment="1">
      <alignment horizontal="center" vertical="center"/>
    </xf>
    <xf numFmtId="0" fontId="18" fillId="0" borderId="8" xfId="8" applyFont="1" applyBorder="1" applyAlignment="1">
      <alignment horizontal="center" vertical="center" wrapText="1"/>
    </xf>
    <xf numFmtId="0" fontId="18" fillId="0" borderId="8" xfId="8" applyFont="1" applyBorder="1" applyAlignment="1">
      <alignment horizontal="left" vertical="center"/>
    </xf>
    <xf numFmtId="165" fontId="18" fillId="0" borderId="8" xfId="8" applyNumberFormat="1" applyFont="1" applyBorder="1" applyAlignment="1">
      <alignment horizontal="center" vertical="center"/>
    </xf>
    <xf numFmtId="0" fontId="18" fillId="3" borderId="2" xfId="8" applyFont="1" applyFill="1" applyBorder="1" applyAlignment="1">
      <alignment horizontal="center" vertical="center"/>
    </xf>
    <xf numFmtId="165" fontId="22" fillId="3" borderId="9" xfId="8" applyNumberFormat="1" applyFont="1" applyFill="1" applyBorder="1" applyAlignment="1">
      <alignment horizontal="center" vertical="center"/>
    </xf>
    <xf numFmtId="0" fontId="18" fillId="3" borderId="9" xfId="8" quotePrefix="1" applyFont="1" applyFill="1" applyBorder="1" applyAlignment="1">
      <alignment horizontal="center" vertical="center"/>
    </xf>
    <xf numFmtId="0" fontId="18" fillId="3" borderId="9" xfId="8" applyFont="1" applyFill="1" applyBorder="1" applyAlignment="1">
      <alignment horizontal="left" vertical="center"/>
    </xf>
    <xf numFmtId="0" fontId="18" fillId="3" borderId="2" xfId="7" applyFont="1" applyFill="1" applyBorder="1" applyAlignment="1">
      <alignment vertical="center"/>
    </xf>
    <xf numFmtId="0" fontId="18" fillId="3" borderId="8" xfId="8" applyFont="1" applyFill="1" applyBorder="1" applyAlignment="1">
      <alignment horizontal="center" vertical="center"/>
    </xf>
    <xf numFmtId="0" fontId="18" fillId="3" borderId="8" xfId="8" applyFont="1" applyFill="1" applyBorder="1" applyAlignment="1">
      <alignment horizontal="left" vertical="center"/>
    </xf>
    <xf numFmtId="0" fontId="18" fillId="0" borderId="9" xfId="8" applyFont="1" applyBorder="1" applyAlignment="1">
      <alignment horizontal="left" vertical="center"/>
    </xf>
    <xf numFmtId="0" fontId="22" fillId="3" borderId="0" xfId="8" applyFont="1" applyFill="1"/>
    <xf numFmtId="0" fontId="22" fillId="3" borderId="9" xfId="8" applyFont="1" applyFill="1" applyBorder="1" applyAlignment="1">
      <alignment horizontal="center" vertical="center"/>
    </xf>
    <xf numFmtId="0" fontId="13" fillId="3" borderId="9" xfId="8" applyFont="1" applyFill="1" applyBorder="1" applyAlignment="1">
      <alignment horizontal="center" vertical="center"/>
    </xf>
    <xf numFmtId="0" fontId="18" fillId="3" borderId="2" xfId="8" applyFont="1" applyFill="1" applyBorder="1" applyAlignment="1">
      <alignment horizontal="left" vertical="center"/>
    </xf>
    <xf numFmtId="0" fontId="18" fillId="3" borderId="6" xfId="8" applyFont="1" applyFill="1" applyBorder="1" applyAlignment="1">
      <alignment horizontal="center" vertical="center"/>
    </xf>
    <xf numFmtId="0" fontId="18" fillId="3" borderId="9" xfId="11" quotePrefix="1" applyFont="1" applyFill="1" applyBorder="1" applyAlignment="1">
      <alignment horizontal="center" vertical="center" wrapText="1"/>
    </xf>
    <xf numFmtId="0" fontId="18" fillId="3" borderId="8" xfId="11" applyFont="1" applyFill="1" applyBorder="1" applyAlignment="1">
      <alignment vertical="center"/>
    </xf>
    <xf numFmtId="0" fontId="18" fillId="3" borderId="8" xfId="11" applyFont="1" applyFill="1" applyBorder="1" applyAlignment="1">
      <alignment horizontal="center" vertical="center" wrapText="1"/>
    </xf>
    <xf numFmtId="49" fontId="19" fillId="3" borderId="8" xfId="7" applyNumberFormat="1" applyFont="1" applyFill="1" applyBorder="1" applyAlignment="1">
      <alignment horizontal="center" vertical="center"/>
    </xf>
    <xf numFmtId="165" fontId="18" fillId="3" borderId="8" xfId="11" applyNumberFormat="1" applyFont="1" applyFill="1" applyBorder="1" applyAlignment="1">
      <alignment horizontal="center" vertical="center"/>
    </xf>
    <xf numFmtId="165" fontId="18" fillId="3" borderId="8" xfId="12" applyNumberFormat="1" applyFont="1" applyFill="1" applyBorder="1" applyAlignment="1">
      <alignment horizontal="center" vertical="center"/>
    </xf>
    <xf numFmtId="49" fontId="18" fillId="3" borderId="9" xfId="11" applyNumberFormat="1" applyFont="1" applyFill="1" applyBorder="1" applyAlignment="1">
      <alignment horizontal="center" vertical="center" wrapText="1"/>
    </xf>
    <xf numFmtId="0" fontId="18" fillId="3" borderId="9" xfId="11" applyFont="1" applyFill="1" applyBorder="1" applyAlignment="1">
      <alignment vertical="center" wrapText="1"/>
    </xf>
    <xf numFmtId="0" fontId="18" fillId="3" borderId="9" xfId="11" applyFont="1" applyFill="1" applyBorder="1" applyAlignment="1">
      <alignment horizontal="center" vertical="center" wrapText="1"/>
    </xf>
    <xf numFmtId="49" fontId="19" fillId="3" borderId="9" xfId="7" applyNumberFormat="1" applyFont="1" applyFill="1" applyBorder="1" applyAlignment="1">
      <alignment horizontal="center" vertical="center"/>
    </xf>
    <xf numFmtId="165" fontId="18" fillId="3" borderId="9" xfId="11" applyNumberFormat="1" applyFont="1" applyFill="1" applyBorder="1" applyAlignment="1">
      <alignment horizontal="center" vertical="center"/>
    </xf>
    <xf numFmtId="165" fontId="18" fillId="3" borderId="9" xfId="12" applyNumberFormat="1" applyFont="1" applyFill="1" applyBorder="1" applyAlignment="1">
      <alignment horizontal="center" vertical="center" wrapText="1"/>
    </xf>
    <xf numFmtId="164" fontId="22" fillId="3" borderId="0" xfId="9" applyNumberFormat="1" applyFont="1" applyFill="1" applyAlignment="1">
      <alignment vertical="center"/>
    </xf>
    <xf numFmtId="44" fontId="22" fillId="3" borderId="0" xfId="10" applyFont="1" applyFill="1" applyAlignment="1">
      <alignment horizontal="center" vertical="center"/>
    </xf>
    <xf numFmtId="0" fontId="20" fillId="3" borderId="0" xfId="8" applyFont="1" applyFill="1" applyAlignment="1">
      <alignment vertical="center"/>
    </xf>
    <xf numFmtId="165" fontId="18" fillId="3" borderId="2" xfId="12" applyNumberFormat="1" applyFont="1" applyFill="1" applyBorder="1" applyAlignment="1">
      <alignment horizontal="center" vertical="center" wrapText="1"/>
    </xf>
    <xf numFmtId="49" fontId="18" fillId="3" borderId="9" xfId="11" applyNumberFormat="1" applyFont="1" applyFill="1" applyBorder="1" applyAlignment="1">
      <alignment horizontal="center" vertical="center"/>
    </xf>
    <xf numFmtId="0" fontId="18" fillId="3" borderId="9" xfId="11" applyFont="1" applyFill="1" applyBorder="1" applyAlignment="1">
      <alignment vertical="center"/>
    </xf>
    <xf numFmtId="0" fontId="18" fillId="3" borderId="9" xfId="11" applyFont="1" applyFill="1" applyBorder="1" applyAlignment="1">
      <alignment horizontal="center" vertical="center"/>
    </xf>
    <xf numFmtId="0" fontId="18" fillId="3" borderId="9" xfId="11" quotePrefix="1" applyFont="1" applyFill="1" applyBorder="1" applyAlignment="1">
      <alignment horizontal="center" vertical="center"/>
    </xf>
    <xf numFmtId="49" fontId="18" fillId="3" borderId="9" xfId="11" quotePrefix="1" applyNumberFormat="1" applyFont="1" applyFill="1" applyBorder="1" applyAlignment="1">
      <alignment horizontal="center" vertical="center"/>
    </xf>
    <xf numFmtId="17" fontId="18" fillId="3" borderId="9" xfId="11" quotePrefix="1" applyNumberFormat="1" applyFont="1" applyFill="1" applyBorder="1" applyAlignment="1">
      <alignment horizontal="center" vertical="center" wrapText="1"/>
    </xf>
    <xf numFmtId="1" fontId="18" fillId="0" borderId="9" xfId="8" applyNumberFormat="1" applyFont="1" applyBorder="1" applyAlignment="1">
      <alignment horizontal="center" vertical="center" wrapText="1"/>
    </xf>
    <xf numFmtId="1" fontId="18" fillId="3" borderId="2" xfId="8" applyNumberFormat="1" applyFont="1" applyFill="1" applyBorder="1" applyAlignment="1">
      <alignment horizontal="center" vertical="center" wrapText="1"/>
    </xf>
    <xf numFmtId="0" fontId="14" fillId="3" borderId="6" xfId="7" applyFont="1" applyFill="1" applyBorder="1" applyAlignment="1">
      <alignment horizontal="left" vertical="center" wrapText="1"/>
    </xf>
    <xf numFmtId="17" fontId="18" fillId="3" borderId="9" xfId="8" quotePrefix="1" applyNumberFormat="1" applyFont="1" applyFill="1" applyBorder="1" applyAlignment="1">
      <alignment horizontal="center" vertical="center" wrapText="1"/>
    </xf>
    <xf numFmtId="0" fontId="18" fillId="3" borderId="2" xfId="8" quotePrefix="1" applyFont="1" applyFill="1" applyBorder="1" applyAlignment="1">
      <alignment horizontal="center" vertical="center" wrapText="1"/>
    </xf>
    <xf numFmtId="0" fontId="14" fillId="3" borderId="0" xfId="7" applyFont="1" applyFill="1" applyBorder="1" applyAlignment="1">
      <alignment horizontal="left" vertical="center" wrapText="1"/>
    </xf>
    <xf numFmtId="0" fontId="18" fillId="3" borderId="0" xfId="7" applyFont="1" applyFill="1" applyBorder="1" applyAlignment="1">
      <alignment horizontal="center" vertical="center" wrapText="1"/>
    </xf>
    <xf numFmtId="165" fontId="18" fillId="3" borderId="0" xfId="7" applyNumberFormat="1" applyFont="1" applyFill="1" applyBorder="1" applyAlignment="1">
      <alignment horizontal="center" vertical="center"/>
    </xf>
    <xf numFmtId="0" fontId="17" fillId="8" borderId="6" xfId="7" applyFont="1" applyFill="1" applyBorder="1" applyAlignment="1">
      <alignment vertical="center"/>
    </xf>
    <xf numFmtId="0" fontId="17" fillId="8" borderId="7" xfId="7" applyFont="1" applyFill="1" applyBorder="1" applyAlignment="1">
      <alignment horizontal="center" vertical="center"/>
    </xf>
    <xf numFmtId="0" fontId="17" fillId="8" borderId="10" xfId="7" applyFont="1" applyFill="1" applyBorder="1" applyAlignment="1">
      <alignment horizontal="center" vertical="center"/>
    </xf>
    <xf numFmtId="0" fontId="18" fillId="9" borderId="1" xfId="7" applyFont="1" applyFill="1" applyBorder="1" applyAlignment="1">
      <alignment horizontal="center" vertical="center" wrapText="1"/>
    </xf>
    <xf numFmtId="165" fontId="18" fillId="9" borderId="1" xfId="7" applyNumberFormat="1" applyFont="1" applyFill="1" applyBorder="1" applyAlignment="1">
      <alignment horizontal="center" vertical="center"/>
    </xf>
    <xf numFmtId="0" fontId="18" fillId="3" borderId="2" xfId="7" applyFont="1" applyFill="1" applyBorder="1" applyAlignment="1">
      <alignment horizontal="center" vertical="center"/>
    </xf>
    <xf numFmtId="0" fontId="14" fillId="3" borderId="2" xfId="7" applyFont="1" applyFill="1" applyBorder="1" applyAlignment="1">
      <alignment horizontal="center" vertical="center" wrapText="1"/>
    </xf>
    <xf numFmtId="0" fontId="14" fillId="3" borderId="2" xfId="7" applyFont="1" applyFill="1" applyBorder="1" applyAlignment="1">
      <alignment horizontal="center" vertical="center"/>
    </xf>
    <xf numFmtId="165" fontId="14" fillId="3" borderId="2" xfId="7" applyNumberFormat="1" applyFont="1" applyFill="1" applyBorder="1" applyAlignment="1">
      <alignment horizontal="center" vertical="center" wrapText="1"/>
    </xf>
    <xf numFmtId="0" fontId="18" fillId="3" borderId="0" xfId="8" applyFont="1" applyFill="1" applyAlignment="1">
      <alignment horizontal="center" vertical="center"/>
    </xf>
    <xf numFmtId="0" fontId="18" fillId="3" borderId="0" xfId="8" applyFont="1" applyFill="1" applyAlignment="1">
      <alignment vertical="center"/>
    </xf>
    <xf numFmtId="0" fontId="18" fillId="3" borderId="0" xfId="8" applyFont="1" applyFill="1" applyAlignment="1">
      <alignment horizontal="center" vertical="center" wrapText="1"/>
    </xf>
    <xf numFmtId="165" fontId="18" fillId="3" borderId="0" xfId="8" applyNumberFormat="1" applyFont="1" applyFill="1" applyAlignment="1">
      <alignment horizontal="center" vertical="center"/>
    </xf>
    <xf numFmtId="0" fontId="16" fillId="8" borderId="7" xfId="7" applyFont="1" applyFill="1" applyBorder="1" applyAlignment="1">
      <alignment vertical="center"/>
    </xf>
    <xf numFmtId="0" fontId="16" fillId="8" borderId="10" xfId="7" applyFont="1" applyFill="1" applyBorder="1" applyAlignment="1">
      <alignment vertical="center"/>
    </xf>
    <xf numFmtId="49" fontId="18" fillId="3" borderId="8" xfId="8" applyNumberFormat="1" applyFont="1" applyFill="1" applyBorder="1" applyAlignment="1">
      <alignment horizontal="center" vertical="center" wrapText="1"/>
    </xf>
    <xf numFmtId="0" fontId="18" fillId="3" borderId="8" xfId="8" applyFont="1" applyFill="1" applyBorder="1" applyAlignment="1">
      <alignment vertical="center" wrapText="1"/>
    </xf>
    <xf numFmtId="49" fontId="18" fillId="3" borderId="9" xfId="8" applyNumberFormat="1" applyFont="1" applyFill="1" applyBorder="1" applyAlignment="1">
      <alignment horizontal="center" vertical="center" wrapText="1"/>
    </xf>
    <xf numFmtId="0" fontId="18" fillId="3" borderId="9" xfId="8" applyFont="1" applyFill="1" applyBorder="1" applyAlignment="1">
      <alignment vertical="center" wrapText="1"/>
    </xf>
    <xf numFmtId="8" fontId="18" fillId="3" borderId="9" xfId="8" applyNumberFormat="1" applyFont="1" applyFill="1" applyBorder="1" applyAlignment="1">
      <alignment horizontal="center" vertical="center"/>
    </xf>
    <xf numFmtId="49" fontId="18" fillId="3" borderId="2" xfId="8" applyNumberFormat="1" applyFont="1" applyFill="1" applyBorder="1" applyAlignment="1">
      <alignment horizontal="center" vertical="center" wrapText="1"/>
    </xf>
    <xf numFmtId="0" fontId="18" fillId="3" borderId="2" xfId="8" applyFont="1" applyFill="1" applyBorder="1" applyAlignment="1">
      <alignment vertical="center" wrapText="1"/>
    </xf>
    <xf numFmtId="165" fontId="18" fillId="3" borderId="2" xfId="8" applyNumberFormat="1" applyFont="1" applyFill="1" applyBorder="1" applyAlignment="1">
      <alignment horizontal="center" vertical="center" wrapText="1"/>
    </xf>
    <xf numFmtId="49" fontId="18" fillId="3" borderId="9" xfId="7" applyNumberFormat="1" applyFont="1" applyFill="1" applyBorder="1" applyAlignment="1">
      <alignment horizontal="center" vertical="center" wrapText="1"/>
    </xf>
    <xf numFmtId="0" fontId="18" fillId="3" borderId="10" xfId="13" applyFont="1" applyFill="1" applyBorder="1" applyAlignment="1">
      <alignment horizontal="left" vertical="center" wrapText="1"/>
    </xf>
    <xf numFmtId="49" fontId="18" fillId="3" borderId="10" xfId="13" applyNumberFormat="1" applyFont="1" applyFill="1" applyBorder="1" applyAlignment="1">
      <alignment horizontal="center" vertical="center" wrapText="1"/>
    </xf>
    <xf numFmtId="0" fontId="18" fillId="3" borderId="9" xfId="7" applyFont="1" applyFill="1" applyBorder="1" applyAlignment="1">
      <alignment horizontal="center" vertical="center" wrapText="1"/>
    </xf>
    <xf numFmtId="165" fontId="22" fillId="3" borderId="9" xfId="10" applyNumberFormat="1" applyFont="1" applyFill="1" applyBorder="1" applyAlignment="1">
      <alignment horizontal="center" vertical="center" wrapText="1"/>
    </xf>
    <xf numFmtId="49" fontId="18" fillId="3" borderId="10" xfId="7" applyNumberFormat="1" applyFont="1" applyFill="1" applyBorder="1" applyAlignment="1">
      <alignment horizontal="center" vertical="center"/>
    </xf>
    <xf numFmtId="0" fontId="18" fillId="3" borderId="9" xfId="13" applyFont="1" applyFill="1" applyBorder="1" applyAlignment="1">
      <alignment horizontal="left" vertical="center" wrapText="1"/>
    </xf>
    <xf numFmtId="49" fontId="18" fillId="3" borderId="9" xfId="7" applyNumberFormat="1" applyFont="1" applyFill="1" applyBorder="1" applyAlignment="1">
      <alignment horizontal="center" vertical="center"/>
    </xf>
    <xf numFmtId="49" fontId="24" fillId="3" borderId="9" xfId="7" applyNumberFormat="1" applyFont="1" applyFill="1" applyBorder="1" applyAlignment="1">
      <alignment horizontal="center" vertical="center"/>
    </xf>
    <xf numFmtId="49" fontId="18" fillId="3" borderId="2" xfId="7" applyNumberFormat="1" applyFont="1" applyFill="1" applyBorder="1" applyAlignment="1">
      <alignment horizontal="center" vertical="center" wrapText="1"/>
    </xf>
    <xf numFmtId="1" fontId="18" fillId="3" borderId="2" xfId="7" applyNumberFormat="1" applyFont="1" applyFill="1" applyBorder="1" applyAlignment="1">
      <alignment horizontal="center" vertical="center" wrapText="1"/>
    </xf>
    <xf numFmtId="49" fontId="18" fillId="9" borderId="7" xfId="7" applyNumberFormat="1" applyFont="1" applyFill="1" applyBorder="1" applyAlignment="1">
      <alignment horizontal="center" vertical="center" wrapText="1"/>
    </xf>
    <xf numFmtId="1" fontId="18" fillId="9" borderId="7" xfId="7" applyNumberFormat="1" applyFont="1" applyFill="1" applyBorder="1" applyAlignment="1">
      <alignment horizontal="center" vertical="center" wrapText="1"/>
    </xf>
    <xf numFmtId="165" fontId="18" fillId="3" borderId="2" xfId="7" applyNumberFormat="1" applyFont="1" applyFill="1" applyBorder="1" applyAlignment="1">
      <alignment horizontal="center" vertical="center" wrapText="1"/>
    </xf>
    <xf numFmtId="49" fontId="18" fillId="3" borderId="9" xfId="8" applyNumberFormat="1" applyFont="1" applyFill="1" applyBorder="1" applyAlignment="1">
      <alignment horizontal="center" vertical="center"/>
    </xf>
    <xf numFmtId="166" fontId="18" fillId="3" borderId="9" xfId="11" applyNumberFormat="1" applyFont="1" applyFill="1" applyBorder="1" applyAlignment="1">
      <alignment horizontal="center" vertical="center"/>
    </xf>
    <xf numFmtId="0" fontId="18" fillId="3" borderId="9" xfId="7" applyFont="1" applyFill="1" applyBorder="1" applyAlignment="1">
      <alignment vertical="center" wrapText="1"/>
    </xf>
    <xf numFmtId="0" fontId="22" fillId="3" borderId="9" xfId="7" applyFont="1" applyFill="1" applyBorder="1" applyAlignment="1">
      <alignment vertical="center" wrapText="1"/>
    </xf>
    <xf numFmtId="49" fontId="24" fillId="3" borderId="8" xfId="8" applyNumberFormat="1" applyFont="1" applyFill="1" applyBorder="1" applyAlignment="1">
      <alignment horizontal="center" vertical="center"/>
    </xf>
    <xf numFmtId="49" fontId="18" fillId="3" borderId="8" xfId="8" applyNumberFormat="1" applyFont="1" applyFill="1" applyBorder="1" applyAlignment="1">
      <alignment horizontal="center" vertical="center"/>
    </xf>
    <xf numFmtId="166" fontId="18" fillId="3" borderId="8" xfId="8" applyNumberFormat="1" applyFont="1" applyFill="1" applyBorder="1" applyAlignment="1">
      <alignment horizontal="center" vertical="center"/>
    </xf>
    <xf numFmtId="49" fontId="24" fillId="3" borderId="9" xfId="8" applyNumberFormat="1" applyFont="1" applyFill="1" applyBorder="1" applyAlignment="1">
      <alignment horizontal="center" vertical="center"/>
    </xf>
    <xf numFmtId="166" fontId="18" fillId="3" borderId="9" xfId="8" applyNumberFormat="1" applyFont="1" applyFill="1" applyBorder="1" applyAlignment="1">
      <alignment horizontal="center" vertical="center"/>
    </xf>
    <xf numFmtId="49" fontId="18" fillId="3" borderId="9" xfId="8" applyNumberFormat="1" applyFont="1" applyFill="1" applyBorder="1" applyAlignment="1">
      <alignment horizontal="left" vertical="center"/>
    </xf>
    <xf numFmtId="49" fontId="18" fillId="0" borderId="9" xfId="7" applyNumberFormat="1" applyFont="1" applyFill="1" applyBorder="1" applyAlignment="1">
      <alignment horizontal="center" vertical="center" wrapText="1"/>
    </xf>
    <xf numFmtId="49" fontId="22" fillId="3" borderId="0" xfId="8" applyNumberFormat="1" applyFont="1" applyFill="1" applyAlignment="1">
      <alignment horizontal="center" vertical="center"/>
    </xf>
    <xf numFmtId="0" fontId="18" fillId="3" borderId="9" xfId="7" applyFont="1" applyFill="1" applyBorder="1" applyAlignment="1">
      <alignment vertical="center"/>
    </xf>
    <xf numFmtId="0" fontId="18" fillId="3" borderId="9" xfId="7" applyNumberFormat="1" applyFont="1" applyFill="1" applyBorder="1" applyAlignment="1">
      <alignment horizontal="center" vertical="center" wrapText="1"/>
    </xf>
    <xf numFmtId="165" fontId="18" fillId="3" borderId="9" xfId="7" applyNumberFormat="1" applyFont="1" applyFill="1" applyBorder="1" applyAlignment="1">
      <alignment horizontal="center" vertical="center"/>
    </xf>
    <xf numFmtId="0" fontId="25" fillId="3" borderId="8" xfId="8" applyFont="1" applyFill="1" applyBorder="1" applyAlignment="1">
      <alignment horizontal="center" vertical="center" wrapText="1"/>
    </xf>
    <xf numFmtId="0" fontId="22" fillId="3" borderId="9" xfId="8" applyFont="1" applyFill="1" applyBorder="1"/>
    <xf numFmtId="44" fontId="10" fillId="7" borderId="0" xfId="10" applyFont="1" applyFill="1" applyAlignment="1">
      <alignment horizontal="center"/>
    </xf>
    <xf numFmtId="0" fontId="22" fillId="3" borderId="8" xfId="8" applyFont="1" applyFill="1" applyBorder="1" applyAlignment="1">
      <alignment horizontal="center" vertical="center"/>
    </xf>
    <xf numFmtId="0" fontId="25" fillId="3" borderId="8" xfId="8" applyFont="1" applyFill="1" applyBorder="1" applyAlignment="1">
      <alignment horizontal="center" vertical="center"/>
    </xf>
    <xf numFmtId="165" fontId="22" fillId="3" borderId="8" xfId="8" applyNumberFormat="1" applyFont="1" applyFill="1" applyBorder="1" applyAlignment="1">
      <alignment horizontal="center" vertical="center"/>
    </xf>
    <xf numFmtId="0" fontId="22" fillId="3" borderId="8" xfId="8" applyFont="1" applyFill="1" applyBorder="1"/>
    <xf numFmtId="0" fontId="26" fillId="3" borderId="8" xfId="8" applyFont="1" applyFill="1" applyBorder="1" applyAlignment="1">
      <alignment horizontal="center" vertical="center" wrapText="1"/>
    </xf>
    <xf numFmtId="0" fontId="26" fillId="3" borderId="8" xfId="8" applyFont="1" applyFill="1" applyBorder="1" applyAlignment="1">
      <alignment vertical="center"/>
    </xf>
    <xf numFmtId="0" fontId="26" fillId="3" borderId="8" xfId="8" applyFont="1" applyFill="1" applyBorder="1" applyAlignment="1">
      <alignment horizontal="center" vertical="center"/>
    </xf>
    <xf numFmtId="165" fontId="26" fillId="3" borderId="8" xfId="8" applyNumberFormat="1" applyFont="1" applyFill="1" applyBorder="1" applyAlignment="1">
      <alignment horizontal="center" vertical="center"/>
    </xf>
    <xf numFmtId="0" fontId="26" fillId="9" borderId="1" xfId="7" applyFont="1" applyFill="1" applyBorder="1" applyAlignment="1">
      <alignment horizontal="center" vertical="center" wrapText="1"/>
    </xf>
    <xf numFmtId="165" fontId="26" fillId="9" borderId="1" xfId="7" applyNumberFormat="1" applyFont="1" applyFill="1" applyBorder="1" applyAlignment="1">
      <alignment horizontal="center" vertical="center"/>
    </xf>
    <xf numFmtId="165" fontId="26" fillId="9" borderId="5" xfId="7" applyNumberFormat="1" applyFont="1" applyFill="1" applyBorder="1" applyAlignment="1">
      <alignment horizontal="center" vertical="center"/>
    </xf>
    <xf numFmtId="164" fontId="0" fillId="3" borderId="0" xfId="9" applyNumberFormat="1" applyFont="1" applyFill="1" applyAlignment="1">
      <alignment horizontal="center"/>
    </xf>
    <xf numFmtId="0" fontId="20" fillId="3" borderId="0" xfId="8" applyFont="1" applyFill="1" applyAlignment="1">
      <alignment horizontal="center" vertical="center"/>
    </xf>
    <xf numFmtId="44" fontId="6" fillId="3" borderId="0" xfId="1" applyFont="1" applyFill="1" applyAlignment="1">
      <alignment horizontal="center" vertical="center"/>
    </xf>
    <xf numFmtId="165" fontId="6" fillId="3" borderId="0" xfId="1" applyNumberFormat="1" applyFont="1" applyFill="1" applyAlignment="1">
      <alignment horizontal="center" vertical="center"/>
    </xf>
    <xf numFmtId="164" fontId="6" fillId="3" borderId="0" xfId="2" applyNumberFormat="1" applyFont="1" applyFill="1" applyAlignment="1">
      <alignment horizontal="center" vertical="center"/>
    </xf>
    <xf numFmtId="44" fontId="20" fillId="3" borderId="0" xfId="1" applyFont="1" applyFill="1" applyAlignment="1">
      <alignment horizontal="center" vertical="center"/>
    </xf>
    <xf numFmtId="44" fontId="28" fillId="3" borderId="0" xfId="1" applyFont="1" applyFill="1" applyAlignment="1">
      <alignment horizontal="center" vertical="center"/>
    </xf>
    <xf numFmtId="165" fontId="28" fillId="3" borderId="0" xfId="1" applyNumberFormat="1" applyFont="1" applyFill="1" applyAlignment="1">
      <alignment horizontal="center" vertical="center"/>
    </xf>
    <xf numFmtId="164" fontId="28" fillId="3" borderId="0" xfId="2" applyNumberFormat="1" applyFont="1" applyFill="1" applyAlignment="1">
      <alignment horizontal="center" vertical="center"/>
    </xf>
    <xf numFmtId="165" fontId="25" fillId="3" borderId="9" xfId="8" applyNumberFormat="1" applyFont="1" applyFill="1" applyBorder="1" applyAlignment="1">
      <alignment horizontal="center" vertical="center"/>
    </xf>
    <xf numFmtId="165" fontId="18" fillId="0" borderId="2" xfId="8" applyNumberFormat="1" applyFont="1" applyBorder="1" applyAlignment="1">
      <alignment horizontal="center" vertical="center"/>
    </xf>
    <xf numFmtId="165" fontId="22" fillId="0" borderId="9" xfId="8" applyNumberFormat="1" applyFont="1" applyBorder="1" applyAlignment="1">
      <alignment horizontal="center" vertical="center"/>
    </xf>
    <xf numFmtId="9" fontId="6" fillId="3" borderId="0" xfId="2" applyFont="1" applyFill="1" applyAlignment="1">
      <alignment horizontal="center" vertical="center"/>
    </xf>
    <xf numFmtId="9" fontId="6" fillId="3" borderId="0" xfId="8" applyNumberFormat="1" applyFill="1" applyAlignment="1">
      <alignment horizontal="center" vertical="center"/>
    </xf>
    <xf numFmtId="0" fontId="11" fillId="2" borderId="0" xfId="8" applyFont="1" applyFill="1" applyAlignment="1">
      <alignment horizontal="center" vertical="center" wrapText="1"/>
    </xf>
    <xf numFmtId="0" fontId="11" fillId="2" borderId="0" xfId="8" applyFont="1" applyFill="1" applyAlignment="1">
      <alignment horizontal="center" vertical="center"/>
    </xf>
    <xf numFmtId="0" fontId="11" fillId="3" borderId="0" xfId="8" applyFont="1" applyFill="1" applyAlignment="1">
      <alignment vertical="center"/>
    </xf>
    <xf numFmtId="0" fontId="11" fillId="10" borderId="0" xfId="8" applyFont="1" applyFill="1" applyAlignment="1">
      <alignment horizontal="center" vertical="center" wrapText="1"/>
    </xf>
    <xf numFmtId="164" fontId="30" fillId="3" borderId="0" xfId="2" applyNumberFormat="1" applyFont="1" applyFill="1" applyAlignment="1">
      <alignment horizontal="center" vertical="center"/>
    </xf>
    <xf numFmtId="164" fontId="31" fillId="3" borderId="0" xfId="2" applyNumberFormat="1" applyFont="1" applyFill="1" applyAlignment="1">
      <alignment horizontal="center" vertical="center"/>
    </xf>
    <xf numFmtId="0" fontId="11" fillId="3" borderId="0" xfId="8" applyFont="1" applyFill="1" applyAlignment="1">
      <alignment horizontal="center" wrapText="1"/>
    </xf>
    <xf numFmtId="165" fontId="32" fillId="3" borderId="0" xfId="8" applyNumberFormat="1" applyFont="1" applyFill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/>
    </xf>
    <xf numFmtId="164" fontId="12" fillId="8" borderId="0" xfId="9" applyNumberFormat="1" applyFont="1" applyFill="1" applyAlignment="1">
      <alignment horizontal="center" vertical="center" wrapText="1"/>
    </xf>
    <xf numFmtId="44" fontId="33" fillId="8" borderId="0" xfId="10" applyFont="1" applyFill="1" applyAlignment="1">
      <alignment horizontal="center"/>
    </xf>
    <xf numFmtId="44" fontId="7" fillId="3" borderId="0" xfId="10" applyFont="1" applyFill="1" applyAlignment="1">
      <alignment horizontal="center" vertical="center"/>
    </xf>
    <xf numFmtId="44" fontId="7" fillId="7" borderId="0" xfId="10" applyFont="1" applyFill="1" applyAlignment="1">
      <alignment horizontal="center"/>
    </xf>
    <xf numFmtId="44" fontId="7" fillId="3" borderId="0" xfId="10" applyFont="1" applyFill="1" applyAlignment="1">
      <alignment horizontal="center"/>
    </xf>
    <xf numFmtId="165" fontId="34" fillId="8" borderId="0" xfId="1" applyNumberFormat="1" applyFont="1" applyFill="1" applyAlignment="1">
      <alignment horizontal="center" vertical="center"/>
    </xf>
    <xf numFmtId="167" fontId="34" fillId="8" borderId="0" xfId="1" applyNumberFormat="1" applyFont="1" applyFill="1" applyAlignment="1">
      <alignment horizontal="center" vertical="center"/>
    </xf>
    <xf numFmtId="167" fontId="5" fillId="0" borderId="0" xfId="1" applyNumberFormat="1" applyFont="1" applyFill="1" applyAlignment="1">
      <alignment horizontal="center" vertical="center"/>
    </xf>
    <xf numFmtId="0" fontId="9" fillId="8" borderId="0" xfId="8" applyFont="1" applyFill="1" applyAlignment="1">
      <alignment horizontal="center" vertical="center" wrapText="1"/>
    </xf>
    <xf numFmtId="0" fontId="36" fillId="8" borderId="0" xfId="8" applyFont="1" applyFill="1" applyAlignment="1">
      <alignment horizontal="center" vertical="center"/>
    </xf>
    <xf numFmtId="167" fontId="5" fillId="3" borderId="0" xfId="1" applyNumberFormat="1" applyFont="1" applyFill="1" applyAlignment="1">
      <alignment horizontal="center" vertical="center"/>
    </xf>
    <xf numFmtId="167" fontId="6" fillId="3" borderId="0" xfId="8" applyNumberFormat="1" applyFill="1" applyAlignment="1">
      <alignment horizontal="center" vertical="center"/>
    </xf>
    <xf numFmtId="167" fontId="6" fillId="3" borderId="0" xfId="1" applyNumberFormat="1" applyFont="1" applyFill="1" applyAlignment="1">
      <alignment horizontal="center" vertical="center"/>
    </xf>
    <xf numFmtId="167" fontId="20" fillId="3" borderId="0" xfId="1" applyNumberFormat="1" applyFont="1" applyFill="1" applyAlignment="1">
      <alignment horizontal="center" vertical="center"/>
    </xf>
    <xf numFmtId="164" fontId="20" fillId="3" borderId="0" xfId="2" applyNumberFormat="1" applyFont="1" applyFill="1" applyAlignment="1">
      <alignment horizontal="center" vertical="center"/>
    </xf>
    <xf numFmtId="44" fontId="35" fillId="3" borderId="0" xfId="10" applyFont="1" applyFill="1" applyAlignment="1">
      <alignment horizontal="center" vertical="center"/>
    </xf>
    <xf numFmtId="164" fontId="5" fillId="3" borderId="0" xfId="2" applyNumberFormat="1" applyFont="1" applyFill="1" applyAlignment="1">
      <alignment horizontal="center" vertical="center"/>
    </xf>
    <xf numFmtId="9" fontId="20" fillId="3" borderId="0" xfId="2" applyFont="1" applyFill="1" applyAlignment="1">
      <alignment horizontal="center" vertical="center"/>
    </xf>
    <xf numFmtId="0" fontId="16" fillId="8" borderId="0" xfId="7" applyFont="1" applyFill="1" applyBorder="1" applyAlignment="1">
      <alignment vertical="center"/>
    </xf>
    <xf numFmtId="165" fontId="18" fillId="9" borderId="0" xfId="7" applyNumberFormat="1" applyFont="1" applyFill="1" applyBorder="1" applyAlignment="1">
      <alignment horizontal="center" vertical="center"/>
    </xf>
    <xf numFmtId="165" fontId="18" fillId="0" borderId="0" xfId="8" applyNumberFormat="1" applyFont="1" applyAlignment="1">
      <alignment horizontal="center" vertical="center"/>
    </xf>
    <xf numFmtId="165" fontId="18" fillId="3" borderId="0" xfId="12" applyNumberFormat="1" applyFont="1" applyFill="1" applyBorder="1" applyAlignment="1">
      <alignment horizontal="center" vertical="center"/>
    </xf>
    <xf numFmtId="165" fontId="18" fillId="3" borderId="0" xfId="12" applyNumberFormat="1" applyFont="1" applyFill="1" applyBorder="1" applyAlignment="1">
      <alignment horizontal="center" vertical="center" wrapText="1"/>
    </xf>
    <xf numFmtId="0" fontId="17" fillId="8" borderId="0" xfId="7" applyFont="1" applyFill="1" applyBorder="1" applyAlignment="1">
      <alignment horizontal="center" vertical="center"/>
    </xf>
    <xf numFmtId="165" fontId="14" fillId="3" borderId="0" xfId="7" applyNumberFormat="1" applyFont="1" applyFill="1" applyBorder="1" applyAlignment="1">
      <alignment horizontal="center" vertical="center" wrapText="1"/>
    </xf>
    <xf numFmtId="165" fontId="22" fillId="3" borderId="0" xfId="10" applyNumberFormat="1" applyFont="1" applyFill="1" applyBorder="1" applyAlignment="1">
      <alignment horizontal="center" vertical="center" wrapText="1"/>
    </xf>
    <xf numFmtId="166" fontId="18" fillId="3" borderId="0" xfId="11" applyNumberFormat="1" applyFont="1" applyFill="1" applyBorder="1" applyAlignment="1">
      <alignment horizontal="center" vertical="center"/>
    </xf>
    <xf numFmtId="166" fontId="18" fillId="3" borderId="0" xfId="8" applyNumberFormat="1" applyFont="1" applyFill="1" applyAlignment="1">
      <alignment horizontal="center" vertical="center"/>
    </xf>
    <xf numFmtId="165" fontId="22" fillId="3" borderId="0" xfId="8" applyNumberFormat="1" applyFont="1" applyFill="1" applyAlignment="1">
      <alignment horizontal="center" vertical="center"/>
    </xf>
    <xf numFmtId="165" fontId="26" fillId="3" borderId="0" xfId="8" applyNumberFormat="1" applyFont="1" applyFill="1" applyAlignment="1">
      <alignment horizontal="center" vertical="center"/>
    </xf>
    <xf numFmtId="165" fontId="26" fillId="9" borderId="0" xfId="7" applyNumberFormat="1" applyFont="1" applyFill="1" applyBorder="1" applyAlignment="1">
      <alignment horizontal="center" vertical="center"/>
    </xf>
    <xf numFmtId="165" fontId="18" fillId="9" borderId="9" xfId="7" applyNumberFormat="1" applyFont="1" applyFill="1" applyBorder="1" applyAlignment="1">
      <alignment horizontal="center" vertical="center"/>
    </xf>
    <xf numFmtId="167" fontId="18" fillId="0" borderId="9" xfId="8" applyNumberFormat="1" applyFont="1" applyBorder="1" applyAlignment="1">
      <alignment horizontal="center" vertical="center"/>
    </xf>
    <xf numFmtId="0" fontId="25" fillId="3" borderId="6" xfId="8" applyFont="1" applyFill="1" applyBorder="1" applyAlignment="1">
      <alignment vertical="center" wrapText="1"/>
    </xf>
    <xf numFmtId="0" fontId="18" fillId="3" borderId="3" xfId="7" applyFont="1" applyFill="1" applyBorder="1" applyAlignment="1">
      <alignment horizontal="center" vertical="center" wrapText="1"/>
    </xf>
    <xf numFmtId="0" fontId="18" fillId="3" borderId="4" xfId="7" applyFont="1" applyFill="1" applyBorder="1" applyAlignment="1">
      <alignment vertical="center"/>
    </xf>
    <xf numFmtId="0" fontId="18" fillId="3" borderId="4" xfId="7" applyFont="1" applyFill="1" applyBorder="1" applyAlignment="1">
      <alignment horizontal="center" vertical="center" wrapText="1"/>
    </xf>
    <xf numFmtId="165" fontId="18" fillId="3" borderId="4" xfId="7" applyNumberFormat="1" applyFont="1" applyFill="1" applyBorder="1" applyAlignment="1">
      <alignment horizontal="center" vertical="center"/>
    </xf>
    <xf numFmtId="165" fontId="18" fillId="3" borderId="11" xfId="7" applyNumberFormat="1" applyFont="1" applyFill="1" applyBorder="1" applyAlignment="1">
      <alignment horizontal="center" vertical="center"/>
    </xf>
    <xf numFmtId="167" fontId="6" fillId="3" borderId="0" xfId="8" applyNumberFormat="1" applyFill="1" applyAlignment="1">
      <alignment vertical="center"/>
    </xf>
    <xf numFmtId="0" fontId="14" fillId="3" borderId="1" xfId="7" applyFont="1" applyFill="1" applyBorder="1" applyAlignment="1">
      <alignment horizontal="center" vertical="center" wrapText="1"/>
    </xf>
    <xf numFmtId="0" fontId="18" fillId="3" borderId="0" xfId="11" applyFont="1" applyFill="1" applyAlignment="1">
      <alignment vertical="center"/>
    </xf>
    <xf numFmtId="0" fontId="4" fillId="3" borderId="0" xfId="14" applyFill="1"/>
    <xf numFmtId="0" fontId="4" fillId="3" borderId="0" xfId="14" applyFill="1" applyAlignment="1">
      <alignment vertical="center"/>
    </xf>
    <xf numFmtId="0" fontId="18" fillId="9" borderId="10" xfId="7" applyFont="1" applyFill="1" applyBorder="1" applyAlignment="1">
      <alignment horizontal="center" vertical="center" wrapText="1"/>
    </xf>
    <xf numFmtId="0" fontId="22" fillId="3" borderId="0" xfId="14" applyFont="1" applyFill="1" applyAlignment="1">
      <alignment vertical="center"/>
    </xf>
    <xf numFmtId="49" fontId="18" fillId="0" borderId="8" xfId="11" quotePrefix="1" applyNumberFormat="1" applyFont="1" applyFill="1" applyBorder="1" applyAlignment="1">
      <alignment horizontal="center" vertical="center"/>
    </xf>
    <xf numFmtId="0" fontId="18" fillId="0" borderId="8" xfId="11" applyFont="1" applyBorder="1" applyAlignment="1">
      <alignment vertical="center"/>
    </xf>
    <xf numFmtId="0" fontId="18" fillId="0" borderId="9" xfId="11" quotePrefix="1" applyFont="1" applyFill="1" applyBorder="1" applyAlignment="1">
      <alignment horizontal="center" vertical="center"/>
    </xf>
    <xf numFmtId="0" fontId="18" fillId="0" borderId="9" xfId="11" applyFont="1" applyBorder="1" applyAlignment="1">
      <alignment vertical="center"/>
    </xf>
    <xf numFmtId="165" fontId="18" fillId="0" borderId="9" xfId="11" applyNumberFormat="1" applyFont="1" applyFill="1" applyBorder="1" applyAlignment="1">
      <alignment horizontal="center" vertical="center"/>
    </xf>
    <xf numFmtId="49" fontId="18" fillId="0" borderId="9" xfId="11" quotePrefix="1" applyNumberFormat="1" applyFont="1" applyFill="1" applyBorder="1" applyAlignment="1">
      <alignment horizontal="center" vertical="center"/>
    </xf>
    <xf numFmtId="0" fontId="18" fillId="0" borderId="9" xfId="11" applyFont="1" applyFill="1" applyBorder="1" applyAlignment="1">
      <alignment vertical="center"/>
    </xf>
    <xf numFmtId="17" fontId="18" fillId="0" borderId="9" xfId="11" quotePrefix="1" applyNumberFormat="1" applyFont="1" applyFill="1" applyBorder="1" applyAlignment="1">
      <alignment horizontal="center" vertical="center"/>
    </xf>
    <xf numFmtId="17" fontId="18" fillId="0" borderId="8" xfId="11" quotePrefix="1" applyNumberFormat="1" applyFont="1" applyFill="1" applyBorder="1" applyAlignment="1">
      <alignment horizontal="center" vertical="center"/>
    </xf>
    <xf numFmtId="165" fontId="18" fillId="0" borderId="8" xfId="11" applyNumberFormat="1" applyFont="1" applyFill="1" applyBorder="1" applyAlignment="1">
      <alignment vertical="center"/>
    </xf>
    <xf numFmtId="165" fontId="18" fillId="0" borderId="9" xfId="11" applyNumberFormat="1" applyFont="1" applyFill="1" applyBorder="1" applyAlignment="1">
      <alignment vertical="center"/>
    </xf>
    <xf numFmtId="49" fontId="18" fillId="0" borderId="9" xfId="11" applyNumberFormat="1" applyFont="1" applyFill="1" applyBorder="1" applyAlignment="1">
      <alignment horizontal="center" vertical="center"/>
    </xf>
    <xf numFmtId="0" fontId="18" fillId="0" borderId="9" xfId="11" applyFont="1" applyFill="1" applyBorder="1" applyAlignment="1">
      <alignment horizontal="center" vertical="center"/>
    </xf>
    <xf numFmtId="165" fontId="18" fillId="0" borderId="9" xfId="11" applyNumberFormat="1" applyFont="1" applyFill="1" applyBorder="1" applyAlignment="1">
      <alignment vertical="center" wrapText="1"/>
    </xf>
    <xf numFmtId="0" fontId="18" fillId="0" borderId="9" xfId="11" applyFont="1" applyBorder="1" applyAlignment="1">
      <alignment vertical="center" wrapText="1"/>
    </xf>
    <xf numFmtId="0" fontId="18" fillId="0" borderId="8" xfId="11" quotePrefix="1" applyFont="1" applyFill="1" applyBorder="1" applyAlignment="1">
      <alignment horizontal="center" vertical="center"/>
    </xf>
    <xf numFmtId="165" fontId="18" fillId="0" borderId="8" xfId="11" applyNumberFormat="1" applyFont="1" applyFill="1" applyBorder="1" applyAlignment="1">
      <alignment vertical="center" wrapText="1"/>
    </xf>
    <xf numFmtId="0" fontId="18" fillId="0" borderId="9" xfId="11" applyFont="1" applyFill="1" applyBorder="1" applyAlignment="1">
      <alignment vertical="center" wrapText="1"/>
    </xf>
    <xf numFmtId="165" fontId="18" fillId="0" borderId="9" xfId="12" quotePrefix="1" applyNumberFormat="1" applyFont="1" applyFill="1" applyBorder="1" applyAlignment="1">
      <alignment horizontal="center" vertical="center"/>
    </xf>
    <xf numFmtId="49" fontId="18" fillId="0" borderId="9" xfId="11" applyNumberFormat="1" applyFont="1" applyFill="1" applyBorder="1" applyAlignment="1">
      <alignment horizontal="center" vertical="center" wrapText="1"/>
    </xf>
    <xf numFmtId="165" fontId="18" fillId="0" borderId="9" xfId="11" quotePrefix="1" applyNumberFormat="1" applyFont="1" applyFill="1" applyBorder="1" applyAlignment="1">
      <alignment horizontal="center" vertical="center"/>
    </xf>
    <xf numFmtId="49" fontId="18" fillId="0" borderId="9" xfId="11" applyNumberFormat="1" applyFont="1" applyBorder="1" applyAlignment="1">
      <alignment vertical="center" wrapText="1"/>
    </xf>
    <xf numFmtId="17" fontId="18" fillId="3" borderId="9" xfId="11" applyNumberFormat="1" applyFont="1" applyFill="1" applyBorder="1" applyAlignment="1">
      <alignment vertical="center"/>
    </xf>
    <xf numFmtId="49" fontId="18" fillId="0" borderId="9" xfId="11" applyNumberFormat="1" applyFont="1" applyBorder="1" applyAlignment="1">
      <alignment vertical="center"/>
    </xf>
    <xf numFmtId="49" fontId="18" fillId="0" borderId="9" xfId="11" applyNumberFormat="1" applyFont="1" applyFill="1" applyBorder="1" applyAlignment="1">
      <alignment vertical="center"/>
    </xf>
    <xf numFmtId="17" fontId="18" fillId="0" borderId="9" xfId="11" quotePrefix="1" applyNumberFormat="1" applyFont="1" applyFill="1" applyBorder="1" applyAlignment="1">
      <alignment horizontal="center" vertical="center" wrapText="1"/>
    </xf>
    <xf numFmtId="0" fontId="22" fillId="3" borderId="0" xfId="14" applyFont="1" applyFill="1"/>
    <xf numFmtId="0" fontId="18" fillId="0" borderId="12" xfId="11" applyFont="1" applyBorder="1" applyAlignment="1">
      <alignment horizontal="center" vertical="center"/>
    </xf>
    <xf numFmtId="0" fontId="18" fillId="0" borderId="6" xfId="11" applyFont="1" applyFill="1" applyBorder="1" applyAlignment="1">
      <alignment horizontal="center" vertical="center" wrapText="1"/>
    </xf>
    <xf numFmtId="49" fontId="18" fillId="0" borderId="12" xfId="11" applyNumberFormat="1" applyFont="1" applyFill="1" applyBorder="1" applyAlignment="1">
      <alignment horizontal="center" vertical="center"/>
    </xf>
    <xf numFmtId="49" fontId="18" fillId="0" borderId="6" xfId="11" applyNumberFormat="1" applyFont="1" applyFill="1" applyBorder="1" applyAlignment="1">
      <alignment horizontal="center" vertical="center"/>
    </xf>
    <xf numFmtId="0" fontId="18" fillId="0" borderId="6" xfId="11" applyFont="1" applyBorder="1" applyAlignment="1">
      <alignment horizontal="center" vertical="center"/>
    </xf>
    <xf numFmtId="0" fontId="18" fillId="0" borderId="6" xfId="11" applyFont="1" applyFill="1" applyBorder="1" applyAlignment="1">
      <alignment horizontal="center" vertical="center"/>
    </xf>
    <xf numFmtId="49" fontId="18" fillId="0" borderId="6" xfId="11" applyNumberFormat="1" applyFont="1" applyBorder="1" applyAlignment="1">
      <alignment horizontal="center" vertical="center"/>
    </xf>
    <xf numFmtId="165" fontId="18" fillId="0" borderId="12" xfId="11" applyNumberFormat="1" applyFont="1" applyFill="1" applyBorder="1" applyAlignment="1">
      <alignment horizontal="center" vertical="center"/>
    </xf>
    <xf numFmtId="165" fontId="18" fillId="0" borderId="6" xfId="11" applyNumberFormat="1" applyFont="1" applyFill="1" applyBorder="1" applyAlignment="1">
      <alignment horizontal="center" vertical="center"/>
    </xf>
    <xf numFmtId="0" fontId="18" fillId="0" borderId="12" xfId="11" applyFont="1" applyFill="1" applyBorder="1" applyAlignment="1">
      <alignment horizontal="center" vertical="center" wrapText="1"/>
    </xf>
    <xf numFmtId="49" fontId="18" fillId="0" borderId="6" xfId="11" applyNumberFormat="1" applyFont="1" applyFill="1" applyBorder="1" applyAlignment="1">
      <alignment horizontal="center" vertical="center" wrapText="1"/>
    </xf>
    <xf numFmtId="0" fontId="18" fillId="3" borderId="6" xfId="11" applyFont="1" applyFill="1" applyBorder="1" applyAlignment="1">
      <alignment horizontal="center" vertical="center" wrapText="1"/>
    </xf>
    <xf numFmtId="0" fontId="18" fillId="0" borderId="6" xfId="11" quotePrefix="1" applyFont="1" applyFill="1" applyBorder="1" applyAlignment="1">
      <alignment horizontal="center" vertical="center"/>
    </xf>
    <xf numFmtId="0" fontId="18" fillId="0" borderId="6" xfId="11" applyFont="1" applyBorder="1" applyAlignment="1">
      <alignment horizontal="center" vertical="center" wrapText="1"/>
    </xf>
    <xf numFmtId="0" fontId="18" fillId="3" borderId="6" xfId="11" applyFont="1" applyFill="1" applyBorder="1" applyAlignment="1">
      <alignment horizontal="center" vertical="center"/>
    </xf>
    <xf numFmtId="49" fontId="18" fillId="3" borderId="6" xfId="11" applyNumberFormat="1" applyFont="1" applyFill="1" applyBorder="1" applyAlignment="1">
      <alignment horizontal="center" vertical="center"/>
    </xf>
    <xf numFmtId="49" fontId="18" fillId="3" borderId="6" xfId="11" quotePrefix="1" applyNumberFormat="1" applyFont="1" applyFill="1" applyBorder="1" applyAlignment="1">
      <alignment horizontal="center" vertical="center"/>
    </xf>
    <xf numFmtId="165" fontId="6" fillId="3" borderId="0" xfId="8" applyNumberFormat="1" applyFill="1" applyAlignment="1">
      <alignment horizontal="center"/>
    </xf>
    <xf numFmtId="0" fontId="16" fillId="8" borderId="4" xfId="7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6" fillId="8" borderId="11" xfId="7" applyFont="1" applyFill="1" applyBorder="1" applyAlignment="1">
      <alignment horizontal="center" vertical="center"/>
    </xf>
    <xf numFmtId="0" fontId="14" fillId="11" borderId="6" xfId="7" applyFont="1" applyFill="1" applyBorder="1" applyAlignment="1">
      <alignment vertical="center"/>
    </xf>
    <xf numFmtId="0" fontId="14" fillId="11" borderId="7" xfId="7" applyFont="1" applyFill="1" applyBorder="1" applyAlignment="1">
      <alignment vertical="center"/>
    </xf>
    <xf numFmtId="0" fontId="18" fillId="11" borderId="7" xfId="7" applyFont="1" applyFill="1" applyBorder="1" applyAlignment="1">
      <alignment horizontal="center" vertical="center" wrapText="1"/>
    </xf>
    <xf numFmtId="49" fontId="18" fillId="3" borderId="6" xfId="11" applyNumberFormat="1" applyFont="1" applyFill="1" applyBorder="1" applyAlignment="1">
      <alignment horizontal="center" vertical="center" wrapText="1"/>
    </xf>
    <xf numFmtId="17" fontId="18" fillId="3" borderId="9" xfId="11" quotePrefix="1" applyNumberFormat="1" applyFont="1" applyFill="1" applyBorder="1" applyAlignment="1">
      <alignment horizontal="center" vertical="center"/>
    </xf>
    <xf numFmtId="44" fontId="22" fillId="3" borderId="0" xfId="1" applyFont="1" applyFill="1" applyBorder="1" applyAlignment="1">
      <alignment vertical="center"/>
    </xf>
    <xf numFmtId="44" fontId="22" fillId="3" borderId="9" xfId="1" applyFont="1" applyFill="1" applyBorder="1" applyAlignment="1">
      <alignment vertical="center"/>
    </xf>
    <xf numFmtId="44" fontId="22" fillId="3" borderId="10" xfId="1" applyFont="1" applyFill="1" applyBorder="1" applyAlignment="1">
      <alignment vertical="center"/>
    </xf>
    <xf numFmtId="44" fontId="18" fillId="0" borderId="9" xfId="1" applyFont="1" applyFill="1" applyBorder="1" applyAlignment="1">
      <alignment horizontal="center" vertical="center"/>
    </xf>
    <xf numFmtId="44" fontId="18" fillId="11" borderId="7" xfId="1" applyFont="1" applyFill="1" applyBorder="1" applyAlignment="1">
      <alignment horizontal="center" vertical="center" wrapText="1"/>
    </xf>
    <xf numFmtId="0" fontId="18" fillId="0" borderId="9" xfId="11" applyFont="1" applyFill="1" applyBorder="1" applyAlignment="1">
      <alignment horizontal="center" vertical="center" wrapText="1"/>
    </xf>
    <xf numFmtId="44" fontId="22" fillId="3" borderId="8" xfId="1" applyFont="1" applyFill="1" applyBorder="1" applyAlignment="1">
      <alignment vertical="center"/>
    </xf>
    <xf numFmtId="0" fontId="17" fillId="8" borderId="13" xfId="7" applyFont="1" applyFill="1" applyBorder="1" applyAlignment="1">
      <alignment vertical="center"/>
    </xf>
    <xf numFmtId="0" fontId="16" fillId="4" borderId="9" xfId="11" applyFont="1" applyFill="1" applyBorder="1" applyAlignment="1">
      <alignment horizontal="center" vertical="center" wrapText="1"/>
    </xf>
    <xf numFmtId="165" fontId="16" fillId="4" borderId="9" xfId="11" applyNumberFormat="1" applyFont="1" applyFill="1" applyBorder="1" applyAlignment="1">
      <alignment horizontal="center" vertical="center" wrapText="1"/>
    </xf>
    <xf numFmtId="0" fontId="18" fillId="3" borderId="7" xfId="11" applyFont="1" applyFill="1" applyBorder="1" applyAlignment="1">
      <alignment vertical="center"/>
    </xf>
    <xf numFmtId="0" fontId="18" fillId="3" borderId="0" xfId="11" applyFont="1" applyFill="1" applyBorder="1" applyAlignment="1">
      <alignment horizontal="center" vertical="center" wrapText="1"/>
    </xf>
    <xf numFmtId="10" fontId="22" fillId="3" borderId="0" xfId="2" applyNumberFormat="1" applyFont="1" applyFill="1" applyAlignment="1">
      <alignment vertical="center"/>
    </xf>
    <xf numFmtId="44" fontId="22" fillId="3" borderId="0" xfId="14" applyNumberFormat="1" applyFont="1" applyFill="1" applyAlignment="1">
      <alignment vertical="center"/>
    </xf>
    <xf numFmtId="44" fontId="22" fillId="0" borderId="9" xfId="1" applyFont="1" applyFill="1" applyBorder="1" applyAlignment="1">
      <alignment vertical="center"/>
    </xf>
    <xf numFmtId="17" fontId="18" fillId="0" borderId="9" xfId="11" applyNumberFormat="1" applyFont="1" applyFill="1" applyBorder="1" applyAlignment="1">
      <alignment vertical="center"/>
    </xf>
    <xf numFmtId="44" fontId="22" fillId="3" borderId="0" xfId="2" applyNumberFormat="1" applyFont="1" applyFill="1" applyAlignment="1">
      <alignment vertical="center"/>
    </xf>
    <xf numFmtId="0" fontId="2" fillId="3" borderId="0" xfId="8" applyFont="1" applyFill="1"/>
    <xf numFmtId="0" fontId="14" fillId="9" borderId="6" xfId="7" applyFont="1" applyFill="1" applyBorder="1" applyAlignment="1">
      <alignment horizontal="left" vertical="center" wrapText="1"/>
    </xf>
    <xf numFmtId="0" fontId="14" fillId="9" borderId="7" xfId="7" applyFont="1" applyFill="1" applyBorder="1" applyAlignment="1">
      <alignment horizontal="left" vertical="center" wrapText="1"/>
    </xf>
    <xf numFmtId="0" fontId="14" fillId="9" borderId="1" xfId="7" applyFont="1" applyFill="1" applyBorder="1" applyAlignment="1">
      <alignment horizontal="left" vertical="center" wrapText="1"/>
    </xf>
    <xf numFmtId="0" fontId="29" fillId="3" borderId="0" xfId="8" applyFont="1" applyFill="1" applyAlignment="1">
      <alignment horizontal="center" wrapText="1"/>
    </xf>
    <xf numFmtId="0" fontId="14" fillId="9" borderId="12" xfId="7" applyFont="1" applyFill="1" applyBorder="1" applyAlignment="1">
      <alignment horizontal="left" vertical="center" wrapText="1"/>
    </xf>
  </cellXfs>
  <cellStyles count="19">
    <cellStyle name="Comma 2" xfId="6" xr:uid="{7AB348C0-E7B4-436A-892C-404ED5F88F04}"/>
    <cellStyle name="Currency" xfId="1" builtinId="4"/>
    <cellStyle name="Currency 2" xfId="4" xr:uid="{A8A2DB1D-3EF2-420C-B3D3-A42A24E07125}"/>
    <cellStyle name="Currency 2 2" xfId="12" xr:uid="{9539CE0F-9DE7-463C-88F1-CCEB62A539CA}"/>
    <cellStyle name="Currency 3" xfId="10" xr:uid="{9F46A29C-E113-46B8-B036-401E7455EA96}"/>
    <cellStyle name="Currency 4" xfId="16" xr:uid="{F3492BE4-EF57-4B3F-B176-8E353BD852E4}"/>
    <cellStyle name="Normal" xfId="0" builtinId="0"/>
    <cellStyle name="Normal 2" xfId="3" xr:uid="{E966D7BA-20BC-48ED-A8D7-237888130F5E}"/>
    <cellStyle name="Normal 2 2" xfId="7" xr:uid="{E68B9B57-5108-49FD-9415-68FD02859DC3}"/>
    <cellStyle name="Normal 3" xfId="8" xr:uid="{6E58BC64-5ACB-4F7C-8B13-58C0E7E35BD1}"/>
    <cellStyle name="Normal 3 2" xfId="11" xr:uid="{A936FB34-F464-46D3-ABF4-5EE195FB2BB2}"/>
    <cellStyle name="Normal 3 3" xfId="18" xr:uid="{01FDDBCC-45E1-442D-BBE1-3CE9D38A2326}"/>
    <cellStyle name="Normal 4 2" xfId="15" xr:uid="{6C251460-C0ED-46D5-8932-47B507F047CF}"/>
    <cellStyle name="Normal 5" xfId="14" xr:uid="{6E96E1F1-90AA-4438-BEE3-8DBA2E270720}"/>
    <cellStyle name="Percent" xfId="2" builtinId="5"/>
    <cellStyle name="Percent 2" xfId="5" xr:uid="{58D38948-C9C0-4B50-9E1C-8B12C5D11D7A}"/>
    <cellStyle name="Percent 3" xfId="9" xr:uid="{D825C7AA-BC72-4833-B763-A10712912BB6}"/>
    <cellStyle name="Percent 4" xfId="17" xr:uid="{9D531899-0463-419A-9927-80002A6A40CC}"/>
    <cellStyle name="常规_quotation of spray gun" xfId="13" xr:uid="{DE872065-0F24-4E0F-AC75-8538A322FA84}"/>
  </cellStyles>
  <dxfs count="0"/>
  <tableStyles count="1" defaultTableStyle="TableStyleMedium2" defaultPivotStyle="PivotStyleLight16">
    <tableStyle name="Invisible" pivot="0" table="0" count="0" xr9:uid="{C1598E67-6B07-4836-87EA-4CBA998E63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112568</xdr:rowOff>
    </xdr:from>
    <xdr:to>
      <xdr:col>10</xdr:col>
      <xdr:colOff>53915</xdr:colOff>
      <xdr:row>0</xdr:row>
      <xdr:rowOff>739948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>
          <a:spLocks noChangeArrowheads="1"/>
        </xdr:cNvSpPr>
      </xdr:nvSpPr>
      <xdr:spPr bwMode="auto">
        <a:xfrm>
          <a:off x="7646958" y="112568"/>
          <a:ext cx="4816415" cy="627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Tahoma"/>
              <a:cs typeface="Tahoma"/>
            </a:rPr>
            <a:t>MSD PRICE LIST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Confidential &amp; Proprietary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Prices Effective July 1, 2025</a:t>
          </a:r>
        </a:p>
      </xdr:txBody>
    </xdr:sp>
    <xdr:clientData/>
  </xdr:twoCellAnchor>
  <xdr:twoCellAnchor editAs="oneCell">
    <xdr:from>
      <xdr:col>2</xdr:col>
      <xdr:colOff>1229589</xdr:colOff>
      <xdr:row>0</xdr:row>
      <xdr:rowOff>86591</xdr:rowOff>
    </xdr:from>
    <xdr:to>
      <xdr:col>2</xdr:col>
      <xdr:colOff>3713248</xdr:colOff>
      <xdr:row>0</xdr:row>
      <xdr:rowOff>670504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190748" y="86591"/>
          <a:ext cx="2496994" cy="595343"/>
        </a:xfrm>
        <a:prstGeom prst="rect">
          <a:avLst/>
        </a:prstGeom>
      </xdr:spPr>
    </xdr:pic>
    <xdr:clientData/>
  </xdr:twoCellAnchor>
  <xdr:twoCellAnchor editAs="oneCell">
    <xdr:from>
      <xdr:col>8</xdr:col>
      <xdr:colOff>393431</xdr:colOff>
      <xdr:row>0</xdr:row>
      <xdr:rowOff>58653</xdr:rowOff>
    </xdr:from>
    <xdr:to>
      <xdr:col>11</xdr:col>
      <xdr:colOff>6154</xdr:colOff>
      <xdr:row>0</xdr:row>
      <xdr:rowOff>715017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19068" y="58653"/>
          <a:ext cx="1643525" cy="656364"/>
        </a:xfrm>
        <a:prstGeom prst="rect">
          <a:avLst/>
        </a:prstGeom>
      </xdr:spPr>
    </xdr:pic>
    <xdr:clientData/>
  </xdr:twoCellAnchor>
  <xdr:twoCellAnchor>
    <xdr:from>
      <xdr:col>2</xdr:col>
      <xdr:colOff>6611639</xdr:colOff>
      <xdr:row>0</xdr:row>
      <xdr:rowOff>157497</xdr:rowOff>
    </xdr:from>
    <xdr:to>
      <xdr:col>4</xdr:col>
      <xdr:colOff>210937</xdr:colOff>
      <xdr:row>1</xdr:row>
      <xdr:rowOff>17155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HDA in</a:t>
          </a:r>
          <a:r>
            <a:rPr lang="en-US" sz="1000" b="1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season standard Terms: </a:t>
          </a:r>
          <a:r>
            <a:rPr lang="en-US" sz="1000" b="1" u="sng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2% 60/Net 61</a:t>
          </a:r>
          <a:endParaRPr lang="en-US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80010</xdr:colOff>
      <xdr:row>1</xdr:row>
      <xdr:rowOff>0</xdr:rowOff>
    </xdr:from>
    <xdr:to>
      <xdr:col>2</xdr:col>
      <xdr:colOff>444752</xdr:colOff>
      <xdr:row>1</xdr:row>
      <xdr:rowOff>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>
          <a:spLocks noChangeArrowheads="1"/>
        </xdr:cNvSpPr>
      </xdr:nvSpPr>
      <xdr:spPr bwMode="auto"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endParaRPr lang="en-US" sz="2400" b="0" i="0" strike="noStrike">
            <a:solidFill>
              <a:srgbClr val="000000"/>
            </a:solidFill>
            <a:latin typeface="Tahoma"/>
            <a:cs typeface="Tahoma"/>
          </a:endParaRPr>
        </a:p>
      </xdr:txBody>
    </xdr:sp>
    <xdr:clientData/>
  </xdr:twoCellAnchor>
  <xdr:twoCellAnchor>
    <xdr:from>
      <xdr:col>1</xdr:col>
      <xdr:colOff>746760</xdr:colOff>
      <xdr:row>1</xdr:row>
      <xdr:rowOff>0</xdr:rowOff>
    </xdr:from>
    <xdr:to>
      <xdr:col>2</xdr:col>
      <xdr:colOff>1534946</xdr:colOff>
      <xdr:row>1</xdr:row>
      <xdr:rowOff>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>
          <a:spLocks noChangeArrowheads="1"/>
        </xdr:cNvSpPr>
      </xdr:nvSpPr>
      <xdr:spPr bwMode="auto"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6576" rIns="45720" bIns="36576" anchor="ctr" upright="1"/>
        <a:lstStyle/>
        <a:p>
          <a:pPr algn="ctr" rtl="1">
            <a:defRPr sz="1000"/>
          </a:pPr>
          <a:endParaRPr lang="en-US" sz="2200" b="0" i="0" strike="noStrike">
            <a:solidFill>
              <a:srgbClr val="CC99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2</xdr:col>
      <xdr:colOff>1610591</xdr:colOff>
      <xdr:row>0</xdr:row>
      <xdr:rowOff>86591</xdr:rowOff>
    </xdr:from>
    <xdr:to>
      <xdr:col>2</xdr:col>
      <xdr:colOff>4104410</xdr:colOff>
      <xdr:row>0</xdr:row>
      <xdr:rowOff>675584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572616" y="86591"/>
          <a:ext cx="2493819" cy="588993"/>
        </a:xfrm>
        <a:prstGeom prst="rect">
          <a:avLst/>
        </a:prstGeom>
      </xdr:spPr>
    </xdr:pic>
    <xdr:clientData/>
  </xdr:twoCellAnchor>
  <xdr:twoCellAnchor editAs="oneCell">
    <xdr:from>
      <xdr:col>2</xdr:col>
      <xdr:colOff>4831772</xdr:colOff>
      <xdr:row>0</xdr:row>
      <xdr:rowOff>129887</xdr:rowOff>
    </xdr:from>
    <xdr:to>
      <xdr:col>6</xdr:col>
      <xdr:colOff>60613</xdr:colOff>
      <xdr:row>0</xdr:row>
      <xdr:rowOff>745837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>
          <a:spLocks noChangeArrowheads="1"/>
        </xdr:cNvSpPr>
      </xdr:nvSpPr>
      <xdr:spPr bwMode="auto">
        <a:xfrm>
          <a:off x="5792931" y="129887"/>
          <a:ext cx="3957205" cy="61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Tahoma"/>
              <a:cs typeface="Tahoma"/>
            </a:rPr>
            <a:t>MSD PRICE LIST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Confidential &amp; Proprietary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Prices Effective July 1, 2025</a:t>
          </a:r>
        </a:p>
      </xdr:txBody>
    </xdr:sp>
    <xdr:clientData/>
  </xdr:twoCellAnchor>
  <xdr:twoCellAnchor editAs="oneCell">
    <xdr:from>
      <xdr:col>5</xdr:col>
      <xdr:colOff>34636</xdr:colOff>
      <xdr:row>0</xdr:row>
      <xdr:rowOff>69272</xdr:rowOff>
    </xdr:from>
    <xdr:to>
      <xdr:col>6</xdr:col>
      <xdr:colOff>829570</xdr:colOff>
      <xdr:row>0</xdr:row>
      <xdr:rowOff>725636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75568" y="69272"/>
          <a:ext cx="1643525" cy="656364"/>
        </a:xfrm>
        <a:prstGeom prst="rect">
          <a:avLst/>
        </a:prstGeom>
      </xdr:spPr>
    </xdr:pic>
    <xdr:clientData/>
  </xdr:twoCellAnchor>
  <xdr:twoCellAnchor>
    <xdr:from>
      <xdr:col>2</xdr:col>
      <xdr:colOff>4762499</xdr:colOff>
      <xdr:row>0</xdr:row>
      <xdr:rowOff>181842</xdr:rowOff>
    </xdr:from>
    <xdr:to>
      <xdr:col>3</xdr:col>
      <xdr:colOff>380999</xdr:colOff>
      <xdr:row>1</xdr:row>
      <xdr:rowOff>43297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HDA in</a:t>
          </a:r>
          <a:r>
            <a:rPr lang="en-US" sz="1000" b="1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 season standard Terms: </a:t>
          </a:r>
          <a:r>
            <a:rPr lang="en-US" sz="1000" b="1" u="sng" baseline="0">
              <a:solidFill>
                <a:schemeClr val="dk1"/>
              </a:solidFill>
              <a:effectLst/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2% 60/Net 61</a:t>
          </a:r>
          <a:endParaRPr lang="en-US" sz="1000">
            <a:effectLst/>
            <a:latin typeface="Tahoma" panose="020B0604030504040204" pitchFamily="34" charset="0"/>
            <a:ea typeface="Tahoma" panose="020B0604030504040204" pitchFamily="34" charset="0"/>
            <a:cs typeface="Tahoma" panose="020B0604030504040204" pitchFamily="34" charset="0"/>
          </a:endParaRP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231197</xdr:colOff>
      <xdr:row>0</xdr:row>
      <xdr:rowOff>103909</xdr:rowOff>
    </xdr:from>
    <xdr:to>
      <xdr:col>10</xdr:col>
      <xdr:colOff>417367</xdr:colOff>
      <xdr:row>0</xdr:row>
      <xdr:rowOff>719859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>
          <a:spLocks noChangeArrowheads="1"/>
        </xdr:cNvSpPr>
      </xdr:nvSpPr>
      <xdr:spPr bwMode="auto">
        <a:xfrm>
          <a:off x="5146097" y="103909"/>
          <a:ext cx="2615045" cy="615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54864" tIns="41148" rIns="54864" bIns="0" anchor="t" upright="1"/>
        <a:lstStyle/>
        <a:p>
          <a:pPr algn="ctr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Tahoma"/>
              <a:cs typeface="Tahoma"/>
            </a:rPr>
            <a:t>MSD PRICE LIST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Confidential &amp; Proprietary 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ahoma"/>
              <a:cs typeface="Tahoma"/>
            </a:rPr>
            <a:t>Prices Effective September 1, 2024</a:t>
          </a:r>
        </a:p>
      </xdr:txBody>
    </xdr:sp>
    <xdr:clientData/>
  </xdr:twoCellAnchor>
  <xdr:twoCellAnchor editAs="oneCell">
    <xdr:from>
      <xdr:col>2</xdr:col>
      <xdr:colOff>207817</xdr:colOff>
      <xdr:row>0</xdr:row>
      <xdr:rowOff>86591</xdr:rowOff>
    </xdr:from>
    <xdr:to>
      <xdr:col>2</xdr:col>
      <xdr:colOff>2704811</xdr:colOff>
      <xdr:row>0</xdr:row>
      <xdr:rowOff>681934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69842" y="86591"/>
          <a:ext cx="2496994" cy="592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5257-F155-44AD-B621-945E199B968D}">
  <dimension ref="B1:K8"/>
  <sheetViews>
    <sheetView tabSelected="1" zoomScale="106" zoomScaleNormal="106" workbookViewId="0">
      <pane ySplit="2" topLeftCell="A6" activePane="bottomLeft" state="frozen"/>
      <selection activeCell="A2" sqref="A2"/>
      <selection pane="bottomLeft" activeCell="C2" sqref="C2"/>
    </sheetView>
  </sheetViews>
  <sheetFormatPr defaultColWidth="9.140625" defaultRowHeight="15" x14ac:dyDescent="0.25"/>
  <cols>
    <col min="1" max="1" width="2.7109375" style="2" customWidth="1"/>
    <col min="2" max="2" width="11.7109375" style="2" customWidth="1"/>
    <col min="3" max="3" width="100.2851562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5546875" style="287" bestFit="1" customWidth="1"/>
    <col min="9" max="9" width="10.42578125" style="287" bestFit="1" customWidth="1"/>
    <col min="10" max="10" width="10.42578125" style="285" bestFit="1" customWidth="1"/>
    <col min="11" max="11" width="9.7109375" style="285" customWidth="1"/>
    <col min="12" max="16384" width="9.140625" style="2"/>
  </cols>
  <sheetData>
    <row r="1" spans="2:11" ht="60" customHeight="1" x14ac:dyDescent="0.25">
      <c r="B1" s="1" t="s">
        <v>0</v>
      </c>
    </row>
    <row r="2" spans="2:11" s="15" customFormat="1" ht="42" customHeight="1" x14ac:dyDescent="0.25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 x14ac:dyDescent="0.25">
      <c r="B3" s="16"/>
      <c r="C3" s="17" t="s">
        <v>13</v>
      </c>
      <c r="D3" s="18"/>
      <c r="E3" s="18"/>
      <c r="F3" s="18"/>
      <c r="G3" s="286"/>
      <c r="H3" s="286"/>
      <c r="I3" s="286"/>
      <c r="J3" s="286"/>
      <c r="K3" s="288"/>
    </row>
    <row r="4" spans="2:11" s="15" customFormat="1" ht="15" customHeight="1" x14ac:dyDescent="0.25">
      <c r="B4" s="312" t="s">
        <v>1912</v>
      </c>
      <c r="C4" s="313"/>
      <c r="D4" s="21"/>
      <c r="E4" s="21"/>
      <c r="F4" s="21"/>
      <c r="G4" s="21"/>
      <c r="H4" s="21"/>
      <c r="I4" s="21"/>
      <c r="J4" s="21"/>
      <c r="K4" s="47"/>
    </row>
    <row r="5" spans="2:11" s="15" customFormat="1" x14ac:dyDescent="0.25">
      <c r="B5" s="33">
        <v>11111</v>
      </c>
      <c r="C5" s="34" t="s">
        <v>1917</v>
      </c>
      <c r="D5" s="33" t="s">
        <v>51</v>
      </c>
      <c r="E5" s="33">
        <v>1</v>
      </c>
      <c r="F5" s="85" t="s">
        <v>266</v>
      </c>
      <c r="G5" s="37">
        <v>90</v>
      </c>
      <c r="H5" s="295">
        <v>31</v>
      </c>
      <c r="I5" s="295">
        <v>31</v>
      </c>
      <c r="J5" s="295">
        <v>31</v>
      </c>
      <c r="K5" s="295">
        <v>31</v>
      </c>
    </row>
    <row r="8" spans="2:11" x14ac:dyDescent="0.25">
      <c r="D8" s="311" t="s">
        <v>1913</v>
      </c>
    </row>
  </sheetData>
  <mergeCells count="1">
    <mergeCell ref="B4:C4"/>
  </mergeCells>
  <phoneticPr fontId="2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FD916-875E-4F55-B1D2-B6EB67B2452B}">
  <dimension ref="B1:L390"/>
  <sheetViews>
    <sheetView zoomScale="110" zoomScaleNormal="110" workbookViewId="0">
      <pane ySplit="2" topLeftCell="A3" activePane="bottomLeft" state="frozen"/>
      <selection activeCell="A2" sqref="A2"/>
      <selection pane="bottomLeft" activeCell="J11" sqref="J11"/>
    </sheetView>
  </sheetViews>
  <sheetFormatPr defaultColWidth="9.140625" defaultRowHeight="15" x14ac:dyDescent="0.25"/>
  <cols>
    <col min="1" max="1" width="2.7109375" style="237" customWidth="1"/>
    <col min="2" max="2" width="11.7109375" style="237" customWidth="1"/>
    <col min="3" max="3" width="84.7109375" style="237" customWidth="1"/>
    <col min="4" max="4" width="20.7109375" style="237" customWidth="1"/>
    <col min="5" max="7" width="12.7109375" style="237" customWidth="1"/>
    <col min="8" max="16384" width="9.140625" style="237"/>
  </cols>
  <sheetData>
    <row r="1" spans="2:8" ht="60" customHeight="1" x14ac:dyDescent="0.25">
      <c r="B1" s="235" t="s">
        <v>0</v>
      </c>
      <c r="C1" s="236"/>
    </row>
    <row r="2" spans="2:8" s="238" customFormat="1" ht="42" customHeight="1" x14ac:dyDescent="0.25">
      <c r="B2" s="302" t="s">
        <v>2</v>
      </c>
      <c r="C2" s="302" t="s">
        <v>3</v>
      </c>
      <c r="D2" s="302" t="s">
        <v>4</v>
      </c>
      <c r="E2" s="303" t="s">
        <v>9</v>
      </c>
      <c r="F2" s="303" t="s">
        <v>8</v>
      </c>
      <c r="G2" s="303" t="s">
        <v>1916</v>
      </c>
    </row>
    <row r="3" spans="2:8" s="238" customFormat="1" ht="24" customHeight="1" x14ac:dyDescent="0.25">
      <c r="B3" s="301"/>
      <c r="C3" s="218" t="s">
        <v>886</v>
      </c>
      <c r="D3" s="213"/>
      <c r="E3" s="213"/>
      <c r="F3" s="120"/>
      <c r="G3" s="120"/>
    </row>
    <row r="4" spans="2:8" s="240" customFormat="1" ht="15" customHeight="1" x14ac:dyDescent="0.25">
      <c r="B4" s="312" t="s">
        <v>887</v>
      </c>
      <c r="C4" s="313"/>
      <c r="D4" s="21"/>
      <c r="E4" s="21"/>
      <c r="F4" s="21"/>
      <c r="G4" s="239"/>
    </row>
    <row r="5" spans="2:8" s="240" customFormat="1" ht="15" customHeight="1" x14ac:dyDescent="0.25">
      <c r="B5" s="241" t="s">
        <v>888</v>
      </c>
      <c r="C5" s="242" t="s">
        <v>889</v>
      </c>
      <c r="D5" s="268" t="s">
        <v>890</v>
      </c>
      <c r="E5" s="300">
        <v>310.99</v>
      </c>
      <c r="F5" s="300">
        <v>310.99</v>
      </c>
      <c r="G5" s="300">
        <v>310.99</v>
      </c>
      <c r="H5" s="306"/>
    </row>
    <row r="6" spans="2:8" s="240" customFormat="1" ht="15" customHeight="1" x14ac:dyDescent="0.25">
      <c r="B6" s="243" t="s">
        <v>891</v>
      </c>
      <c r="C6" s="244" t="s">
        <v>892</v>
      </c>
      <c r="D6" s="269" t="s">
        <v>893</v>
      </c>
      <c r="E6" s="295">
        <v>216.99</v>
      </c>
      <c r="F6" s="295">
        <v>216.99</v>
      </c>
      <c r="G6" s="295">
        <v>216.99</v>
      </c>
      <c r="H6" s="306"/>
    </row>
    <row r="7" spans="2:8" s="240" customFormat="1" ht="15" customHeight="1" x14ac:dyDescent="0.25">
      <c r="B7" s="243" t="s">
        <v>894</v>
      </c>
      <c r="C7" s="244" t="s">
        <v>895</v>
      </c>
      <c r="D7" s="269" t="s">
        <v>896</v>
      </c>
      <c r="E7" s="295">
        <v>175.99</v>
      </c>
      <c r="F7" s="295">
        <v>175.99</v>
      </c>
      <c r="G7" s="295">
        <v>175.99</v>
      </c>
      <c r="H7" s="306"/>
    </row>
    <row r="8" spans="2:8" s="240" customFormat="1" ht="15" customHeight="1" x14ac:dyDescent="0.25">
      <c r="B8" s="243" t="s">
        <v>897</v>
      </c>
      <c r="C8" s="244" t="s">
        <v>898</v>
      </c>
      <c r="D8" s="269" t="s">
        <v>899</v>
      </c>
      <c r="E8" s="295">
        <v>161.99</v>
      </c>
      <c r="F8" s="295">
        <v>161.99</v>
      </c>
      <c r="G8" s="295">
        <v>161.99</v>
      </c>
      <c r="H8" s="306"/>
    </row>
    <row r="9" spans="2:8" s="240" customFormat="1" ht="15" customHeight="1" x14ac:dyDescent="0.25">
      <c r="B9" s="246" t="s">
        <v>900</v>
      </c>
      <c r="C9" s="247" t="s">
        <v>901</v>
      </c>
      <c r="D9" s="269" t="s">
        <v>902</v>
      </c>
      <c r="E9" s="295">
        <v>107.99</v>
      </c>
      <c r="F9" s="295">
        <v>107.99</v>
      </c>
      <c r="G9" s="295">
        <v>107.99</v>
      </c>
      <c r="H9" s="306"/>
    </row>
    <row r="10" spans="2:8" s="240" customFormat="1" ht="15" customHeight="1" x14ac:dyDescent="0.25">
      <c r="B10" s="248" t="s">
        <v>903</v>
      </c>
      <c r="C10" s="244" t="s">
        <v>904</v>
      </c>
      <c r="D10" s="269" t="s">
        <v>905</v>
      </c>
      <c r="E10" s="295">
        <v>94.99</v>
      </c>
      <c r="F10" s="295">
        <v>94.99</v>
      </c>
      <c r="G10" s="295">
        <v>94.99</v>
      </c>
      <c r="H10" s="306"/>
    </row>
    <row r="11" spans="2:8" s="240" customFormat="1" ht="15" customHeight="1" x14ac:dyDescent="0.25">
      <c r="B11" s="246" t="s">
        <v>906</v>
      </c>
      <c r="C11" s="244" t="s">
        <v>907</v>
      </c>
      <c r="D11" s="269" t="s">
        <v>908</v>
      </c>
      <c r="E11" s="295">
        <v>88.99</v>
      </c>
      <c r="F11" s="295">
        <v>88.99</v>
      </c>
      <c r="G11" s="295">
        <v>88.99</v>
      </c>
      <c r="H11" s="306"/>
    </row>
    <row r="12" spans="2:8" s="240" customFormat="1" ht="15" customHeight="1" x14ac:dyDescent="0.25">
      <c r="B12" s="243" t="s">
        <v>909</v>
      </c>
      <c r="C12" s="244" t="s">
        <v>910</v>
      </c>
      <c r="D12" s="299" t="s">
        <v>911</v>
      </c>
      <c r="E12" s="295">
        <v>53.99</v>
      </c>
      <c r="F12" s="295">
        <v>53.99</v>
      </c>
      <c r="G12" s="295">
        <v>53.99</v>
      </c>
      <c r="H12" s="306"/>
    </row>
    <row r="13" spans="2:8" s="240" customFormat="1" ht="15" customHeight="1" x14ac:dyDescent="0.25">
      <c r="B13" s="95"/>
      <c r="C13" s="304"/>
      <c r="D13" s="305"/>
      <c r="E13" s="294"/>
      <c r="F13" s="294"/>
      <c r="G13" s="294"/>
      <c r="H13" s="306"/>
    </row>
    <row r="14" spans="2:8" s="240" customFormat="1" ht="15" customHeight="1" x14ac:dyDescent="0.25">
      <c r="B14" s="312" t="s">
        <v>912</v>
      </c>
      <c r="C14" s="314"/>
      <c r="D14" s="21"/>
      <c r="E14" s="21"/>
      <c r="F14" s="21"/>
      <c r="G14" s="21"/>
      <c r="H14" s="306"/>
    </row>
    <row r="15" spans="2:8" s="240" customFormat="1" ht="15" customHeight="1" x14ac:dyDescent="0.25">
      <c r="B15" s="249" t="s">
        <v>913</v>
      </c>
      <c r="C15" s="250" t="s">
        <v>914</v>
      </c>
      <c r="D15" s="270" t="s">
        <v>915</v>
      </c>
      <c r="E15" s="295">
        <v>40.99</v>
      </c>
      <c r="F15" s="295">
        <v>40.99</v>
      </c>
      <c r="G15" s="295">
        <v>40.99</v>
      </c>
      <c r="H15" s="306"/>
    </row>
    <row r="16" spans="2:8" s="240" customFormat="1" ht="15" customHeight="1" x14ac:dyDescent="0.25">
      <c r="B16" s="243" t="s">
        <v>916</v>
      </c>
      <c r="C16" s="251" t="s">
        <v>917</v>
      </c>
      <c r="D16" s="271" t="s">
        <v>918</v>
      </c>
      <c r="E16" s="295">
        <v>34.99</v>
      </c>
      <c r="F16" s="295">
        <v>34.99</v>
      </c>
      <c r="G16" s="295">
        <v>34.99</v>
      </c>
      <c r="H16" s="306"/>
    </row>
    <row r="17" spans="2:8" s="240" customFormat="1" ht="15" customHeight="1" x14ac:dyDescent="0.25">
      <c r="B17" s="243" t="s">
        <v>919</v>
      </c>
      <c r="C17" s="251" t="s">
        <v>920</v>
      </c>
      <c r="D17" s="271" t="s">
        <v>921</v>
      </c>
      <c r="E17" s="295">
        <v>49.99</v>
      </c>
      <c r="F17" s="295">
        <v>49.99</v>
      </c>
      <c r="G17" s="295">
        <v>49.99</v>
      </c>
      <c r="H17" s="306"/>
    </row>
    <row r="18" spans="2:8" s="240" customFormat="1" ht="15" customHeight="1" x14ac:dyDescent="0.25">
      <c r="B18" s="248" t="s">
        <v>922</v>
      </c>
      <c r="C18" s="244" t="s">
        <v>923</v>
      </c>
      <c r="D18" s="272" t="s">
        <v>924</v>
      </c>
      <c r="E18" s="295">
        <v>39.99</v>
      </c>
      <c r="F18" s="295">
        <v>39.99</v>
      </c>
      <c r="G18" s="295">
        <v>39.99</v>
      </c>
      <c r="H18" s="306"/>
    </row>
    <row r="19" spans="2:8" s="240" customFormat="1" ht="15" customHeight="1" x14ac:dyDescent="0.25">
      <c r="B19" s="248" t="s">
        <v>925</v>
      </c>
      <c r="C19" s="244" t="s">
        <v>926</v>
      </c>
      <c r="D19" s="272" t="s">
        <v>927</v>
      </c>
      <c r="E19" s="295">
        <v>110.99</v>
      </c>
      <c r="F19" s="295">
        <v>110.99</v>
      </c>
      <c r="G19" s="295">
        <v>110.99</v>
      </c>
      <c r="H19" s="306"/>
    </row>
    <row r="20" spans="2:8" s="240" customFormat="1" ht="15" customHeight="1" x14ac:dyDescent="0.25">
      <c r="B20" s="248" t="s">
        <v>928</v>
      </c>
      <c r="C20" s="244" t="s">
        <v>929</v>
      </c>
      <c r="D20" s="272" t="s">
        <v>930</v>
      </c>
      <c r="E20" s="295">
        <v>300.99</v>
      </c>
      <c r="F20" s="295">
        <v>300.99</v>
      </c>
      <c r="G20" s="295">
        <v>300.99</v>
      </c>
      <c r="H20" s="306"/>
    </row>
    <row r="21" spans="2:8" s="240" customFormat="1" ht="15" customHeight="1" x14ac:dyDescent="0.25">
      <c r="B21" s="243" t="s">
        <v>931</v>
      </c>
      <c r="C21" s="244" t="s">
        <v>932</v>
      </c>
      <c r="D21" s="272" t="s">
        <v>933</v>
      </c>
      <c r="E21" s="295">
        <v>152.99</v>
      </c>
      <c r="F21" s="295">
        <v>152.99</v>
      </c>
      <c r="G21" s="295">
        <v>152.99</v>
      </c>
      <c r="H21" s="306"/>
    </row>
    <row r="22" spans="2:8" s="240" customFormat="1" ht="15" customHeight="1" x14ac:dyDescent="0.25">
      <c r="B22" s="248" t="s">
        <v>934</v>
      </c>
      <c r="C22" s="244" t="s">
        <v>935</v>
      </c>
      <c r="D22" s="272" t="s">
        <v>936</v>
      </c>
      <c r="E22" s="295">
        <v>77.989999999999995</v>
      </c>
      <c r="F22" s="295">
        <v>77.989999999999995</v>
      </c>
      <c r="G22" s="295">
        <v>77.989999999999995</v>
      </c>
      <c r="H22" s="306"/>
    </row>
    <row r="23" spans="2:8" s="240" customFormat="1" ht="15" customHeight="1" x14ac:dyDescent="0.25">
      <c r="B23" s="243" t="s">
        <v>937</v>
      </c>
      <c r="C23" s="244" t="s">
        <v>938</v>
      </c>
      <c r="D23" s="273" t="s">
        <v>939</v>
      </c>
      <c r="E23" s="295">
        <v>80.989999999999995</v>
      </c>
      <c r="F23" s="295">
        <v>80.989999999999995</v>
      </c>
      <c r="G23" s="295">
        <v>80.989999999999995</v>
      </c>
      <c r="H23" s="306"/>
    </row>
    <row r="24" spans="2:8" s="240" customFormat="1" ht="15" customHeight="1" x14ac:dyDescent="0.25">
      <c r="B24" s="248" t="s">
        <v>940</v>
      </c>
      <c r="C24" s="244" t="s">
        <v>941</v>
      </c>
      <c r="D24" s="273" t="s">
        <v>942</v>
      </c>
      <c r="E24" s="295">
        <v>140.99</v>
      </c>
      <c r="F24" s="295">
        <v>140.99</v>
      </c>
      <c r="G24" s="295">
        <v>140.99</v>
      </c>
      <c r="H24" s="306"/>
    </row>
    <row r="25" spans="2:8" s="240" customFormat="1" ht="15" customHeight="1" x14ac:dyDescent="0.25">
      <c r="B25" s="243" t="s">
        <v>943</v>
      </c>
      <c r="C25" s="244" t="s">
        <v>944</v>
      </c>
      <c r="D25" s="273" t="s">
        <v>945</v>
      </c>
      <c r="E25" s="295">
        <v>140.99</v>
      </c>
      <c r="F25" s="295">
        <v>140.99</v>
      </c>
      <c r="G25" s="295">
        <v>140.99</v>
      </c>
      <c r="H25" s="306"/>
    </row>
    <row r="26" spans="2:8" s="240" customFormat="1" ht="15" customHeight="1" x14ac:dyDescent="0.25">
      <c r="B26" s="243" t="s">
        <v>946</v>
      </c>
      <c r="C26" s="244" t="s">
        <v>947</v>
      </c>
      <c r="D26" s="273" t="s">
        <v>948</v>
      </c>
      <c r="E26" s="295">
        <v>140.99</v>
      </c>
      <c r="F26" s="295">
        <v>140.99</v>
      </c>
      <c r="G26" s="295">
        <v>140.99</v>
      </c>
      <c r="H26" s="306"/>
    </row>
    <row r="27" spans="2:8" s="240" customFormat="1" ht="15" customHeight="1" x14ac:dyDescent="0.25">
      <c r="B27" s="243" t="s">
        <v>949</v>
      </c>
      <c r="C27" s="244" t="s">
        <v>950</v>
      </c>
      <c r="D27" s="273" t="s">
        <v>951</v>
      </c>
      <c r="E27" s="295">
        <v>140.99</v>
      </c>
      <c r="F27" s="295">
        <v>140.99</v>
      </c>
      <c r="G27" s="295">
        <v>140.99</v>
      </c>
      <c r="H27" s="306"/>
    </row>
    <row r="28" spans="2:8" s="240" customFormat="1" ht="15" customHeight="1" x14ac:dyDescent="0.25">
      <c r="B28" s="243" t="s">
        <v>952</v>
      </c>
      <c r="C28" s="244" t="s">
        <v>953</v>
      </c>
      <c r="D28" s="273" t="s">
        <v>954</v>
      </c>
      <c r="E28" s="295">
        <v>106.99</v>
      </c>
      <c r="F28" s="295">
        <v>106.99</v>
      </c>
      <c r="G28" s="295">
        <v>106.99</v>
      </c>
      <c r="H28" s="306"/>
    </row>
    <row r="29" spans="2:8" s="240" customFormat="1" ht="15" customHeight="1" x14ac:dyDescent="0.25">
      <c r="B29" s="243" t="s">
        <v>955</v>
      </c>
      <c r="C29" s="244" t="s">
        <v>956</v>
      </c>
      <c r="D29" s="273" t="s">
        <v>957</v>
      </c>
      <c r="E29" s="295">
        <v>98.99</v>
      </c>
      <c r="F29" s="295">
        <v>98.99</v>
      </c>
      <c r="G29" s="295">
        <v>98.99</v>
      </c>
      <c r="H29" s="306"/>
    </row>
    <row r="30" spans="2:8" s="240" customFormat="1" ht="15" customHeight="1" x14ac:dyDescent="0.25">
      <c r="B30" s="243" t="s">
        <v>958</v>
      </c>
      <c r="C30" s="244" t="s">
        <v>959</v>
      </c>
      <c r="D30" s="273" t="s">
        <v>960</v>
      </c>
      <c r="E30" s="295">
        <v>31.99</v>
      </c>
      <c r="F30" s="295">
        <v>31.99</v>
      </c>
      <c r="G30" s="295">
        <v>31.99</v>
      </c>
      <c r="H30" s="306"/>
    </row>
    <row r="31" spans="2:8" s="240" customFormat="1" ht="15" customHeight="1" x14ac:dyDescent="0.25">
      <c r="B31" s="243" t="s">
        <v>961</v>
      </c>
      <c r="C31" s="244" t="s">
        <v>962</v>
      </c>
      <c r="D31" s="273" t="s">
        <v>963</v>
      </c>
      <c r="E31" s="295">
        <v>36.99</v>
      </c>
      <c r="F31" s="295">
        <v>36.99</v>
      </c>
      <c r="G31" s="295">
        <v>36.99</v>
      </c>
      <c r="H31" s="306"/>
    </row>
    <row r="32" spans="2:8" s="240" customFormat="1" ht="15" customHeight="1" x14ac:dyDescent="0.25">
      <c r="B32" s="243" t="s">
        <v>964</v>
      </c>
      <c r="C32" s="244" t="s">
        <v>965</v>
      </c>
      <c r="D32" s="273" t="s">
        <v>966</v>
      </c>
      <c r="E32" s="295">
        <v>141.99</v>
      </c>
      <c r="F32" s="295">
        <v>141.99</v>
      </c>
      <c r="G32" s="295">
        <v>141.99</v>
      </c>
      <c r="H32" s="306"/>
    </row>
    <row r="33" spans="2:8" s="240" customFormat="1" ht="15" customHeight="1" x14ac:dyDescent="0.25">
      <c r="B33" s="243" t="s">
        <v>967</v>
      </c>
      <c r="C33" s="244" t="s">
        <v>968</v>
      </c>
      <c r="D33" s="271" t="s">
        <v>969</v>
      </c>
      <c r="E33" s="295">
        <v>39.99</v>
      </c>
      <c r="F33" s="295">
        <v>39.99</v>
      </c>
      <c r="G33" s="295">
        <v>39.99</v>
      </c>
      <c r="H33" s="306"/>
    </row>
    <row r="34" spans="2:8" s="240" customFormat="1" ht="15" customHeight="1" x14ac:dyDescent="0.25">
      <c r="B34" s="243" t="s">
        <v>970</v>
      </c>
      <c r="C34" s="251" t="s">
        <v>971</v>
      </c>
      <c r="D34" s="271" t="s">
        <v>972</v>
      </c>
      <c r="E34" s="295">
        <v>54.99</v>
      </c>
      <c r="F34" s="295">
        <v>54.99</v>
      </c>
      <c r="G34" s="295">
        <v>54.99</v>
      </c>
      <c r="H34" s="306"/>
    </row>
    <row r="35" spans="2:8" s="240" customFormat="1" ht="15" customHeight="1" x14ac:dyDescent="0.25">
      <c r="B35" s="243" t="s">
        <v>973</v>
      </c>
      <c r="C35" s="251" t="s">
        <v>974</v>
      </c>
      <c r="D35" s="271" t="s">
        <v>975</v>
      </c>
      <c r="E35" s="295">
        <v>30.99</v>
      </c>
      <c r="F35" s="295">
        <v>30.99</v>
      </c>
      <c r="G35" s="295">
        <v>30.99</v>
      </c>
      <c r="H35" s="306"/>
    </row>
    <row r="36" spans="2:8" s="240" customFormat="1" ht="15" customHeight="1" x14ac:dyDescent="0.25">
      <c r="B36" s="243" t="s">
        <v>976</v>
      </c>
      <c r="C36" s="251" t="s">
        <v>977</v>
      </c>
      <c r="D36" s="271" t="s">
        <v>978</v>
      </c>
      <c r="E36" s="295">
        <v>63.99</v>
      </c>
      <c r="F36" s="295">
        <v>63.99</v>
      </c>
      <c r="G36" s="295">
        <v>63.99</v>
      </c>
      <c r="H36" s="306"/>
    </row>
    <row r="37" spans="2:8" s="240" customFormat="1" ht="15" customHeight="1" x14ac:dyDescent="0.25">
      <c r="B37" s="243" t="s">
        <v>979</v>
      </c>
      <c r="C37" s="251" t="s">
        <v>980</v>
      </c>
      <c r="D37" s="271" t="s">
        <v>981</v>
      </c>
      <c r="E37" s="295">
        <v>295.99</v>
      </c>
      <c r="F37" s="295">
        <v>295.99</v>
      </c>
      <c r="G37" s="295">
        <v>295.99</v>
      </c>
      <c r="H37" s="306"/>
    </row>
    <row r="38" spans="2:8" s="240" customFormat="1" ht="15" customHeight="1" x14ac:dyDescent="0.25">
      <c r="B38" s="243" t="s">
        <v>982</v>
      </c>
      <c r="C38" s="251" t="s">
        <v>983</v>
      </c>
      <c r="D38" s="271" t="s">
        <v>984</v>
      </c>
      <c r="E38" s="295">
        <v>53.99</v>
      </c>
      <c r="F38" s="295">
        <v>53.99</v>
      </c>
      <c r="G38" s="295">
        <v>53.99</v>
      </c>
      <c r="H38" s="306"/>
    </row>
    <row r="39" spans="2:8" s="240" customFormat="1" ht="15" customHeight="1" x14ac:dyDescent="0.25">
      <c r="B39" s="243" t="s">
        <v>985</v>
      </c>
      <c r="C39" s="251" t="s">
        <v>986</v>
      </c>
      <c r="D39" s="271" t="s">
        <v>987</v>
      </c>
      <c r="E39" s="295">
        <v>133.99</v>
      </c>
      <c r="F39" s="295">
        <v>133.99</v>
      </c>
      <c r="G39" s="295">
        <v>133.99</v>
      </c>
      <c r="H39" s="306"/>
    </row>
    <row r="40" spans="2:8" s="240" customFormat="1" ht="15" customHeight="1" x14ac:dyDescent="0.25">
      <c r="B40" s="243" t="s">
        <v>988</v>
      </c>
      <c r="C40" s="251" t="s">
        <v>989</v>
      </c>
      <c r="D40" s="271" t="s">
        <v>990</v>
      </c>
      <c r="E40" s="295">
        <v>74.989999999999995</v>
      </c>
      <c r="F40" s="295">
        <v>74.989999999999995</v>
      </c>
      <c r="G40" s="295">
        <v>74.989999999999995</v>
      </c>
      <c r="H40" s="306"/>
    </row>
    <row r="41" spans="2:8" s="240" customFormat="1" ht="15" customHeight="1" x14ac:dyDescent="0.25">
      <c r="B41" s="243" t="s">
        <v>991</v>
      </c>
      <c r="C41" s="251" t="s">
        <v>992</v>
      </c>
      <c r="D41" s="274" t="s">
        <v>993</v>
      </c>
      <c r="E41" s="295">
        <v>226.99</v>
      </c>
      <c r="F41" s="295">
        <v>226.99</v>
      </c>
      <c r="G41" s="295">
        <v>226.99</v>
      </c>
      <c r="H41" s="306"/>
    </row>
    <row r="42" spans="2:8" s="240" customFormat="1" ht="15" customHeight="1" x14ac:dyDescent="0.25">
      <c r="B42" s="243" t="s">
        <v>994</v>
      </c>
      <c r="C42" s="254" t="s">
        <v>995</v>
      </c>
      <c r="D42" s="271" t="s">
        <v>996</v>
      </c>
      <c r="E42" s="295">
        <v>135.99</v>
      </c>
      <c r="F42" s="295">
        <v>135.99</v>
      </c>
      <c r="G42" s="295">
        <v>135.99</v>
      </c>
      <c r="H42" s="306"/>
    </row>
    <row r="43" spans="2:8" s="240" customFormat="1" ht="15" customHeight="1" x14ac:dyDescent="0.25">
      <c r="B43" s="243" t="s">
        <v>997</v>
      </c>
      <c r="C43" s="251" t="s">
        <v>998</v>
      </c>
      <c r="D43" s="271" t="s">
        <v>999</v>
      </c>
      <c r="E43" s="295">
        <v>109.99</v>
      </c>
      <c r="F43" s="295">
        <v>109.99</v>
      </c>
      <c r="G43" s="295">
        <v>109.99</v>
      </c>
      <c r="H43" s="306"/>
    </row>
    <row r="44" spans="2:8" s="240" customFormat="1" ht="15" customHeight="1" x14ac:dyDescent="0.25">
      <c r="B44" s="243" t="s">
        <v>1000</v>
      </c>
      <c r="C44" s="251" t="s">
        <v>1001</v>
      </c>
      <c r="D44" s="271" t="s">
        <v>1002</v>
      </c>
      <c r="E44" s="295">
        <v>62.99</v>
      </c>
      <c r="F44" s="295">
        <v>62.99</v>
      </c>
      <c r="G44" s="295">
        <v>62.99</v>
      </c>
      <c r="H44" s="306"/>
    </row>
    <row r="45" spans="2:8" s="240" customFormat="1" ht="15" customHeight="1" x14ac:dyDescent="0.25">
      <c r="B45" s="243" t="s">
        <v>1003</v>
      </c>
      <c r="C45" s="251" t="s">
        <v>1004</v>
      </c>
      <c r="D45" s="271" t="s">
        <v>1005</v>
      </c>
      <c r="E45" s="295">
        <v>166.99</v>
      </c>
      <c r="F45" s="295">
        <v>166.99</v>
      </c>
      <c r="G45" s="295">
        <v>166.99</v>
      </c>
      <c r="H45" s="306"/>
    </row>
    <row r="46" spans="2:8" s="240" customFormat="1" ht="15" customHeight="1" x14ac:dyDescent="0.25">
      <c r="B46" s="243" t="s">
        <v>1006</v>
      </c>
      <c r="C46" s="254" t="s">
        <v>1007</v>
      </c>
      <c r="D46" s="271" t="s">
        <v>1008</v>
      </c>
      <c r="E46" s="295">
        <v>74.989999999999995</v>
      </c>
      <c r="F46" s="295">
        <v>74.989999999999995</v>
      </c>
      <c r="G46" s="295">
        <v>74.989999999999995</v>
      </c>
      <c r="H46" s="306"/>
    </row>
    <row r="47" spans="2:8" s="240" customFormat="1" ht="15" customHeight="1" x14ac:dyDescent="0.25">
      <c r="B47" s="243" t="s">
        <v>1009</v>
      </c>
      <c r="C47" s="254" t="s">
        <v>1010</v>
      </c>
      <c r="D47" s="271" t="s">
        <v>1011</v>
      </c>
      <c r="E47" s="295">
        <v>53.99</v>
      </c>
      <c r="F47" s="295">
        <v>53.99</v>
      </c>
      <c r="G47" s="295">
        <v>53.99</v>
      </c>
      <c r="H47" s="306"/>
    </row>
    <row r="48" spans="2:8" s="240" customFormat="1" ht="15" customHeight="1" x14ac:dyDescent="0.25">
      <c r="B48" s="243" t="s">
        <v>1012</v>
      </c>
      <c r="C48" s="254" t="s">
        <v>1013</v>
      </c>
      <c r="D48" s="271" t="s">
        <v>1014</v>
      </c>
      <c r="E48" s="295">
        <v>39.99</v>
      </c>
      <c r="F48" s="295">
        <v>39.99</v>
      </c>
      <c r="G48" s="295">
        <v>39.99</v>
      </c>
      <c r="H48" s="306"/>
    </row>
    <row r="49" spans="2:8" s="240" customFormat="1" ht="15" customHeight="1" x14ac:dyDescent="0.25">
      <c r="B49" s="243" t="s">
        <v>1015</v>
      </c>
      <c r="C49" s="254" t="s">
        <v>1016</v>
      </c>
      <c r="D49" s="271" t="s">
        <v>1017</v>
      </c>
      <c r="E49" s="295">
        <v>39.99</v>
      </c>
      <c r="F49" s="295">
        <v>39.99</v>
      </c>
      <c r="G49" s="295">
        <v>39.99</v>
      </c>
      <c r="H49" s="306"/>
    </row>
    <row r="50" spans="2:8" s="240" customFormat="1" ht="15" customHeight="1" x14ac:dyDescent="0.25">
      <c r="B50" s="243" t="s">
        <v>1018</v>
      </c>
      <c r="C50" s="254" t="s">
        <v>947</v>
      </c>
      <c r="D50" s="271" t="s">
        <v>1019</v>
      </c>
      <c r="E50" s="295">
        <v>157.99</v>
      </c>
      <c r="F50" s="295">
        <v>157.99</v>
      </c>
      <c r="G50" s="295">
        <v>157.99</v>
      </c>
      <c r="H50" s="306"/>
    </row>
    <row r="51" spans="2:8" s="240" customFormat="1" ht="15" customHeight="1" x14ac:dyDescent="0.25">
      <c r="B51" s="243" t="s">
        <v>1020</v>
      </c>
      <c r="C51" s="254" t="s">
        <v>1021</v>
      </c>
      <c r="D51" s="271" t="s">
        <v>1022</v>
      </c>
      <c r="E51" s="295">
        <v>60.99</v>
      </c>
      <c r="F51" s="295">
        <v>60.99</v>
      </c>
      <c r="G51" s="295">
        <v>60.99</v>
      </c>
      <c r="H51" s="306"/>
    </row>
    <row r="52" spans="2:8" s="240" customFormat="1" ht="15" customHeight="1" x14ac:dyDescent="0.25">
      <c r="B52" s="243" t="s">
        <v>1023</v>
      </c>
      <c r="C52" s="254" t="s">
        <v>1024</v>
      </c>
      <c r="D52" s="271" t="s">
        <v>1025</v>
      </c>
      <c r="E52" s="295">
        <v>74.989999999999995</v>
      </c>
      <c r="F52" s="295">
        <v>74.989999999999995</v>
      </c>
      <c r="G52" s="295">
        <v>74.989999999999995</v>
      </c>
      <c r="H52" s="306"/>
    </row>
    <row r="53" spans="2:8" s="240" customFormat="1" ht="15" customHeight="1" x14ac:dyDescent="0.25">
      <c r="B53" s="243" t="s">
        <v>1026</v>
      </c>
      <c r="C53" s="254" t="s">
        <v>947</v>
      </c>
      <c r="D53" s="271" t="s">
        <v>1027</v>
      </c>
      <c r="E53" s="295">
        <v>206.99</v>
      </c>
      <c r="F53" s="295">
        <v>206.99</v>
      </c>
      <c r="G53" s="295">
        <v>206.99</v>
      </c>
      <c r="H53" s="306"/>
    </row>
    <row r="54" spans="2:8" s="240" customFormat="1" ht="15" customHeight="1" x14ac:dyDescent="0.25">
      <c r="B54" s="243" t="s">
        <v>1028</v>
      </c>
      <c r="C54" s="254" t="s">
        <v>1029</v>
      </c>
      <c r="D54" s="271" t="s">
        <v>1030</v>
      </c>
      <c r="E54" s="295">
        <v>39.99</v>
      </c>
      <c r="F54" s="295">
        <v>39.99</v>
      </c>
      <c r="G54" s="295">
        <v>39.99</v>
      </c>
      <c r="H54" s="306"/>
    </row>
    <row r="55" spans="2:8" s="240" customFormat="1" ht="15" customHeight="1" x14ac:dyDescent="0.25">
      <c r="B55" s="243" t="s">
        <v>1031</v>
      </c>
      <c r="C55" s="254" t="s">
        <v>1032</v>
      </c>
      <c r="D55" s="271" t="s">
        <v>1033</v>
      </c>
      <c r="E55" s="295">
        <v>135.99</v>
      </c>
      <c r="F55" s="295">
        <v>135.99</v>
      </c>
      <c r="G55" s="295">
        <v>135.99</v>
      </c>
      <c r="H55" s="306"/>
    </row>
    <row r="56" spans="2:8" s="240" customFormat="1" ht="15" customHeight="1" x14ac:dyDescent="0.25">
      <c r="B56" s="243" t="s">
        <v>1034</v>
      </c>
      <c r="C56" s="254" t="s">
        <v>1035</v>
      </c>
      <c r="D56" s="271" t="s">
        <v>1036</v>
      </c>
      <c r="E56" s="295">
        <v>166.99</v>
      </c>
      <c r="F56" s="295">
        <v>166.99</v>
      </c>
      <c r="G56" s="295">
        <v>166.99</v>
      </c>
      <c r="H56" s="306"/>
    </row>
    <row r="57" spans="2:8" s="240" customFormat="1" ht="15" customHeight="1" x14ac:dyDescent="0.25">
      <c r="B57" s="243" t="s">
        <v>1037</v>
      </c>
      <c r="C57" s="254" t="s">
        <v>1038</v>
      </c>
      <c r="D57" s="271" t="s">
        <v>1039</v>
      </c>
      <c r="E57" s="295">
        <v>205.99</v>
      </c>
      <c r="F57" s="295">
        <v>205.99</v>
      </c>
      <c r="G57" s="295">
        <v>205.99</v>
      </c>
      <c r="H57" s="306"/>
    </row>
    <row r="58" spans="2:8" s="240" customFormat="1" ht="15" customHeight="1" x14ac:dyDescent="0.25">
      <c r="B58" s="243" t="s">
        <v>1040</v>
      </c>
      <c r="C58" s="254" t="s">
        <v>1041</v>
      </c>
      <c r="D58" s="271" t="s">
        <v>1042</v>
      </c>
      <c r="E58" s="295">
        <v>99.99</v>
      </c>
      <c r="F58" s="295">
        <v>99.99</v>
      </c>
      <c r="G58" s="295">
        <v>99.99</v>
      </c>
      <c r="H58" s="306"/>
    </row>
    <row r="59" spans="2:8" s="240" customFormat="1" ht="15" customHeight="1" x14ac:dyDescent="0.25">
      <c r="B59" s="243" t="s">
        <v>1043</v>
      </c>
      <c r="C59" s="254" t="s">
        <v>1044</v>
      </c>
      <c r="D59" s="271" t="s">
        <v>1045</v>
      </c>
      <c r="E59" s="295">
        <v>39.99</v>
      </c>
      <c r="F59" s="295">
        <v>39.99</v>
      </c>
      <c r="G59" s="295">
        <v>39.99</v>
      </c>
      <c r="H59" s="306"/>
    </row>
    <row r="60" spans="2:8" s="240" customFormat="1" ht="15" customHeight="1" x14ac:dyDescent="0.25">
      <c r="B60" s="243" t="s">
        <v>1046</v>
      </c>
      <c r="C60" s="254" t="s">
        <v>1047</v>
      </c>
      <c r="D60" s="271" t="s">
        <v>1048</v>
      </c>
      <c r="E60" s="295">
        <v>36.99</v>
      </c>
      <c r="F60" s="295">
        <v>36.99</v>
      </c>
      <c r="G60" s="295">
        <v>36.99</v>
      </c>
      <c r="H60" s="306"/>
    </row>
    <row r="61" spans="2:8" s="240" customFormat="1" ht="15" customHeight="1" x14ac:dyDescent="0.25">
      <c r="B61" s="243" t="s">
        <v>1049</v>
      </c>
      <c r="C61" s="254" t="s">
        <v>1050</v>
      </c>
      <c r="D61" s="271" t="s">
        <v>1051</v>
      </c>
      <c r="E61" s="295">
        <v>53.99</v>
      </c>
      <c r="F61" s="295">
        <v>53.99</v>
      </c>
      <c r="G61" s="295">
        <v>53.99</v>
      </c>
      <c r="H61" s="306"/>
    </row>
    <row r="62" spans="2:8" s="240" customFormat="1" ht="15" customHeight="1" x14ac:dyDescent="0.25">
      <c r="B62" s="243" t="s">
        <v>1052</v>
      </c>
      <c r="C62" s="254" t="s">
        <v>1053</v>
      </c>
      <c r="D62" s="271" t="s">
        <v>1054</v>
      </c>
      <c r="E62" s="295">
        <v>77.989999999999995</v>
      </c>
      <c r="F62" s="295">
        <v>77.989999999999995</v>
      </c>
      <c r="G62" s="295">
        <v>77.989999999999995</v>
      </c>
      <c r="H62" s="306"/>
    </row>
    <row r="63" spans="2:8" s="240" customFormat="1" ht="15" customHeight="1" x14ac:dyDescent="0.25">
      <c r="B63" s="243" t="s">
        <v>1055</v>
      </c>
      <c r="C63" s="254" t="s">
        <v>1056</v>
      </c>
      <c r="D63" s="271" t="s">
        <v>1057</v>
      </c>
      <c r="E63" s="295">
        <v>157.99</v>
      </c>
      <c r="F63" s="295">
        <v>157.99</v>
      </c>
      <c r="G63" s="295">
        <v>157.99</v>
      </c>
      <c r="H63" s="306"/>
    </row>
    <row r="64" spans="2:8" s="240" customFormat="1" ht="15" customHeight="1" x14ac:dyDescent="0.25">
      <c r="B64" s="243" t="s">
        <v>1058</v>
      </c>
      <c r="C64" s="255" t="s">
        <v>1059</v>
      </c>
      <c r="D64" s="269" t="s">
        <v>180</v>
      </c>
      <c r="E64" s="295">
        <v>96.99</v>
      </c>
      <c r="F64" s="295">
        <v>96.99</v>
      </c>
      <c r="G64" s="295">
        <v>96.99</v>
      </c>
      <c r="H64" s="306"/>
    </row>
    <row r="65" spans="2:8" s="240" customFormat="1" ht="15" customHeight="1" x14ac:dyDescent="0.25">
      <c r="B65" s="243" t="s">
        <v>1060</v>
      </c>
      <c r="C65" s="255" t="s">
        <v>1061</v>
      </c>
      <c r="D65" s="269" t="s">
        <v>180</v>
      </c>
      <c r="E65" s="295">
        <v>62.99</v>
      </c>
      <c r="F65" s="295">
        <v>62.99</v>
      </c>
      <c r="G65" s="295">
        <v>62.99</v>
      </c>
      <c r="H65" s="306"/>
    </row>
    <row r="66" spans="2:8" s="240" customFormat="1" ht="15" customHeight="1" x14ac:dyDescent="0.25">
      <c r="B66" s="95"/>
      <c r="C66" s="304"/>
      <c r="D66" s="305"/>
      <c r="E66" s="294"/>
      <c r="F66" s="294"/>
      <c r="G66" s="294"/>
      <c r="H66" s="306"/>
    </row>
    <row r="67" spans="2:8" s="240" customFormat="1" ht="15" customHeight="1" x14ac:dyDescent="0.25">
      <c r="B67" s="312" t="s">
        <v>1062</v>
      </c>
      <c r="C67" s="313"/>
      <c r="D67" s="21"/>
      <c r="E67" s="21"/>
      <c r="F67" s="21"/>
      <c r="G67" s="21"/>
      <c r="H67" s="306"/>
    </row>
    <row r="68" spans="2:8" s="240" customFormat="1" ht="15" customHeight="1" x14ac:dyDescent="0.25">
      <c r="B68" s="256" t="s">
        <v>1063</v>
      </c>
      <c r="C68" s="257" t="s">
        <v>1064</v>
      </c>
      <c r="D68" s="275" t="s">
        <v>1065</v>
      </c>
      <c r="E68" s="295">
        <v>19.989999999999998</v>
      </c>
      <c r="F68" s="295">
        <v>19.989999999999998</v>
      </c>
      <c r="G68" s="295">
        <v>19.989999999999998</v>
      </c>
      <c r="H68" s="306"/>
    </row>
    <row r="69" spans="2:8" s="240" customFormat="1" ht="15" customHeight="1" x14ac:dyDescent="0.25">
      <c r="B69" s="246" t="s">
        <v>1066</v>
      </c>
      <c r="C69" s="254" t="s">
        <v>1067</v>
      </c>
      <c r="D69" s="276" t="s">
        <v>1068</v>
      </c>
      <c r="E69" s="295">
        <v>56.99</v>
      </c>
      <c r="F69" s="295">
        <v>56.99</v>
      </c>
      <c r="G69" s="295">
        <v>56.99</v>
      </c>
      <c r="H69" s="306"/>
    </row>
    <row r="70" spans="2:8" s="240" customFormat="1" ht="15" customHeight="1" x14ac:dyDescent="0.25">
      <c r="B70" s="246" t="s">
        <v>1069</v>
      </c>
      <c r="C70" s="254" t="s">
        <v>1070</v>
      </c>
      <c r="D70" s="276" t="s">
        <v>1071</v>
      </c>
      <c r="E70" s="295">
        <v>66.989999999999995</v>
      </c>
      <c r="F70" s="295">
        <v>66.989999999999995</v>
      </c>
      <c r="G70" s="295">
        <v>66.989999999999995</v>
      </c>
      <c r="H70" s="306"/>
    </row>
    <row r="71" spans="2:8" s="240" customFormat="1" ht="15" customHeight="1" x14ac:dyDescent="0.25">
      <c r="B71" s="243" t="s">
        <v>1072</v>
      </c>
      <c r="C71" s="254" t="s">
        <v>1073</v>
      </c>
      <c r="D71" s="271" t="s">
        <v>1074</v>
      </c>
      <c r="E71" s="295">
        <v>152.99</v>
      </c>
      <c r="F71" s="295">
        <v>152.99</v>
      </c>
      <c r="G71" s="295">
        <v>152.99</v>
      </c>
      <c r="H71" s="306"/>
    </row>
    <row r="72" spans="2:8" s="240" customFormat="1" ht="15" customHeight="1" x14ac:dyDescent="0.25">
      <c r="B72" s="243" t="s">
        <v>1075</v>
      </c>
      <c r="C72" s="258" t="s">
        <v>1076</v>
      </c>
      <c r="D72" s="269" t="s">
        <v>180</v>
      </c>
      <c r="E72" s="295">
        <v>31.99</v>
      </c>
      <c r="F72" s="295">
        <v>31.99</v>
      </c>
      <c r="G72" s="295">
        <v>31.99</v>
      </c>
      <c r="H72" s="306"/>
    </row>
    <row r="73" spans="2:8" s="240" customFormat="1" ht="15" customHeight="1" x14ac:dyDescent="0.25">
      <c r="B73" s="243" t="s">
        <v>1077</v>
      </c>
      <c r="C73" s="258" t="s">
        <v>1078</v>
      </c>
      <c r="D73" s="269" t="s">
        <v>180</v>
      </c>
      <c r="E73" s="295">
        <v>151.99</v>
      </c>
      <c r="F73" s="295">
        <v>151.99</v>
      </c>
      <c r="G73" s="295">
        <v>151.99</v>
      </c>
      <c r="H73" s="306"/>
    </row>
    <row r="74" spans="2:8" s="240" customFormat="1" ht="15" customHeight="1" x14ac:dyDescent="0.25">
      <c r="B74" s="243" t="s">
        <v>1079</v>
      </c>
      <c r="C74" s="258" t="s">
        <v>1080</v>
      </c>
      <c r="D74" s="269" t="s">
        <v>180</v>
      </c>
      <c r="E74" s="295">
        <v>157.99</v>
      </c>
      <c r="F74" s="295">
        <v>157.99</v>
      </c>
      <c r="G74" s="295">
        <v>157.99</v>
      </c>
      <c r="H74" s="306"/>
    </row>
    <row r="75" spans="2:8" s="240" customFormat="1" ht="15" customHeight="1" x14ac:dyDescent="0.25">
      <c r="B75" s="246" t="s">
        <v>1081</v>
      </c>
      <c r="C75" s="247" t="s">
        <v>1082</v>
      </c>
      <c r="D75" s="269" t="s">
        <v>1083</v>
      </c>
      <c r="E75" s="295">
        <v>34.99</v>
      </c>
      <c r="F75" s="295">
        <v>34.99</v>
      </c>
      <c r="G75" s="295">
        <v>34.99</v>
      </c>
      <c r="H75" s="306"/>
    </row>
    <row r="76" spans="2:8" s="240" customFormat="1" ht="15" customHeight="1" x14ac:dyDescent="0.25">
      <c r="B76" s="243" t="s">
        <v>1084</v>
      </c>
      <c r="C76" s="258" t="s">
        <v>1085</v>
      </c>
      <c r="D76" s="269" t="s">
        <v>1086</v>
      </c>
      <c r="E76" s="295">
        <v>53.99</v>
      </c>
      <c r="F76" s="295">
        <v>53.99</v>
      </c>
      <c r="G76" s="295">
        <v>53.99</v>
      </c>
      <c r="H76" s="306"/>
    </row>
    <row r="77" spans="2:8" s="240" customFormat="1" ht="15" customHeight="1" x14ac:dyDescent="0.25">
      <c r="B77" s="243" t="s">
        <v>1087</v>
      </c>
      <c r="C77" s="258" t="s">
        <v>1088</v>
      </c>
      <c r="D77" s="269" t="s">
        <v>1089</v>
      </c>
      <c r="E77" s="295">
        <v>36.99</v>
      </c>
      <c r="F77" s="295">
        <v>36.99</v>
      </c>
      <c r="G77" s="295">
        <v>36.99</v>
      </c>
      <c r="H77" s="306"/>
    </row>
    <row r="78" spans="2:8" s="240" customFormat="1" ht="15" customHeight="1" x14ac:dyDescent="0.25">
      <c r="B78" s="243" t="s">
        <v>1090</v>
      </c>
      <c r="C78" s="258" t="s">
        <v>1091</v>
      </c>
      <c r="D78" s="269" t="s">
        <v>1092</v>
      </c>
      <c r="E78" s="295">
        <v>30.99</v>
      </c>
      <c r="F78" s="295">
        <v>30.99</v>
      </c>
      <c r="G78" s="295">
        <v>30.99</v>
      </c>
      <c r="H78" s="306"/>
    </row>
    <row r="79" spans="2:8" s="240" customFormat="1" ht="15" customHeight="1" x14ac:dyDescent="0.25">
      <c r="B79" s="243" t="s">
        <v>1093</v>
      </c>
      <c r="C79" s="258" t="s">
        <v>1094</v>
      </c>
      <c r="D79" s="269" t="s">
        <v>180</v>
      </c>
      <c r="E79" s="295">
        <v>106.99</v>
      </c>
      <c r="F79" s="295">
        <v>106.99</v>
      </c>
      <c r="G79" s="295">
        <v>106.99</v>
      </c>
      <c r="H79" s="306"/>
    </row>
    <row r="80" spans="2:8" s="240" customFormat="1" ht="15" customHeight="1" x14ac:dyDescent="0.25">
      <c r="B80" s="246" t="s">
        <v>1095</v>
      </c>
      <c r="C80" s="247" t="s">
        <v>1096</v>
      </c>
      <c r="D80" s="269" t="s">
        <v>1097</v>
      </c>
      <c r="E80" s="295">
        <v>23.99</v>
      </c>
      <c r="F80" s="295">
        <v>23.99</v>
      </c>
      <c r="G80" s="295">
        <v>23.99</v>
      </c>
      <c r="H80" s="306"/>
    </row>
    <row r="81" spans="2:8" s="240" customFormat="1" ht="15" customHeight="1" x14ac:dyDescent="0.25">
      <c r="B81" s="246" t="s">
        <v>906</v>
      </c>
      <c r="C81" s="247" t="s">
        <v>907</v>
      </c>
      <c r="D81" s="269" t="s">
        <v>908</v>
      </c>
      <c r="E81" s="295">
        <v>88.99</v>
      </c>
      <c r="F81" s="295">
        <v>88.99</v>
      </c>
      <c r="G81" s="295">
        <v>88.99</v>
      </c>
      <c r="H81" s="306"/>
    </row>
    <row r="82" spans="2:8" s="240" customFormat="1" ht="15" customHeight="1" x14ac:dyDescent="0.25">
      <c r="B82" s="243" t="s">
        <v>1098</v>
      </c>
      <c r="C82" s="247" t="s">
        <v>1099</v>
      </c>
      <c r="D82" s="269" t="s">
        <v>1100</v>
      </c>
      <c r="E82" s="295">
        <v>78.989999999999995</v>
      </c>
      <c r="F82" s="295">
        <v>78.989999999999995</v>
      </c>
      <c r="G82" s="295">
        <v>78.989999999999995</v>
      </c>
      <c r="H82" s="306"/>
    </row>
    <row r="83" spans="2:8" s="240" customFormat="1" ht="15" customHeight="1" x14ac:dyDescent="0.25">
      <c r="B83" s="243" t="s">
        <v>1101</v>
      </c>
      <c r="C83" s="247" t="s">
        <v>1102</v>
      </c>
      <c r="D83" s="273" t="s">
        <v>1103</v>
      </c>
      <c r="E83" s="295">
        <v>24.99</v>
      </c>
      <c r="F83" s="295">
        <v>24.99</v>
      </c>
      <c r="G83" s="295">
        <v>24.99</v>
      </c>
      <c r="H83" s="306"/>
    </row>
    <row r="84" spans="2:8" s="240" customFormat="1" ht="15" customHeight="1" x14ac:dyDescent="0.25">
      <c r="B84" s="243" t="s">
        <v>1104</v>
      </c>
      <c r="C84" s="247" t="s">
        <v>1105</v>
      </c>
      <c r="D84" s="273" t="s">
        <v>1106</v>
      </c>
      <c r="E84" s="295">
        <v>39.99</v>
      </c>
      <c r="F84" s="295">
        <v>39.99</v>
      </c>
      <c r="G84" s="295">
        <v>39.99</v>
      </c>
      <c r="H84" s="306"/>
    </row>
    <row r="85" spans="2:8" s="240" customFormat="1" ht="15" customHeight="1" x14ac:dyDescent="0.25">
      <c r="B85" s="243" t="s">
        <v>1107</v>
      </c>
      <c r="C85" s="247" t="s">
        <v>1108</v>
      </c>
      <c r="D85" s="273" t="s">
        <v>1109</v>
      </c>
      <c r="E85" s="295">
        <v>21.99</v>
      </c>
      <c r="F85" s="295">
        <v>21.99</v>
      </c>
      <c r="G85" s="295">
        <v>21.99</v>
      </c>
      <c r="H85" s="306"/>
    </row>
    <row r="86" spans="2:8" s="240" customFormat="1" ht="15" customHeight="1" x14ac:dyDescent="0.25">
      <c r="B86" s="253" t="s">
        <v>1110</v>
      </c>
      <c r="C86" s="247" t="s">
        <v>1111</v>
      </c>
      <c r="D86" s="273" t="s">
        <v>1112</v>
      </c>
      <c r="E86" s="295">
        <v>10.99</v>
      </c>
      <c r="F86" s="295">
        <v>10.99</v>
      </c>
      <c r="G86" s="295">
        <v>10.99</v>
      </c>
      <c r="H86" s="306"/>
    </row>
    <row r="87" spans="2:8" s="240" customFormat="1" ht="15" customHeight="1" x14ac:dyDescent="0.25">
      <c r="B87" s="253" t="s">
        <v>1113</v>
      </c>
      <c r="C87" s="247" t="s">
        <v>1114</v>
      </c>
      <c r="D87" s="273" t="s">
        <v>1115</v>
      </c>
      <c r="E87" s="295">
        <v>10.99</v>
      </c>
      <c r="F87" s="295">
        <v>10.99</v>
      </c>
      <c r="G87" s="295">
        <v>10.99</v>
      </c>
      <c r="H87" s="306"/>
    </row>
    <row r="88" spans="2:8" s="240" customFormat="1" ht="15" customHeight="1" x14ac:dyDescent="0.25">
      <c r="B88" s="253" t="s">
        <v>1116</v>
      </c>
      <c r="C88" s="247" t="s">
        <v>1117</v>
      </c>
      <c r="D88" s="273" t="s">
        <v>1118</v>
      </c>
      <c r="E88" s="295">
        <v>17.989999999999998</v>
      </c>
      <c r="F88" s="295">
        <v>17.989999999999998</v>
      </c>
      <c r="G88" s="295">
        <v>17.989999999999998</v>
      </c>
      <c r="H88" s="306"/>
    </row>
    <row r="89" spans="2:8" s="240" customFormat="1" ht="15" customHeight="1" x14ac:dyDescent="0.25">
      <c r="B89" s="253" t="s">
        <v>1119</v>
      </c>
      <c r="C89" s="247" t="s">
        <v>1120</v>
      </c>
      <c r="D89" s="273" t="s">
        <v>1121</v>
      </c>
      <c r="E89" s="295">
        <v>23.99</v>
      </c>
      <c r="F89" s="295">
        <v>23.99</v>
      </c>
      <c r="G89" s="295">
        <v>23.99</v>
      </c>
      <c r="H89" s="306"/>
    </row>
    <row r="90" spans="2:8" s="240" customFormat="1" ht="15" customHeight="1" x14ac:dyDescent="0.25">
      <c r="B90" s="95"/>
      <c r="C90" s="304"/>
      <c r="D90" s="305"/>
      <c r="E90" s="294"/>
      <c r="F90" s="294"/>
      <c r="G90" s="294"/>
      <c r="H90" s="306"/>
    </row>
    <row r="91" spans="2:8" s="240" customFormat="1" ht="15" customHeight="1" x14ac:dyDescent="0.25">
      <c r="B91" s="289" t="s">
        <v>1915</v>
      </c>
      <c r="C91" s="290"/>
      <c r="D91" s="291"/>
      <c r="E91" s="298"/>
      <c r="F91" s="298"/>
      <c r="G91" s="298"/>
      <c r="H91" s="306"/>
    </row>
    <row r="92" spans="2:8" s="240" customFormat="1" ht="15" customHeight="1" x14ac:dyDescent="0.25">
      <c r="B92" s="95" t="s">
        <v>1145</v>
      </c>
      <c r="C92" s="93" t="s">
        <v>1146</v>
      </c>
      <c r="D92" s="279" t="s">
        <v>180</v>
      </c>
      <c r="E92" s="295">
        <v>111.99</v>
      </c>
      <c r="F92" s="295">
        <v>111.99</v>
      </c>
      <c r="G92" s="295">
        <v>111.99</v>
      </c>
      <c r="H92" s="306"/>
    </row>
    <row r="93" spans="2:8" s="240" customFormat="1" ht="15" customHeight="1" x14ac:dyDescent="0.25">
      <c r="B93" s="95" t="s">
        <v>1147</v>
      </c>
      <c r="C93" s="93" t="s">
        <v>1148</v>
      </c>
      <c r="D93" s="279" t="s">
        <v>180</v>
      </c>
      <c r="E93" s="295">
        <v>159.99</v>
      </c>
      <c r="F93" s="295">
        <v>159.99</v>
      </c>
      <c r="G93" s="295">
        <v>159.99</v>
      </c>
      <c r="H93" s="306"/>
    </row>
    <row r="94" spans="2:8" s="240" customFormat="1" ht="15" customHeight="1" x14ac:dyDescent="0.25">
      <c r="B94" s="94" t="s">
        <v>1171</v>
      </c>
      <c r="C94" s="83" t="s">
        <v>1172</v>
      </c>
      <c r="D94" s="279" t="s">
        <v>1173</v>
      </c>
      <c r="E94" s="295">
        <v>63.99</v>
      </c>
      <c r="F94" s="295">
        <v>63.99</v>
      </c>
      <c r="G94" s="295">
        <v>63.99</v>
      </c>
      <c r="H94" s="306"/>
    </row>
    <row r="95" spans="2:8" s="240" customFormat="1" ht="15" customHeight="1" x14ac:dyDescent="0.25">
      <c r="B95" s="92" t="s">
        <v>1183</v>
      </c>
      <c r="C95" s="83" t="s">
        <v>1184</v>
      </c>
      <c r="D95" s="292" t="s">
        <v>1185</v>
      </c>
      <c r="E95" s="295">
        <v>76.989999999999995</v>
      </c>
      <c r="F95" s="295">
        <v>76.989999999999995</v>
      </c>
      <c r="G95" s="295">
        <v>76.989999999999995</v>
      </c>
      <c r="H95" s="306"/>
    </row>
    <row r="96" spans="2:8" s="240" customFormat="1" ht="15" customHeight="1" x14ac:dyDescent="0.25">
      <c r="B96" s="95" t="s">
        <v>1461</v>
      </c>
      <c r="C96" s="83" t="s">
        <v>1462</v>
      </c>
      <c r="D96" s="279" t="s">
        <v>1463</v>
      </c>
      <c r="E96" s="295">
        <v>32.99</v>
      </c>
      <c r="F96" s="295">
        <v>32.99</v>
      </c>
      <c r="G96" s="295">
        <v>32.99</v>
      </c>
      <c r="H96" s="306"/>
    </row>
    <row r="97" spans="2:12" s="240" customFormat="1" ht="15" customHeight="1" x14ac:dyDescent="0.25">
      <c r="B97" s="95" t="s">
        <v>1464</v>
      </c>
      <c r="C97" s="83" t="s">
        <v>1465</v>
      </c>
      <c r="D97" s="279" t="s">
        <v>1466</v>
      </c>
      <c r="E97" s="295">
        <v>25.99</v>
      </c>
      <c r="F97" s="295">
        <v>25.99</v>
      </c>
      <c r="G97" s="295">
        <v>25.99</v>
      </c>
      <c r="H97" s="306"/>
    </row>
    <row r="98" spans="2:12" s="240" customFormat="1" ht="15" customHeight="1" x14ac:dyDescent="0.25">
      <c r="B98" s="95" t="s">
        <v>1497</v>
      </c>
      <c r="C98" s="83" t="s">
        <v>1498</v>
      </c>
      <c r="D98" s="279" t="s">
        <v>1499</v>
      </c>
      <c r="E98" s="295">
        <v>47.99</v>
      </c>
      <c r="F98" s="295">
        <v>47.99</v>
      </c>
      <c r="G98" s="295">
        <v>47.99</v>
      </c>
      <c r="H98" s="306"/>
    </row>
    <row r="99" spans="2:12" s="240" customFormat="1" ht="15" customHeight="1" x14ac:dyDescent="0.25">
      <c r="B99" s="95" t="s">
        <v>1500</v>
      </c>
      <c r="C99" s="83" t="s">
        <v>1501</v>
      </c>
      <c r="D99" s="279" t="s">
        <v>1502</v>
      </c>
      <c r="E99" s="295">
        <v>55.99</v>
      </c>
      <c r="F99" s="295">
        <v>55.99</v>
      </c>
      <c r="G99" s="295">
        <v>55.99</v>
      </c>
      <c r="H99" s="306"/>
    </row>
    <row r="100" spans="2:12" s="240" customFormat="1" ht="15" customHeight="1" x14ac:dyDescent="0.25">
      <c r="B100" s="95" t="s">
        <v>1512</v>
      </c>
      <c r="C100" s="83" t="s">
        <v>1513</v>
      </c>
      <c r="D100" s="279" t="s">
        <v>1514</v>
      </c>
      <c r="E100" s="295">
        <v>87.99</v>
      </c>
      <c r="F100" s="295">
        <v>87.99</v>
      </c>
      <c r="G100" s="295">
        <v>87.99</v>
      </c>
      <c r="H100" s="306"/>
    </row>
    <row r="101" spans="2:12" s="240" customFormat="1" ht="15" customHeight="1" x14ac:dyDescent="0.25">
      <c r="B101" s="95" t="s">
        <v>1565</v>
      </c>
      <c r="C101" s="83" t="s">
        <v>1566</v>
      </c>
      <c r="D101" s="279" t="s">
        <v>1567</v>
      </c>
      <c r="E101" s="295">
        <v>39.99</v>
      </c>
      <c r="F101" s="295">
        <v>39.99</v>
      </c>
      <c r="G101" s="295">
        <v>39.99</v>
      </c>
      <c r="H101" s="306"/>
    </row>
    <row r="102" spans="2:12" s="240" customFormat="1" ht="15" customHeight="1" x14ac:dyDescent="0.25">
      <c r="B102" s="95" t="s">
        <v>1568</v>
      </c>
      <c r="C102" s="83" t="s">
        <v>1569</v>
      </c>
      <c r="D102" s="279" t="s">
        <v>1570</v>
      </c>
      <c r="E102" s="295">
        <v>47.99</v>
      </c>
      <c r="F102" s="295">
        <v>47.99</v>
      </c>
      <c r="G102" s="295">
        <v>47.99</v>
      </c>
      <c r="H102" s="306"/>
    </row>
    <row r="103" spans="2:12" s="240" customFormat="1" ht="15" customHeight="1" x14ac:dyDescent="0.25">
      <c r="B103" s="95" t="s">
        <v>1574</v>
      </c>
      <c r="C103" s="83" t="s">
        <v>1575</v>
      </c>
      <c r="D103" s="279" t="s">
        <v>1576</v>
      </c>
      <c r="E103" s="295">
        <v>29.99</v>
      </c>
      <c r="F103" s="295">
        <v>29.99</v>
      </c>
      <c r="G103" s="295">
        <v>29.99</v>
      </c>
      <c r="H103" s="306"/>
    </row>
    <row r="104" spans="2:12" s="240" customFormat="1" ht="15" customHeight="1" x14ac:dyDescent="0.25">
      <c r="B104" s="293" t="s">
        <v>1582</v>
      </c>
      <c r="C104" s="263" t="s">
        <v>1583</v>
      </c>
      <c r="D104" s="279" t="s">
        <v>1584</v>
      </c>
      <c r="E104" s="295">
        <v>74.989999999999995</v>
      </c>
      <c r="F104" s="295">
        <v>74.989999999999995</v>
      </c>
      <c r="G104" s="295">
        <v>74.989999999999995</v>
      </c>
      <c r="H104" s="306"/>
    </row>
    <row r="105" spans="2:12" s="240" customFormat="1" ht="15" customHeight="1" x14ac:dyDescent="0.25">
      <c r="B105" s="95" t="s">
        <v>1588</v>
      </c>
      <c r="C105" s="83" t="s">
        <v>1589</v>
      </c>
      <c r="D105" s="279" t="s">
        <v>1590</v>
      </c>
      <c r="E105" s="295">
        <v>32.99</v>
      </c>
      <c r="F105" s="295">
        <v>32.99</v>
      </c>
      <c r="G105" s="295">
        <v>32.99</v>
      </c>
      <c r="H105" s="306"/>
    </row>
    <row r="106" spans="2:12" s="240" customFormat="1" ht="15" customHeight="1" x14ac:dyDescent="0.25">
      <c r="B106" s="95" t="s">
        <v>1603</v>
      </c>
      <c r="C106" s="83" t="s">
        <v>1604</v>
      </c>
      <c r="D106" s="279" t="s">
        <v>1605</v>
      </c>
      <c r="E106" s="295">
        <v>47.99</v>
      </c>
      <c r="F106" s="295">
        <v>47.99</v>
      </c>
      <c r="G106" s="295">
        <v>47.99</v>
      </c>
      <c r="H106" s="306"/>
    </row>
    <row r="107" spans="2:12" s="240" customFormat="1" ht="15" customHeight="1" x14ac:dyDescent="0.25">
      <c r="B107" s="95" t="s">
        <v>1606</v>
      </c>
      <c r="C107" s="83" t="s">
        <v>1607</v>
      </c>
      <c r="D107" s="279" t="s">
        <v>1608</v>
      </c>
      <c r="E107" s="295">
        <v>55.99</v>
      </c>
      <c r="F107" s="295">
        <v>55.99</v>
      </c>
      <c r="G107" s="295">
        <v>55.99</v>
      </c>
      <c r="H107" s="306"/>
    </row>
    <row r="108" spans="2:12" s="240" customFormat="1" ht="15" customHeight="1" x14ac:dyDescent="0.25">
      <c r="B108" s="95" t="s">
        <v>297</v>
      </c>
      <c r="C108" s="93" t="s">
        <v>298</v>
      </c>
      <c r="D108" s="284" t="s">
        <v>299</v>
      </c>
      <c r="E108" s="295">
        <v>22.99</v>
      </c>
      <c r="F108" s="295">
        <v>22.99</v>
      </c>
      <c r="G108" s="295">
        <v>22.99</v>
      </c>
      <c r="H108" s="306"/>
    </row>
    <row r="109" spans="2:12" s="240" customFormat="1" ht="15" customHeight="1" x14ac:dyDescent="0.25">
      <c r="B109" s="82" t="s">
        <v>1666</v>
      </c>
      <c r="C109" s="83" t="s">
        <v>1667</v>
      </c>
      <c r="D109" s="279" t="s">
        <v>1668</v>
      </c>
      <c r="E109" s="295">
        <v>39.99</v>
      </c>
      <c r="F109" s="295">
        <v>39.99</v>
      </c>
      <c r="G109" s="295">
        <v>39.99</v>
      </c>
      <c r="H109" s="306"/>
    </row>
    <row r="110" spans="2:12" s="240" customFormat="1" ht="15" customHeight="1" x14ac:dyDescent="0.25">
      <c r="B110" s="246" t="s">
        <v>1364</v>
      </c>
      <c r="C110" s="247" t="s">
        <v>1365</v>
      </c>
      <c r="D110" s="269" t="s">
        <v>180</v>
      </c>
      <c r="E110" s="308">
        <v>27.99</v>
      </c>
      <c r="F110" s="308">
        <v>27.99</v>
      </c>
      <c r="G110" s="308">
        <v>27.99</v>
      </c>
      <c r="H110" s="310"/>
      <c r="J110" s="240" t="s">
        <v>1913</v>
      </c>
    </row>
    <row r="111" spans="2:12" s="240" customFormat="1" ht="15" customHeight="1" x14ac:dyDescent="0.25">
      <c r="B111" s="243" t="s">
        <v>1381</v>
      </c>
      <c r="C111" s="247" t="s">
        <v>1382</v>
      </c>
      <c r="D111" s="273" t="s">
        <v>180</v>
      </c>
      <c r="E111" s="308">
        <v>40.99</v>
      </c>
      <c r="F111" s="308">
        <v>40.99</v>
      </c>
      <c r="G111" s="308">
        <v>40.99</v>
      </c>
      <c r="H111" s="310"/>
    </row>
    <row r="112" spans="2:12" s="240" customFormat="1" ht="15" customHeight="1" x14ac:dyDescent="0.25">
      <c r="B112" s="243" t="s">
        <v>1383</v>
      </c>
      <c r="C112" s="247" t="s">
        <v>1384</v>
      </c>
      <c r="D112" s="269" t="s">
        <v>1385</v>
      </c>
      <c r="E112" s="308">
        <v>94.99</v>
      </c>
      <c r="F112" s="308">
        <v>94.99</v>
      </c>
      <c r="G112" s="308">
        <v>94.99</v>
      </c>
      <c r="H112" s="310"/>
      <c r="L112" s="240" t="s">
        <v>1913</v>
      </c>
    </row>
    <row r="113" spans="2:8" s="240" customFormat="1" ht="15" customHeight="1" x14ac:dyDescent="0.25">
      <c r="B113" s="243" t="s">
        <v>1386</v>
      </c>
      <c r="C113" s="247" t="s">
        <v>1387</v>
      </c>
      <c r="D113" s="269" t="s">
        <v>180</v>
      </c>
      <c r="E113" s="308">
        <v>122.99</v>
      </c>
      <c r="F113" s="308">
        <v>122.99</v>
      </c>
      <c r="G113" s="308">
        <v>122.99</v>
      </c>
      <c r="H113" s="310"/>
    </row>
    <row r="114" spans="2:8" s="240" customFormat="1" ht="15" customHeight="1" x14ac:dyDescent="0.25">
      <c r="B114" s="246" t="s">
        <v>1455</v>
      </c>
      <c r="C114" s="247" t="s">
        <v>1456</v>
      </c>
      <c r="D114" s="269" t="s">
        <v>1457</v>
      </c>
      <c r="E114" s="308">
        <v>62.99</v>
      </c>
      <c r="F114" s="308">
        <v>62.99</v>
      </c>
      <c r="G114" s="308">
        <v>62.99</v>
      </c>
      <c r="H114" s="310"/>
    </row>
    <row r="115" spans="2:8" s="240" customFormat="1" ht="15" customHeight="1" x14ac:dyDescent="0.25">
      <c r="B115" s="246" t="s">
        <v>1473</v>
      </c>
      <c r="C115" s="247" t="s">
        <v>1474</v>
      </c>
      <c r="D115" s="269" t="s">
        <v>1475</v>
      </c>
      <c r="E115" s="308">
        <v>27.99</v>
      </c>
      <c r="F115" s="308">
        <v>27.99</v>
      </c>
      <c r="G115" s="308">
        <v>27.99</v>
      </c>
      <c r="H115" s="310"/>
    </row>
    <row r="116" spans="2:8" s="240" customFormat="1" ht="15" customHeight="1" x14ac:dyDescent="0.25">
      <c r="B116" s="246" t="s">
        <v>1476</v>
      </c>
      <c r="C116" s="247" t="s">
        <v>1477</v>
      </c>
      <c r="D116" s="269" t="s">
        <v>1478</v>
      </c>
      <c r="E116" s="308">
        <v>30.99</v>
      </c>
      <c r="F116" s="308">
        <v>30.99</v>
      </c>
      <c r="G116" s="308">
        <v>30.99</v>
      </c>
      <c r="H116" s="310"/>
    </row>
    <row r="117" spans="2:8" s="240" customFormat="1" ht="15" customHeight="1" x14ac:dyDescent="0.25">
      <c r="B117" s="246" t="s">
        <v>1479</v>
      </c>
      <c r="C117" s="247" t="s">
        <v>1480</v>
      </c>
      <c r="D117" s="269" t="s">
        <v>1481</v>
      </c>
      <c r="E117" s="308">
        <v>27.99</v>
      </c>
      <c r="F117" s="308">
        <v>27.99</v>
      </c>
      <c r="G117" s="308">
        <v>27.99</v>
      </c>
      <c r="H117" s="310"/>
    </row>
    <row r="118" spans="2:8" s="240" customFormat="1" ht="15" customHeight="1" x14ac:dyDescent="0.25">
      <c r="B118" s="246" t="s">
        <v>1482</v>
      </c>
      <c r="C118" s="247" t="s">
        <v>1483</v>
      </c>
      <c r="D118" s="269" t="s">
        <v>180</v>
      </c>
      <c r="E118" s="308">
        <v>41.99</v>
      </c>
      <c r="F118" s="308">
        <v>41.99</v>
      </c>
      <c r="G118" s="308">
        <v>41.99</v>
      </c>
      <c r="H118" s="310"/>
    </row>
    <row r="119" spans="2:8" s="240" customFormat="1" ht="15" customHeight="1" x14ac:dyDescent="0.25">
      <c r="B119" s="246" t="s">
        <v>1487</v>
      </c>
      <c r="C119" s="247" t="s">
        <v>1488</v>
      </c>
      <c r="D119" s="269" t="s">
        <v>1489</v>
      </c>
      <c r="E119" s="308">
        <v>49.99</v>
      </c>
      <c r="F119" s="308">
        <v>49.99</v>
      </c>
      <c r="G119" s="308">
        <v>49.99</v>
      </c>
      <c r="H119" s="310"/>
    </row>
    <row r="120" spans="2:8" s="240" customFormat="1" ht="15" customHeight="1" x14ac:dyDescent="0.25">
      <c r="B120" s="246" t="s">
        <v>1490</v>
      </c>
      <c r="C120" s="247" t="s">
        <v>1491</v>
      </c>
      <c r="D120" s="269" t="s">
        <v>180</v>
      </c>
      <c r="E120" s="308">
        <v>33.99</v>
      </c>
      <c r="F120" s="308">
        <v>33.99</v>
      </c>
      <c r="G120" s="308">
        <v>33.99</v>
      </c>
      <c r="H120" s="310"/>
    </row>
    <row r="121" spans="2:8" s="240" customFormat="1" ht="15" customHeight="1" x14ac:dyDescent="0.25">
      <c r="B121" s="246" t="s">
        <v>1492</v>
      </c>
      <c r="C121" s="247" t="s">
        <v>1493</v>
      </c>
      <c r="D121" s="269" t="s">
        <v>180</v>
      </c>
      <c r="E121" s="308">
        <v>30.99</v>
      </c>
      <c r="F121" s="308">
        <v>30.99</v>
      </c>
      <c r="G121" s="308">
        <v>30.99</v>
      </c>
      <c r="H121" s="310"/>
    </row>
    <row r="122" spans="2:8" s="240" customFormat="1" ht="15" customHeight="1" x14ac:dyDescent="0.25">
      <c r="B122" s="243" t="s">
        <v>1494</v>
      </c>
      <c r="C122" s="258" t="s">
        <v>1495</v>
      </c>
      <c r="D122" s="269" t="s">
        <v>1496</v>
      </c>
      <c r="E122" s="308">
        <v>33.99</v>
      </c>
      <c r="F122" s="308">
        <v>33.99</v>
      </c>
      <c r="G122" s="308">
        <v>33.99</v>
      </c>
      <c r="H122" s="310"/>
    </row>
    <row r="123" spans="2:8" s="240" customFormat="1" ht="15" customHeight="1" x14ac:dyDescent="0.25">
      <c r="B123" s="243" t="s">
        <v>1503</v>
      </c>
      <c r="C123" s="258" t="s">
        <v>1504</v>
      </c>
      <c r="D123" s="269" t="s">
        <v>1505</v>
      </c>
      <c r="E123" s="308">
        <v>27.99</v>
      </c>
      <c r="F123" s="308">
        <v>27.99</v>
      </c>
      <c r="G123" s="308">
        <v>27.99</v>
      </c>
      <c r="H123" s="310"/>
    </row>
    <row r="124" spans="2:8" s="240" customFormat="1" ht="15" customHeight="1" x14ac:dyDescent="0.25">
      <c r="B124" s="248" t="s">
        <v>1577</v>
      </c>
      <c r="C124" s="309" t="s">
        <v>1578</v>
      </c>
      <c r="D124" s="269" t="s">
        <v>1579</v>
      </c>
      <c r="E124" s="308">
        <v>66.989999999999995</v>
      </c>
      <c r="F124" s="308">
        <v>66.989999999999995</v>
      </c>
      <c r="G124" s="308">
        <v>66.989999999999995</v>
      </c>
      <c r="H124" s="310"/>
    </row>
    <row r="125" spans="2:8" s="240" customFormat="1" ht="15" customHeight="1" x14ac:dyDescent="0.25">
      <c r="B125" s="248" t="s">
        <v>1580</v>
      </c>
      <c r="C125" s="309" t="s">
        <v>1581</v>
      </c>
      <c r="D125" s="269" t="s">
        <v>180</v>
      </c>
      <c r="E125" s="308">
        <v>44.99</v>
      </c>
      <c r="F125" s="308">
        <v>44.99</v>
      </c>
      <c r="G125" s="308">
        <v>44.99</v>
      </c>
      <c r="H125" s="310"/>
    </row>
    <row r="126" spans="2:8" s="240" customFormat="1" ht="15" customHeight="1" x14ac:dyDescent="0.25">
      <c r="B126" s="266" t="s">
        <v>1823</v>
      </c>
      <c r="C126" s="258" t="s">
        <v>1824</v>
      </c>
      <c r="D126" s="269" t="s">
        <v>1825</v>
      </c>
      <c r="E126" s="308">
        <v>199.99</v>
      </c>
      <c r="F126" s="308">
        <v>199.99</v>
      </c>
      <c r="G126" s="308">
        <v>199.99</v>
      </c>
      <c r="H126" s="310"/>
    </row>
    <row r="127" spans="2:8" s="240" customFormat="1" ht="15" customHeight="1" x14ac:dyDescent="0.25">
      <c r="B127" s="95"/>
      <c r="C127" s="304"/>
      <c r="D127" s="305"/>
      <c r="E127" s="294"/>
      <c r="F127" s="294"/>
      <c r="G127" s="294"/>
      <c r="H127" s="306"/>
    </row>
    <row r="128" spans="2:8" s="240" customFormat="1" ht="15" customHeight="1" x14ac:dyDescent="0.25">
      <c r="B128" s="312" t="s">
        <v>1122</v>
      </c>
      <c r="C128" s="313"/>
      <c r="D128" s="21"/>
      <c r="E128" s="21"/>
      <c r="F128" s="21"/>
      <c r="G128" s="21"/>
      <c r="H128" s="306"/>
    </row>
    <row r="129" spans="2:8" s="240" customFormat="1" ht="15" customHeight="1" x14ac:dyDescent="0.25">
      <c r="B129" s="243" t="s">
        <v>1123</v>
      </c>
      <c r="C129" s="244" t="s">
        <v>1124</v>
      </c>
      <c r="D129" s="269" t="s">
        <v>1125</v>
      </c>
      <c r="E129" s="295">
        <v>134.99</v>
      </c>
      <c r="F129" s="295">
        <v>134.99</v>
      </c>
      <c r="G129" s="295">
        <v>134.99</v>
      </c>
      <c r="H129" s="306"/>
    </row>
    <row r="130" spans="2:8" s="240" customFormat="1" ht="15" customHeight="1" x14ac:dyDescent="0.25">
      <c r="B130" s="243" t="s">
        <v>1126</v>
      </c>
      <c r="C130" s="244" t="s">
        <v>1127</v>
      </c>
      <c r="D130" s="269" t="s">
        <v>1128</v>
      </c>
      <c r="E130" s="295">
        <v>175.99</v>
      </c>
      <c r="F130" s="295">
        <v>175.99</v>
      </c>
      <c r="G130" s="295">
        <v>175.99</v>
      </c>
      <c r="H130" s="306"/>
    </row>
    <row r="131" spans="2:8" s="240" customFormat="1" ht="15" customHeight="1" x14ac:dyDescent="0.25">
      <c r="B131" s="243" t="s">
        <v>1129</v>
      </c>
      <c r="C131" s="247" t="s">
        <v>1130</v>
      </c>
      <c r="D131" s="269" t="s">
        <v>180</v>
      </c>
      <c r="E131" s="295">
        <v>124.99</v>
      </c>
      <c r="F131" s="295">
        <v>124.99</v>
      </c>
      <c r="G131" s="295">
        <v>124.99</v>
      </c>
      <c r="H131" s="306"/>
    </row>
    <row r="132" spans="2:8" s="240" customFormat="1" ht="15" customHeight="1" x14ac:dyDescent="0.25">
      <c r="B132" s="243" t="s">
        <v>1131</v>
      </c>
      <c r="C132" s="247" t="s">
        <v>1132</v>
      </c>
      <c r="D132" s="269" t="s">
        <v>1133</v>
      </c>
      <c r="E132" s="295">
        <v>80.989999999999995</v>
      </c>
      <c r="F132" s="295">
        <v>80.989999999999995</v>
      </c>
      <c r="G132" s="295">
        <v>80.989999999999995</v>
      </c>
      <c r="H132" s="306"/>
    </row>
    <row r="133" spans="2:8" s="240" customFormat="1" ht="15" customHeight="1" x14ac:dyDescent="0.25">
      <c r="B133" s="243" t="s">
        <v>1134</v>
      </c>
      <c r="C133" s="247" t="s">
        <v>1135</v>
      </c>
      <c r="D133" s="269" t="s">
        <v>1136</v>
      </c>
      <c r="E133" s="295">
        <v>19.989999999999998</v>
      </c>
      <c r="F133" s="295">
        <v>19.989999999999998</v>
      </c>
      <c r="G133" s="295">
        <v>19.989999999999998</v>
      </c>
      <c r="H133" s="306"/>
    </row>
    <row r="134" spans="2:8" s="240" customFormat="1" ht="15" customHeight="1" x14ac:dyDescent="0.25">
      <c r="B134" s="243" t="s">
        <v>1137</v>
      </c>
      <c r="C134" s="247" t="s">
        <v>1138</v>
      </c>
      <c r="D134" s="269" t="s">
        <v>180</v>
      </c>
      <c r="E134" s="295">
        <v>12.99</v>
      </c>
      <c r="F134" s="295">
        <v>12.99</v>
      </c>
      <c r="G134" s="295">
        <v>12.99</v>
      </c>
      <c r="H134" s="306"/>
    </row>
    <row r="135" spans="2:8" s="240" customFormat="1" ht="15" customHeight="1" x14ac:dyDescent="0.25">
      <c r="B135" s="243" t="s">
        <v>1139</v>
      </c>
      <c r="C135" s="247" t="s">
        <v>1140</v>
      </c>
      <c r="D135" s="269" t="s">
        <v>180</v>
      </c>
      <c r="E135" s="295">
        <v>23.99</v>
      </c>
      <c r="F135" s="295">
        <v>23.99</v>
      </c>
      <c r="G135" s="295">
        <v>23.99</v>
      </c>
      <c r="H135" s="306"/>
    </row>
    <row r="136" spans="2:8" s="240" customFormat="1" ht="15" customHeight="1" x14ac:dyDescent="0.25">
      <c r="B136" s="243" t="s">
        <v>1141</v>
      </c>
      <c r="C136" s="247" t="s">
        <v>1142</v>
      </c>
      <c r="D136" s="269" t="s">
        <v>180</v>
      </c>
      <c r="E136" s="295">
        <v>165.99</v>
      </c>
      <c r="F136" s="295">
        <v>165.99</v>
      </c>
      <c r="G136" s="295">
        <v>165.99</v>
      </c>
      <c r="H136" s="306"/>
    </row>
    <row r="137" spans="2:8" s="240" customFormat="1" ht="15" customHeight="1" x14ac:dyDescent="0.25">
      <c r="B137" s="243" t="s">
        <v>1143</v>
      </c>
      <c r="C137" s="247" t="s">
        <v>1144</v>
      </c>
      <c r="D137" s="269" t="s">
        <v>180</v>
      </c>
      <c r="E137" s="295">
        <v>62.99</v>
      </c>
      <c r="F137" s="295">
        <v>62.99</v>
      </c>
      <c r="G137" s="295">
        <v>62.99</v>
      </c>
      <c r="H137" s="306"/>
    </row>
    <row r="138" spans="2:8" s="240" customFormat="1" ht="15" customHeight="1" x14ac:dyDescent="0.25">
      <c r="B138" s="243" t="s">
        <v>1149</v>
      </c>
      <c r="C138" s="247" t="s">
        <v>1150</v>
      </c>
      <c r="D138" s="269" t="s">
        <v>180</v>
      </c>
      <c r="E138" s="295">
        <v>134.99</v>
      </c>
      <c r="F138" s="295">
        <v>134.99</v>
      </c>
      <c r="G138" s="295">
        <v>134.99</v>
      </c>
      <c r="H138" s="306"/>
    </row>
    <row r="139" spans="2:8" s="240" customFormat="1" ht="15" customHeight="1" x14ac:dyDescent="0.25">
      <c r="B139" s="243" t="s">
        <v>1151</v>
      </c>
      <c r="C139" s="247" t="s">
        <v>1152</v>
      </c>
      <c r="D139" s="269" t="s">
        <v>1153</v>
      </c>
      <c r="E139" s="295">
        <v>80.989999999999995</v>
      </c>
      <c r="F139" s="295">
        <v>80.989999999999995</v>
      </c>
      <c r="G139" s="295">
        <v>80.989999999999995</v>
      </c>
      <c r="H139" s="306"/>
    </row>
    <row r="140" spans="2:8" s="240" customFormat="1" ht="15" customHeight="1" x14ac:dyDescent="0.25">
      <c r="B140" s="243" t="s">
        <v>1154</v>
      </c>
      <c r="C140" s="247" t="s">
        <v>1155</v>
      </c>
      <c r="D140" s="269" t="s">
        <v>1156</v>
      </c>
      <c r="E140" s="295">
        <v>80.989999999999995</v>
      </c>
      <c r="F140" s="295">
        <v>80.989999999999995</v>
      </c>
      <c r="G140" s="295">
        <v>80.989999999999995</v>
      </c>
      <c r="H140" s="306"/>
    </row>
    <row r="141" spans="2:8" s="240" customFormat="1" ht="15" customHeight="1" x14ac:dyDescent="0.25">
      <c r="B141" s="243" t="s">
        <v>1157</v>
      </c>
      <c r="C141" s="247" t="s">
        <v>1158</v>
      </c>
      <c r="D141" s="269" t="s">
        <v>180</v>
      </c>
      <c r="E141" s="295">
        <v>152.99</v>
      </c>
      <c r="F141" s="295">
        <v>152.99</v>
      </c>
      <c r="G141" s="295">
        <v>152.99</v>
      </c>
      <c r="H141" s="306"/>
    </row>
    <row r="142" spans="2:8" s="240" customFormat="1" ht="15" customHeight="1" x14ac:dyDescent="0.25">
      <c r="B142" s="243" t="s">
        <v>1159</v>
      </c>
      <c r="C142" s="247" t="s">
        <v>1160</v>
      </c>
      <c r="D142" s="269" t="s">
        <v>180</v>
      </c>
      <c r="E142" s="295">
        <v>121.99</v>
      </c>
      <c r="F142" s="295">
        <v>121.99</v>
      </c>
      <c r="G142" s="295">
        <v>121.99</v>
      </c>
      <c r="H142" s="306"/>
    </row>
    <row r="143" spans="2:8" s="240" customFormat="1" ht="15" customHeight="1" x14ac:dyDescent="0.25">
      <c r="B143" s="243" t="s">
        <v>1161</v>
      </c>
      <c r="C143" s="247" t="s">
        <v>1162</v>
      </c>
      <c r="D143" s="269" t="s">
        <v>180</v>
      </c>
      <c r="E143" s="295">
        <v>116.99</v>
      </c>
      <c r="F143" s="295">
        <v>116.99</v>
      </c>
      <c r="G143" s="295">
        <v>116.99</v>
      </c>
      <c r="H143" s="306"/>
    </row>
    <row r="144" spans="2:8" s="240" customFormat="1" ht="15" customHeight="1" x14ac:dyDescent="0.25">
      <c r="B144" s="259" t="s">
        <v>1163</v>
      </c>
      <c r="C144" s="247" t="s">
        <v>1164</v>
      </c>
      <c r="D144" s="269" t="s">
        <v>180</v>
      </c>
      <c r="E144" s="295">
        <v>337.99</v>
      </c>
      <c r="F144" s="295">
        <v>337.99</v>
      </c>
      <c r="G144" s="295">
        <v>337.99</v>
      </c>
      <c r="H144" s="306"/>
    </row>
    <row r="145" spans="2:8" s="240" customFormat="1" ht="15" customHeight="1" x14ac:dyDescent="0.25">
      <c r="B145" s="259" t="s">
        <v>1165</v>
      </c>
      <c r="C145" s="247" t="s">
        <v>1166</v>
      </c>
      <c r="D145" s="269" t="s">
        <v>180</v>
      </c>
      <c r="E145" s="295">
        <v>201.99</v>
      </c>
      <c r="F145" s="295">
        <v>201.99</v>
      </c>
      <c r="G145" s="295">
        <v>201.99</v>
      </c>
      <c r="H145" s="306"/>
    </row>
    <row r="146" spans="2:8" s="240" customFormat="1" ht="15" customHeight="1" x14ac:dyDescent="0.25">
      <c r="B146" s="95"/>
      <c r="C146" s="304"/>
      <c r="D146" s="305"/>
      <c r="E146" s="294"/>
      <c r="F146" s="294"/>
      <c r="G146" s="296"/>
      <c r="H146" s="306"/>
    </row>
    <row r="147" spans="2:8" s="240" customFormat="1" ht="15" customHeight="1" x14ac:dyDescent="0.25">
      <c r="B147" s="312" t="s">
        <v>1167</v>
      </c>
      <c r="C147" s="313"/>
      <c r="D147" s="21"/>
      <c r="E147" s="21"/>
      <c r="F147" s="21"/>
      <c r="G147" s="239"/>
      <c r="H147" s="306"/>
    </row>
    <row r="148" spans="2:8" s="240" customFormat="1" ht="15" customHeight="1" x14ac:dyDescent="0.25">
      <c r="B148" s="256" t="s">
        <v>1168</v>
      </c>
      <c r="C148" s="242" t="s">
        <v>1169</v>
      </c>
      <c r="D148" s="277" t="s">
        <v>1170</v>
      </c>
      <c r="E148" s="295">
        <v>36.99</v>
      </c>
      <c r="F148" s="295">
        <v>36.99</v>
      </c>
      <c r="G148" s="295">
        <v>36.99</v>
      </c>
      <c r="H148" s="306"/>
    </row>
    <row r="149" spans="2:8" s="240" customFormat="1" ht="15" customHeight="1" x14ac:dyDescent="0.25">
      <c r="B149" s="248" t="s">
        <v>1174</v>
      </c>
      <c r="C149" s="258" t="s">
        <v>1175</v>
      </c>
      <c r="D149" s="269" t="s">
        <v>1176</v>
      </c>
      <c r="E149" s="295">
        <v>40.99</v>
      </c>
      <c r="F149" s="295">
        <v>40.99</v>
      </c>
      <c r="G149" s="295">
        <v>40.99</v>
      </c>
      <c r="H149" s="306"/>
    </row>
    <row r="150" spans="2:8" s="240" customFormat="1" ht="15" customHeight="1" x14ac:dyDescent="0.25">
      <c r="B150" s="252" t="s">
        <v>1177</v>
      </c>
      <c r="C150" s="258" t="s">
        <v>1178</v>
      </c>
      <c r="D150" s="269" t="s">
        <v>1179</v>
      </c>
      <c r="E150" s="295">
        <v>63.99</v>
      </c>
      <c r="F150" s="295">
        <v>63.99</v>
      </c>
      <c r="G150" s="295">
        <v>63.99</v>
      </c>
      <c r="H150" s="306"/>
    </row>
    <row r="151" spans="2:8" s="240" customFormat="1" ht="15" customHeight="1" x14ac:dyDescent="0.25">
      <c r="B151" s="252" t="s">
        <v>1180</v>
      </c>
      <c r="C151" s="258" t="s">
        <v>1181</v>
      </c>
      <c r="D151" s="278" t="s">
        <v>1182</v>
      </c>
      <c r="E151" s="295">
        <v>104.99</v>
      </c>
      <c r="F151" s="295">
        <v>104.99</v>
      </c>
      <c r="G151" s="295">
        <v>104.99</v>
      </c>
      <c r="H151" s="306"/>
    </row>
    <row r="152" spans="2:8" s="240" customFormat="1" ht="15" customHeight="1" x14ac:dyDescent="0.25">
      <c r="B152" s="248" t="s">
        <v>1186</v>
      </c>
      <c r="C152" s="258" t="s">
        <v>1187</v>
      </c>
      <c r="D152" s="269" t="s">
        <v>1188</v>
      </c>
      <c r="E152" s="295">
        <v>40.99</v>
      </c>
      <c r="F152" s="295">
        <v>40.99</v>
      </c>
      <c r="G152" s="295">
        <v>40.99</v>
      </c>
      <c r="H152" s="306"/>
    </row>
    <row r="153" spans="2:8" s="240" customFormat="1" ht="15" customHeight="1" x14ac:dyDescent="0.25">
      <c r="B153" s="243" t="s">
        <v>1189</v>
      </c>
      <c r="C153" s="258" t="s">
        <v>1190</v>
      </c>
      <c r="D153" s="273" t="s">
        <v>1191</v>
      </c>
      <c r="E153" s="295">
        <v>33.99</v>
      </c>
      <c r="F153" s="295">
        <v>33.99</v>
      </c>
      <c r="G153" s="295">
        <v>33.99</v>
      </c>
      <c r="H153" s="306"/>
    </row>
    <row r="154" spans="2:8" s="240" customFormat="1" ht="15" customHeight="1" x14ac:dyDescent="0.25">
      <c r="B154" s="243" t="s">
        <v>1192</v>
      </c>
      <c r="C154" s="258" t="s">
        <v>1193</v>
      </c>
      <c r="D154" s="269" t="s">
        <v>1194</v>
      </c>
      <c r="E154" s="295">
        <v>33.99</v>
      </c>
      <c r="F154" s="295">
        <v>33.99</v>
      </c>
      <c r="G154" s="295">
        <v>33.99</v>
      </c>
      <c r="H154" s="306"/>
    </row>
    <row r="155" spans="2:8" s="240" customFormat="1" ht="15" customHeight="1" x14ac:dyDescent="0.25">
      <c r="B155" s="243" t="s">
        <v>1195</v>
      </c>
      <c r="C155" s="258" t="s">
        <v>1196</v>
      </c>
      <c r="D155" s="269" t="s">
        <v>1197</v>
      </c>
      <c r="E155" s="295">
        <v>40.99</v>
      </c>
      <c r="F155" s="295">
        <v>40.99</v>
      </c>
      <c r="G155" s="295">
        <v>40.99</v>
      </c>
      <c r="H155" s="306"/>
    </row>
    <row r="156" spans="2:8" s="240" customFormat="1" ht="15" customHeight="1" x14ac:dyDescent="0.25">
      <c r="B156" s="246" t="s">
        <v>1198</v>
      </c>
      <c r="C156" s="247" t="s">
        <v>1199</v>
      </c>
      <c r="D156" s="269" t="s">
        <v>180</v>
      </c>
      <c r="E156" s="295">
        <v>12.99</v>
      </c>
      <c r="F156" s="295">
        <v>12.99</v>
      </c>
      <c r="G156" s="295">
        <v>12.99</v>
      </c>
      <c r="H156" s="306"/>
    </row>
    <row r="157" spans="2:8" s="240" customFormat="1" ht="15" customHeight="1" x14ac:dyDescent="0.25">
      <c r="B157" s="246" t="s">
        <v>1200</v>
      </c>
      <c r="C157" s="247" t="s">
        <v>1201</v>
      </c>
      <c r="D157" s="269" t="s">
        <v>1202</v>
      </c>
      <c r="E157" s="295">
        <v>40.99</v>
      </c>
      <c r="F157" s="295">
        <v>40.99</v>
      </c>
      <c r="G157" s="295">
        <v>40.99</v>
      </c>
      <c r="H157" s="306"/>
    </row>
    <row r="158" spans="2:8" s="240" customFormat="1" ht="15" customHeight="1" x14ac:dyDescent="0.25">
      <c r="B158" s="246" t="s">
        <v>1203</v>
      </c>
      <c r="C158" s="247" t="s">
        <v>1204</v>
      </c>
      <c r="D158" s="269" t="s">
        <v>1205</v>
      </c>
      <c r="E158" s="295">
        <v>46.99</v>
      </c>
      <c r="F158" s="295">
        <v>46.99</v>
      </c>
      <c r="G158" s="295">
        <v>46.99</v>
      </c>
      <c r="H158" s="306"/>
    </row>
    <row r="159" spans="2:8" s="240" customFormat="1" ht="15" customHeight="1" x14ac:dyDescent="0.25">
      <c r="B159" s="246" t="s">
        <v>1206</v>
      </c>
      <c r="C159" s="247" t="s">
        <v>1207</v>
      </c>
      <c r="D159" s="269" t="s">
        <v>1208</v>
      </c>
      <c r="E159" s="295">
        <v>66.989999999999995</v>
      </c>
      <c r="F159" s="295">
        <v>66.989999999999995</v>
      </c>
      <c r="G159" s="295">
        <v>66.989999999999995</v>
      </c>
      <c r="H159" s="306"/>
    </row>
    <row r="160" spans="2:8" s="240" customFormat="1" ht="15" customHeight="1" x14ac:dyDescent="0.25">
      <c r="B160" s="96" t="s">
        <v>1209</v>
      </c>
      <c r="C160" s="93" t="s">
        <v>1210</v>
      </c>
      <c r="D160" s="279" t="s">
        <v>1211</v>
      </c>
      <c r="E160" s="295">
        <v>19.989999999999998</v>
      </c>
      <c r="F160" s="295">
        <v>19.989999999999998</v>
      </c>
      <c r="G160" s="295">
        <v>19.989999999999998</v>
      </c>
      <c r="H160" s="306"/>
    </row>
    <row r="161" spans="2:9" s="240" customFormat="1" ht="15" customHeight="1" x14ac:dyDescent="0.25">
      <c r="B161" s="246" t="s">
        <v>1212</v>
      </c>
      <c r="C161" s="247" t="s">
        <v>1213</v>
      </c>
      <c r="D161" s="269" t="s">
        <v>1214</v>
      </c>
      <c r="E161" s="295">
        <v>71.989999999999995</v>
      </c>
      <c r="F161" s="295">
        <v>71.989999999999995</v>
      </c>
      <c r="G161" s="295">
        <v>71.989999999999995</v>
      </c>
      <c r="H161" s="306"/>
    </row>
    <row r="162" spans="2:9" s="240" customFormat="1" ht="15" customHeight="1" x14ac:dyDescent="0.25">
      <c r="B162" s="246" t="s">
        <v>1215</v>
      </c>
      <c r="C162" s="247" t="s">
        <v>1216</v>
      </c>
      <c r="D162" s="269" t="s">
        <v>1217</v>
      </c>
      <c r="E162" s="295">
        <v>131.99</v>
      </c>
      <c r="F162" s="295">
        <v>131.99</v>
      </c>
      <c r="G162" s="295">
        <v>131.99</v>
      </c>
      <c r="H162" s="306"/>
    </row>
    <row r="163" spans="2:9" s="240" customFormat="1" ht="15" customHeight="1" x14ac:dyDescent="0.25">
      <c r="B163" s="246" t="s">
        <v>1218</v>
      </c>
      <c r="C163" s="247" t="s">
        <v>1219</v>
      </c>
      <c r="D163" s="269" t="s">
        <v>1220</v>
      </c>
      <c r="E163" s="295">
        <v>24.99</v>
      </c>
      <c r="F163" s="295">
        <v>24.99</v>
      </c>
      <c r="G163" s="295">
        <v>24.99</v>
      </c>
      <c r="H163" s="306"/>
    </row>
    <row r="164" spans="2:9" s="240" customFormat="1" ht="15" customHeight="1" x14ac:dyDescent="0.25">
      <c r="B164" s="246" t="s">
        <v>1221</v>
      </c>
      <c r="C164" s="247" t="s">
        <v>1222</v>
      </c>
      <c r="D164" s="269" t="s">
        <v>1223</v>
      </c>
      <c r="E164" s="295">
        <v>12.99</v>
      </c>
      <c r="F164" s="295">
        <v>12.99</v>
      </c>
      <c r="G164" s="295">
        <v>12.99</v>
      </c>
      <c r="H164" s="306"/>
    </row>
    <row r="165" spans="2:9" s="240" customFormat="1" ht="15" customHeight="1" x14ac:dyDescent="0.25">
      <c r="B165" s="246" t="s">
        <v>1224</v>
      </c>
      <c r="C165" s="247" t="s">
        <v>1225</v>
      </c>
      <c r="D165" s="269" t="s">
        <v>1226</v>
      </c>
      <c r="E165" s="295">
        <v>12.99</v>
      </c>
      <c r="F165" s="295">
        <v>12.99</v>
      </c>
      <c r="G165" s="295">
        <v>12.99</v>
      </c>
      <c r="H165" s="306"/>
    </row>
    <row r="166" spans="2:9" s="240" customFormat="1" ht="15" customHeight="1" x14ac:dyDescent="0.25">
      <c r="B166" s="248" t="s">
        <v>1227</v>
      </c>
      <c r="C166" s="244" t="s">
        <v>1228</v>
      </c>
      <c r="D166" s="269" t="s">
        <v>180</v>
      </c>
      <c r="E166" s="295">
        <v>5.99</v>
      </c>
      <c r="F166" s="295">
        <v>5.99</v>
      </c>
      <c r="G166" s="295">
        <v>5.99</v>
      </c>
      <c r="H166" s="306"/>
    </row>
    <row r="167" spans="2:9" s="240" customFormat="1" ht="15" customHeight="1" x14ac:dyDescent="0.25">
      <c r="B167" s="246" t="s">
        <v>1229</v>
      </c>
      <c r="C167" s="247" t="s">
        <v>1230</v>
      </c>
      <c r="D167" s="269" t="s">
        <v>1231</v>
      </c>
      <c r="E167" s="295">
        <v>53.99</v>
      </c>
      <c r="F167" s="295">
        <v>53.99</v>
      </c>
      <c r="G167" s="295">
        <v>53.99</v>
      </c>
      <c r="H167" s="306"/>
    </row>
    <row r="168" spans="2:9" s="240" customFormat="1" ht="15" customHeight="1" x14ac:dyDescent="0.25">
      <c r="B168" s="243" t="s">
        <v>1232</v>
      </c>
      <c r="C168" s="258" t="s">
        <v>1233</v>
      </c>
      <c r="D168" s="269" t="s">
        <v>1234</v>
      </c>
      <c r="E168" s="295">
        <v>27.99</v>
      </c>
      <c r="F168" s="295">
        <v>27.99</v>
      </c>
      <c r="G168" s="295">
        <v>27.99</v>
      </c>
      <c r="H168" s="306"/>
    </row>
    <row r="169" spans="2:9" s="240" customFormat="1" ht="15" customHeight="1" x14ac:dyDescent="0.25">
      <c r="B169" s="246" t="s">
        <v>1235</v>
      </c>
      <c r="C169" s="247" t="s">
        <v>1236</v>
      </c>
      <c r="D169" s="269" t="s">
        <v>1237</v>
      </c>
      <c r="E169" s="295">
        <v>40.99</v>
      </c>
      <c r="F169" s="295">
        <v>40.99</v>
      </c>
      <c r="G169" s="295">
        <v>40.99</v>
      </c>
      <c r="H169" s="306"/>
    </row>
    <row r="170" spans="2:9" s="240" customFormat="1" ht="15" customHeight="1" x14ac:dyDescent="0.25">
      <c r="B170" s="246" t="s">
        <v>1238</v>
      </c>
      <c r="C170" s="247" t="s">
        <v>1239</v>
      </c>
      <c r="D170" s="269" t="s">
        <v>180</v>
      </c>
      <c r="E170" s="295">
        <v>44.99</v>
      </c>
      <c r="F170" s="295">
        <v>44.99</v>
      </c>
      <c r="G170" s="295">
        <v>44.99</v>
      </c>
      <c r="H170" s="306"/>
    </row>
    <row r="171" spans="2:9" s="240" customFormat="1" ht="15" customHeight="1" x14ac:dyDescent="0.25">
      <c r="B171" s="246" t="s">
        <v>1240</v>
      </c>
      <c r="C171" s="244" t="s">
        <v>1241</v>
      </c>
      <c r="D171" s="269" t="s">
        <v>1242</v>
      </c>
      <c r="E171" s="295">
        <v>27.99</v>
      </c>
      <c r="F171" s="295">
        <v>27.99</v>
      </c>
      <c r="G171" s="295">
        <v>27.99</v>
      </c>
      <c r="H171" s="306"/>
      <c r="I171" s="307"/>
    </row>
    <row r="172" spans="2:9" s="240" customFormat="1" ht="15" customHeight="1" x14ac:dyDescent="0.25">
      <c r="B172" s="246" t="s">
        <v>1243</v>
      </c>
      <c r="C172" s="244" t="s">
        <v>1244</v>
      </c>
      <c r="D172" s="269" t="s">
        <v>1245</v>
      </c>
      <c r="E172" s="295">
        <v>19.989999999999998</v>
      </c>
      <c r="F172" s="295">
        <v>19.989999999999998</v>
      </c>
      <c r="G172" s="295">
        <v>19.989999999999998</v>
      </c>
      <c r="H172" s="306"/>
    </row>
    <row r="173" spans="2:9" s="240" customFormat="1" ht="15" customHeight="1" x14ac:dyDescent="0.25">
      <c r="B173" s="246" t="s">
        <v>1246</v>
      </c>
      <c r="C173" s="244" t="s">
        <v>1247</v>
      </c>
      <c r="D173" s="269" t="s">
        <v>180</v>
      </c>
      <c r="E173" s="295">
        <v>30.99</v>
      </c>
      <c r="F173" s="295">
        <v>30.99</v>
      </c>
      <c r="G173" s="295">
        <v>30.99</v>
      </c>
      <c r="H173" s="306"/>
    </row>
    <row r="174" spans="2:9" s="240" customFormat="1" ht="15" customHeight="1" x14ac:dyDescent="0.25">
      <c r="B174" s="246" t="s">
        <v>1248</v>
      </c>
      <c r="C174" s="244" t="s">
        <v>1249</v>
      </c>
      <c r="D174" s="269" t="s">
        <v>1250</v>
      </c>
      <c r="E174" s="295">
        <v>49.99</v>
      </c>
      <c r="F174" s="295">
        <v>49.99</v>
      </c>
      <c r="G174" s="295">
        <v>49.99</v>
      </c>
      <c r="H174" s="306"/>
    </row>
    <row r="175" spans="2:9" s="240" customFormat="1" ht="15" customHeight="1" x14ac:dyDescent="0.25">
      <c r="B175" s="246" t="s">
        <v>1251</v>
      </c>
      <c r="C175" s="244" t="s">
        <v>1252</v>
      </c>
      <c r="D175" s="269" t="s">
        <v>1253</v>
      </c>
      <c r="E175" s="295">
        <v>34.99</v>
      </c>
      <c r="F175" s="295">
        <v>34.99</v>
      </c>
      <c r="G175" s="295">
        <v>34.99</v>
      </c>
      <c r="H175" s="306"/>
    </row>
    <row r="176" spans="2:9" s="240" customFormat="1" ht="15" customHeight="1" x14ac:dyDescent="0.25">
      <c r="B176" s="261" t="s">
        <v>1254</v>
      </c>
      <c r="C176" s="247" t="s">
        <v>1255</v>
      </c>
      <c r="D176" s="273" t="s">
        <v>1256</v>
      </c>
      <c r="E176" s="295">
        <v>12.99</v>
      </c>
      <c r="F176" s="295">
        <v>12.99</v>
      </c>
      <c r="G176" s="295">
        <v>12.99</v>
      </c>
      <c r="H176" s="306"/>
    </row>
    <row r="177" spans="2:8" s="240" customFormat="1" ht="15" customHeight="1" x14ac:dyDescent="0.25">
      <c r="B177" s="248" t="s">
        <v>1257</v>
      </c>
      <c r="C177" s="255" t="s">
        <v>1258</v>
      </c>
      <c r="D177" s="269" t="s">
        <v>1259</v>
      </c>
      <c r="E177" s="295">
        <v>40.99</v>
      </c>
      <c r="F177" s="295">
        <v>40.99</v>
      </c>
      <c r="G177" s="295">
        <v>40.99</v>
      </c>
      <c r="H177" s="306"/>
    </row>
    <row r="178" spans="2:8" s="240" customFormat="1" ht="15" customHeight="1" x14ac:dyDescent="0.25">
      <c r="B178" s="248" t="s">
        <v>1260</v>
      </c>
      <c r="C178" s="255" t="s">
        <v>1261</v>
      </c>
      <c r="D178" s="269" t="s">
        <v>1262</v>
      </c>
      <c r="E178" s="295">
        <v>53.99</v>
      </c>
      <c r="F178" s="295">
        <v>53.99</v>
      </c>
      <c r="G178" s="295">
        <v>53.99</v>
      </c>
      <c r="H178" s="306"/>
    </row>
    <row r="179" spans="2:8" s="240" customFormat="1" ht="15" customHeight="1" x14ac:dyDescent="0.25">
      <c r="B179" s="248" t="s">
        <v>1263</v>
      </c>
      <c r="C179" s="255" t="s">
        <v>1264</v>
      </c>
      <c r="D179" s="269" t="s">
        <v>1265</v>
      </c>
      <c r="E179" s="295">
        <v>251.99</v>
      </c>
      <c r="F179" s="295">
        <v>251.99</v>
      </c>
      <c r="G179" s="295">
        <v>251.99</v>
      </c>
      <c r="H179" s="306"/>
    </row>
    <row r="180" spans="2:8" s="240" customFormat="1" ht="15" customHeight="1" x14ac:dyDescent="0.25">
      <c r="B180" s="248" t="s">
        <v>1266</v>
      </c>
      <c r="C180" s="255" t="s">
        <v>1267</v>
      </c>
      <c r="D180" s="269" t="s">
        <v>1268</v>
      </c>
      <c r="E180" s="295">
        <v>68.989999999999995</v>
      </c>
      <c r="F180" s="295">
        <v>68.989999999999995</v>
      </c>
      <c r="G180" s="295">
        <v>68.989999999999995</v>
      </c>
      <c r="H180" s="306"/>
    </row>
    <row r="181" spans="2:8" s="240" customFormat="1" ht="15" customHeight="1" x14ac:dyDescent="0.25">
      <c r="B181" s="252" t="s">
        <v>1269</v>
      </c>
      <c r="C181" s="262" t="s">
        <v>1270</v>
      </c>
      <c r="D181" s="278" t="s">
        <v>1271</v>
      </c>
      <c r="E181" s="295">
        <v>33.99</v>
      </c>
      <c r="F181" s="295">
        <v>33.99</v>
      </c>
      <c r="G181" s="295">
        <v>33.99</v>
      </c>
      <c r="H181" s="306"/>
    </row>
    <row r="182" spans="2:8" s="240" customFormat="1" ht="15" customHeight="1" x14ac:dyDescent="0.25">
      <c r="B182" s="252" t="s">
        <v>1272</v>
      </c>
      <c r="C182" s="262" t="s">
        <v>1273</v>
      </c>
      <c r="D182" s="278" t="s">
        <v>1274</v>
      </c>
      <c r="E182" s="295">
        <v>72.989999999999995</v>
      </c>
      <c r="F182" s="295">
        <v>72.989999999999995</v>
      </c>
      <c r="G182" s="295">
        <v>72.989999999999995</v>
      </c>
      <c r="H182" s="306"/>
    </row>
    <row r="183" spans="2:8" s="240" customFormat="1" ht="15" customHeight="1" x14ac:dyDescent="0.25">
      <c r="B183" s="252" t="s">
        <v>1275</v>
      </c>
      <c r="C183" s="262" t="s">
        <v>1276</v>
      </c>
      <c r="D183" s="278" t="s">
        <v>1277</v>
      </c>
      <c r="E183" s="295">
        <v>95.99</v>
      </c>
      <c r="F183" s="295">
        <v>95.99</v>
      </c>
      <c r="G183" s="295">
        <v>95.99</v>
      </c>
      <c r="H183" s="306"/>
    </row>
    <row r="184" spans="2:8" s="240" customFormat="1" ht="15" customHeight="1" x14ac:dyDescent="0.25">
      <c r="B184" s="252" t="s">
        <v>1278</v>
      </c>
      <c r="C184" s="262" t="s">
        <v>1279</v>
      </c>
      <c r="D184" s="278" t="s">
        <v>1280</v>
      </c>
      <c r="E184" s="295">
        <v>56.99</v>
      </c>
      <c r="F184" s="295">
        <v>56.99</v>
      </c>
      <c r="G184" s="295">
        <v>56.99</v>
      </c>
      <c r="H184" s="306"/>
    </row>
    <row r="185" spans="2:8" s="240" customFormat="1" ht="15" customHeight="1" x14ac:dyDescent="0.25">
      <c r="B185" s="243" t="s">
        <v>1281</v>
      </c>
      <c r="C185" s="247" t="s">
        <v>1282</v>
      </c>
      <c r="D185" s="269" t="s">
        <v>1283</v>
      </c>
      <c r="E185" s="295">
        <v>53.99</v>
      </c>
      <c r="F185" s="295">
        <v>53.99</v>
      </c>
      <c r="G185" s="295">
        <v>53.99</v>
      </c>
      <c r="H185" s="306"/>
    </row>
    <row r="186" spans="2:8" s="240" customFormat="1" ht="15" customHeight="1" x14ac:dyDescent="0.25">
      <c r="B186" s="243" t="s">
        <v>1284</v>
      </c>
      <c r="C186" s="247" t="s">
        <v>1285</v>
      </c>
      <c r="D186" s="269" t="s">
        <v>180</v>
      </c>
      <c r="E186" s="295">
        <v>40.99</v>
      </c>
      <c r="F186" s="295">
        <v>40.99</v>
      </c>
      <c r="G186" s="295">
        <v>40.99</v>
      </c>
      <c r="H186" s="306"/>
    </row>
    <row r="187" spans="2:8" s="240" customFormat="1" ht="15" customHeight="1" x14ac:dyDescent="0.25">
      <c r="B187" s="243" t="s">
        <v>1286</v>
      </c>
      <c r="C187" s="247" t="s">
        <v>1287</v>
      </c>
      <c r="D187" s="269" t="s">
        <v>1288</v>
      </c>
      <c r="E187" s="295">
        <v>249.99</v>
      </c>
      <c r="F187" s="295">
        <v>249.99</v>
      </c>
      <c r="G187" s="295">
        <v>249.99</v>
      </c>
      <c r="H187" s="306"/>
    </row>
    <row r="188" spans="2:8" s="240" customFormat="1" ht="15" customHeight="1" x14ac:dyDescent="0.25">
      <c r="B188" s="243" t="s">
        <v>1289</v>
      </c>
      <c r="C188" s="247" t="s">
        <v>1290</v>
      </c>
      <c r="D188" s="273" t="s">
        <v>1291</v>
      </c>
      <c r="E188" s="295">
        <v>270.99</v>
      </c>
      <c r="F188" s="295">
        <v>270.99</v>
      </c>
      <c r="G188" s="295">
        <v>270.99</v>
      </c>
      <c r="H188" s="306"/>
    </row>
    <row r="189" spans="2:8" s="240" customFormat="1" ht="15" customHeight="1" x14ac:dyDescent="0.25">
      <c r="B189" s="248" t="s">
        <v>1292</v>
      </c>
      <c r="C189" s="244" t="s">
        <v>1293</v>
      </c>
      <c r="D189" s="269" t="s">
        <v>180</v>
      </c>
      <c r="E189" s="295">
        <v>58.99</v>
      </c>
      <c r="F189" s="295">
        <v>58.99</v>
      </c>
      <c r="G189" s="295">
        <v>58.99</v>
      </c>
      <c r="H189" s="306"/>
    </row>
    <row r="190" spans="2:8" s="240" customFormat="1" ht="15" customHeight="1" x14ac:dyDescent="0.25">
      <c r="B190" s="243" t="s">
        <v>1294</v>
      </c>
      <c r="C190" s="247" t="s">
        <v>1295</v>
      </c>
      <c r="D190" s="269" t="s">
        <v>1296</v>
      </c>
      <c r="E190" s="295">
        <v>395.99</v>
      </c>
      <c r="F190" s="295">
        <v>395.99</v>
      </c>
      <c r="G190" s="295">
        <v>395.99</v>
      </c>
      <c r="H190" s="306"/>
    </row>
    <row r="191" spans="2:8" s="240" customFormat="1" ht="15" customHeight="1" x14ac:dyDescent="0.25">
      <c r="B191" s="243" t="s">
        <v>1297</v>
      </c>
      <c r="C191" s="247" t="s">
        <v>1298</v>
      </c>
      <c r="D191" s="269" t="s">
        <v>1299</v>
      </c>
      <c r="E191" s="295">
        <v>128.99</v>
      </c>
      <c r="F191" s="295">
        <v>128.99</v>
      </c>
      <c r="G191" s="295">
        <v>128.99</v>
      </c>
      <c r="H191" s="306"/>
    </row>
    <row r="192" spans="2:8" s="240" customFormat="1" ht="15" customHeight="1" x14ac:dyDescent="0.25">
      <c r="B192" s="243" t="s">
        <v>1300</v>
      </c>
      <c r="C192" s="247" t="s">
        <v>1301</v>
      </c>
      <c r="D192" s="269" t="s">
        <v>1302</v>
      </c>
      <c r="E192" s="295">
        <v>140.99</v>
      </c>
      <c r="F192" s="295">
        <v>140.99</v>
      </c>
      <c r="G192" s="295">
        <v>140.99</v>
      </c>
      <c r="H192" s="306"/>
    </row>
    <row r="193" spans="2:8" s="240" customFormat="1" ht="15" customHeight="1" x14ac:dyDescent="0.25">
      <c r="B193" s="243" t="s">
        <v>1303</v>
      </c>
      <c r="C193" s="244" t="s">
        <v>1304</v>
      </c>
      <c r="D193" s="269" t="s">
        <v>180</v>
      </c>
      <c r="E193" s="295">
        <v>42.99</v>
      </c>
      <c r="F193" s="295">
        <v>42.99</v>
      </c>
      <c r="G193" s="295">
        <v>42.99</v>
      </c>
      <c r="H193" s="306"/>
    </row>
    <row r="194" spans="2:8" s="240" customFormat="1" ht="15" customHeight="1" x14ac:dyDescent="0.25">
      <c r="B194" s="243" t="s">
        <v>1305</v>
      </c>
      <c r="C194" s="247" t="s">
        <v>1306</v>
      </c>
      <c r="D194" s="278" t="s">
        <v>1307</v>
      </c>
      <c r="E194" s="295">
        <v>163.99</v>
      </c>
      <c r="F194" s="295">
        <v>163.99</v>
      </c>
      <c r="G194" s="295">
        <v>163.99</v>
      </c>
      <c r="H194" s="306"/>
    </row>
    <row r="195" spans="2:8" s="240" customFormat="1" ht="15" customHeight="1" x14ac:dyDescent="0.25">
      <c r="B195" s="243" t="s">
        <v>1308</v>
      </c>
      <c r="C195" s="247" t="s">
        <v>1309</v>
      </c>
      <c r="D195" s="278" t="s">
        <v>180</v>
      </c>
      <c r="E195" s="295">
        <v>53.99</v>
      </c>
      <c r="F195" s="295">
        <v>53.99</v>
      </c>
      <c r="G195" s="295">
        <v>53.99</v>
      </c>
      <c r="H195" s="306"/>
    </row>
    <row r="196" spans="2:8" s="240" customFormat="1" ht="15" customHeight="1" x14ac:dyDescent="0.25">
      <c r="B196" s="243" t="s">
        <v>1310</v>
      </c>
      <c r="C196" s="247" t="s">
        <v>1311</v>
      </c>
      <c r="D196" s="278" t="s">
        <v>1312</v>
      </c>
      <c r="E196" s="295">
        <v>47.99</v>
      </c>
      <c r="F196" s="295">
        <v>47.99</v>
      </c>
      <c r="G196" s="295">
        <v>47.99</v>
      </c>
      <c r="H196" s="306"/>
    </row>
    <row r="197" spans="2:8" s="240" customFormat="1" ht="15" customHeight="1" x14ac:dyDescent="0.25">
      <c r="B197" s="243" t="s">
        <v>1313</v>
      </c>
      <c r="C197" s="247" t="s">
        <v>1314</v>
      </c>
      <c r="D197" s="278" t="s">
        <v>180</v>
      </c>
      <c r="E197" s="295">
        <v>56.99</v>
      </c>
      <c r="F197" s="295">
        <v>56.99</v>
      </c>
      <c r="G197" s="295">
        <v>56.99</v>
      </c>
      <c r="H197" s="306"/>
    </row>
    <row r="198" spans="2:8" s="240" customFormat="1" ht="15" customHeight="1" x14ac:dyDescent="0.25">
      <c r="B198" s="243" t="s">
        <v>1315</v>
      </c>
      <c r="C198" s="262" t="s">
        <v>1316</v>
      </c>
      <c r="D198" s="278" t="s">
        <v>1317</v>
      </c>
      <c r="E198" s="295">
        <v>53.99</v>
      </c>
      <c r="F198" s="295">
        <v>53.99</v>
      </c>
      <c r="G198" s="295">
        <v>53.99</v>
      </c>
      <c r="H198" s="306"/>
    </row>
    <row r="199" spans="2:8" s="240" customFormat="1" ht="15" customHeight="1" x14ac:dyDescent="0.25">
      <c r="B199" s="243" t="s">
        <v>1318</v>
      </c>
      <c r="C199" s="258" t="s">
        <v>1319</v>
      </c>
      <c r="D199" s="269" t="s">
        <v>1320</v>
      </c>
      <c r="E199" s="295">
        <v>27.99</v>
      </c>
      <c r="F199" s="295">
        <v>27.99</v>
      </c>
      <c r="G199" s="295">
        <v>27.99</v>
      </c>
      <c r="H199" s="306"/>
    </row>
    <row r="200" spans="2:8" s="240" customFormat="1" ht="15" customHeight="1" x14ac:dyDescent="0.25">
      <c r="B200" s="243" t="s">
        <v>1321</v>
      </c>
      <c r="C200" s="258" t="s">
        <v>1322</v>
      </c>
      <c r="D200" s="269" t="s">
        <v>1323</v>
      </c>
      <c r="E200" s="295">
        <v>53.99</v>
      </c>
      <c r="F200" s="295">
        <v>53.99</v>
      </c>
      <c r="G200" s="295">
        <v>53.99</v>
      </c>
      <c r="H200" s="306"/>
    </row>
    <row r="201" spans="2:8" s="240" customFormat="1" ht="15" customHeight="1" x14ac:dyDescent="0.25">
      <c r="B201" s="243" t="s">
        <v>1324</v>
      </c>
      <c r="C201" s="258" t="s">
        <v>1325</v>
      </c>
      <c r="D201" s="269" t="s">
        <v>1326</v>
      </c>
      <c r="E201" s="295">
        <v>94.99</v>
      </c>
      <c r="F201" s="295">
        <v>94.99</v>
      </c>
      <c r="G201" s="295">
        <v>94.99</v>
      </c>
      <c r="H201" s="306"/>
    </row>
    <row r="202" spans="2:8" s="240" customFormat="1" ht="15" customHeight="1" x14ac:dyDescent="0.25">
      <c r="B202" s="243" t="s">
        <v>1327</v>
      </c>
      <c r="C202" s="258" t="s">
        <v>1328</v>
      </c>
      <c r="D202" s="269" t="s">
        <v>1329</v>
      </c>
      <c r="E202" s="295">
        <v>33.99</v>
      </c>
      <c r="F202" s="295">
        <v>33.99</v>
      </c>
      <c r="G202" s="295">
        <v>33.99</v>
      </c>
      <c r="H202" s="306"/>
    </row>
    <row r="203" spans="2:8" s="240" customFormat="1" ht="15" customHeight="1" x14ac:dyDescent="0.25">
      <c r="B203" s="243" t="s">
        <v>1330</v>
      </c>
      <c r="C203" s="255" t="s">
        <v>1331</v>
      </c>
      <c r="D203" s="269" t="s">
        <v>1332</v>
      </c>
      <c r="E203" s="295">
        <v>94.99</v>
      </c>
      <c r="F203" s="295">
        <v>94.99</v>
      </c>
      <c r="G203" s="295">
        <v>94.99</v>
      </c>
      <c r="H203" s="306"/>
    </row>
    <row r="204" spans="2:8" s="240" customFormat="1" ht="15" customHeight="1" x14ac:dyDescent="0.25">
      <c r="B204" s="243" t="s">
        <v>1333</v>
      </c>
      <c r="C204" s="247" t="s">
        <v>1334</v>
      </c>
      <c r="D204" s="269" t="s">
        <v>1335</v>
      </c>
      <c r="E204" s="295">
        <v>261.99</v>
      </c>
      <c r="F204" s="295">
        <v>261.99</v>
      </c>
      <c r="G204" s="295">
        <v>261.99</v>
      </c>
      <c r="H204" s="306"/>
    </row>
    <row r="205" spans="2:8" s="240" customFormat="1" ht="15" customHeight="1" x14ac:dyDescent="0.25">
      <c r="B205" s="243" t="s">
        <v>1336</v>
      </c>
      <c r="C205" s="247" t="s">
        <v>1337</v>
      </c>
      <c r="D205" s="269" t="s">
        <v>1338</v>
      </c>
      <c r="E205" s="295">
        <v>142.99</v>
      </c>
      <c r="F205" s="295">
        <v>142.99</v>
      </c>
      <c r="G205" s="295">
        <v>142.99</v>
      </c>
      <c r="H205" s="306"/>
    </row>
    <row r="206" spans="2:8" s="240" customFormat="1" ht="15" customHeight="1" x14ac:dyDescent="0.25">
      <c r="B206" s="243" t="s">
        <v>1339</v>
      </c>
      <c r="C206" s="244" t="s">
        <v>1340</v>
      </c>
      <c r="D206" s="269" t="s">
        <v>1341</v>
      </c>
      <c r="E206" s="295">
        <v>96.99</v>
      </c>
      <c r="F206" s="295">
        <v>96.99</v>
      </c>
      <c r="G206" s="295">
        <v>96.99</v>
      </c>
      <c r="H206" s="306"/>
    </row>
    <row r="207" spans="2:8" s="240" customFormat="1" ht="15" customHeight="1" x14ac:dyDescent="0.25">
      <c r="B207" s="243" t="s">
        <v>1342</v>
      </c>
      <c r="C207" s="258" t="s">
        <v>1343</v>
      </c>
      <c r="D207" s="269" t="s">
        <v>1344</v>
      </c>
      <c r="E207" s="295">
        <v>40.99</v>
      </c>
      <c r="F207" s="295">
        <v>40.99</v>
      </c>
      <c r="G207" s="295">
        <v>40.99</v>
      </c>
      <c r="H207" s="306"/>
    </row>
    <row r="208" spans="2:8" s="240" customFormat="1" ht="15" customHeight="1" x14ac:dyDescent="0.25">
      <c r="B208" s="243" t="s">
        <v>1345</v>
      </c>
      <c r="C208" s="244" t="s">
        <v>1346</v>
      </c>
      <c r="D208" s="269" t="s">
        <v>1347</v>
      </c>
      <c r="E208" s="295">
        <v>46.99</v>
      </c>
      <c r="F208" s="295">
        <v>46.99</v>
      </c>
      <c r="G208" s="295">
        <v>46.99</v>
      </c>
      <c r="H208" s="306"/>
    </row>
    <row r="209" spans="2:8" s="240" customFormat="1" ht="15" customHeight="1" x14ac:dyDescent="0.25">
      <c r="B209" s="243" t="s">
        <v>1348</v>
      </c>
      <c r="C209" s="244" t="s">
        <v>1349</v>
      </c>
      <c r="D209" s="269" t="s">
        <v>180</v>
      </c>
      <c r="E209" s="295">
        <v>71.989999999999995</v>
      </c>
      <c r="F209" s="295">
        <v>71.989999999999995</v>
      </c>
      <c r="G209" s="295">
        <v>71.989999999999995</v>
      </c>
      <c r="H209" s="306"/>
    </row>
    <row r="210" spans="2:8" s="240" customFormat="1" ht="15" customHeight="1" x14ac:dyDescent="0.25">
      <c r="B210" s="243" t="s">
        <v>1350</v>
      </c>
      <c r="C210" s="244" t="s">
        <v>1351</v>
      </c>
      <c r="D210" s="269" t="s">
        <v>1352</v>
      </c>
      <c r="E210" s="295">
        <v>71.989999999999995</v>
      </c>
      <c r="F210" s="295">
        <v>71.989999999999995</v>
      </c>
      <c r="G210" s="295">
        <v>71.989999999999995</v>
      </c>
      <c r="H210" s="306"/>
    </row>
    <row r="211" spans="2:8" s="240" customFormat="1" ht="15" customHeight="1" x14ac:dyDescent="0.25">
      <c r="B211" s="243" t="s">
        <v>1353</v>
      </c>
      <c r="C211" s="258" t="s">
        <v>1354</v>
      </c>
      <c r="D211" s="269" t="s">
        <v>1355</v>
      </c>
      <c r="E211" s="295">
        <v>33.99</v>
      </c>
      <c r="F211" s="295">
        <v>33.99</v>
      </c>
      <c r="G211" s="295">
        <v>33.99</v>
      </c>
      <c r="H211" s="306"/>
    </row>
    <row r="212" spans="2:8" s="240" customFormat="1" ht="15" customHeight="1" x14ac:dyDescent="0.25">
      <c r="B212" s="248" t="s">
        <v>1356</v>
      </c>
      <c r="C212" s="258" t="s">
        <v>1357</v>
      </c>
      <c r="D212" s="269" t="s">
        <v>1358</v>
      </c>
      <c r="E212" s="295">
        <v>74.989999999999995</v>
      </c>
      <c r="F212" s="295">
        <v>74.989999999999995</v>
      </c>
      <c r="G212" s="295">
        <v>74.989999999999995</v>
      </c>
      <c r="H212" s="306"/>
    </row>
    <row r="213" spans="2:8" s="240" customFormat="1" ht="15" customHeight="1" x14ac:dyDescent="0.25">
      <c r="B213" s="246" t="s">
        <v>1359</v>
      </c>
      <c r="C213" s="247" t="s">
        <v>1360</v>
      </c>
      <c r="D213" s="269" t="s">
        <v>1361</v>
      </c>
      <c r="E213" s="295">
        <v>9.99</v>
      </c>
      <c r="F213" s="295">
        <v>9.99</v>
      </c>
      <c r="G213" s="295">
        <v>9.99</v>
      </c>
      <c r="H213" s="306"/>
    </row>
    <row r="214" spans="2:8" s="240" customFormat="1" ht="15" customHeight="1" x14ac:dyDescent="0.25">
      <c r="B214" s="246" t="s">
        <v>1362</v>
      </c>
      <c r="C214" s="247" t="s">
        <v>1363</v>
      </c>
      <c r="D214" s="269" t="s">
        <v>180</v>
      </c>
      <c r="E214" s="295">
        <v>9.99</v>
      </c>
      <c r="F214" s="295">
        <v>9.99</v>
      </c>
      <c r="G214" s="295">
        <v>9.99</v>
      </c>
      <c r="H214" s="306"/>
    </row>
    <row r="215" spans="2:8" s="240" customFormat="1" ht="15" customHeight="1" x14ac:dyDescent="0.25">
      <c r="B215" s="246" t="s">
        <v>1366</v>
      </c>
      <c r="C215" s="247" t="s">
        <v>1367</v>
      </c>
      <c r="D215" s="269" t="s">
        <v>1368</v>
      </c>
      <c r="E215" s="295">
        <v>21.99</v>
      </c>
      <c r="F215" s="295">
        <v>21.99</v>
      </c>
      <c r="G215" s="295">
        <v>21.99</v>
      </c>
      <c r="H215" s="306"/>
    </row>
    <row r="216" spans="2:8" s="240" customFormat="1" ht="15" customHeight="1" x14ac:dyDescent="0.25">
      <c r="B216" s="246" t="s">
        <v>1369</v>
      </c>
      <c r="C216" s="247" t="s">
        <v>1370</v>
      </c>
      <c r="D216" s="269" t="s">
        <v>1371</v>
      </c>
      <c r="E216" s="295">
        <v>24.99</v>
      </c>
      <c r="F216" s="295">
        <v>24.99</v>
      </c>
      <c r="G216" s="295">
        <v>24.99</v>
      </c>
      <c r="H216" s="306"/>
    </row>
    <row r="217" spans="2:8" s="240" customFormat="1" ht="15" customHeight="1" x14ac:dyDescent="0.25">
      <c r="B217" s="246" t="s">
        <v>1372</v>
      </c>
      <c r="C217" s="244" t="s">
        <v>1373</v>
      </c>
      <c r="D217" s="269" t="s">
        <v>1374</v>
      </c>
      <c r="E217" s="295">
        <v>3.99</v>
      </c>
      <c r="F217" s="295">
        <v>3.99</v>
      </c>
      <c r="G217" s="295">
        <v>3.99</v>
      </c>
      <c r="H217" s="306"/>
    </row>
    <row r="218" spans="2:8" s="240" customFormat="1" ht="15" customHeight="1" x14ac:dyDescent="0.25">
      <c r="B218" s="246" t="s">
        <v>1375</v>
      </c>
      <c r="C218" s="244" t="s">
        <v>1376</v>
      </c>
      <c r="D218" s="269" t="s">
        <v>1377</v>
      </c>
      <c r="E218" s="295">
        <v>19.989999999999998</v>
      </c>
      <c r="F218" s="295">
        <v>19.989999999999998</v>
      </c>
      <c r="G218" s="295">
        <v>19.989999999999998</v>
      </c>
      <c r="H218" s="306"/>
    </row>
    <row r="219" spans="2:8" s="240" customFormat="1" ht="15" customHeight="1" x14ac:dyDescent="0.25">
      <c r="B219" s="246" t="s">
        <v>1378</v>
      </c>
      <c r="C219" s="244" t="s">
        <v>1379</v>
      </c>
      <c r="D219" s="269" t="s">
        <v>1380</v>
      </c>
      <c r="E219" s="295">
        <v>45.99</v>
      </c>
      <c r="F219" s="295">
        <v>45.99</v>
      </c>
      <c r="G219" s="295">
        <v>45.99</v>
      </c>
      <c r="H219" s="306"/>
    </row>
    <row r="220" spans="2:8" s="240" customFormat="1" ht="15" customHeight="1" x14ac:dyDescent="0.25">
      <c r="B220" s="243" t="s">
        <v>1388</v>
      </c>
      <c r="C220" s="258" t="s">
        <v>1389</v>
      </c>
      <c r="D220" s="269" t="s">
        <v>1390</v>
      </c>
      <c r="E220" s="295">
        <v>27.99</v>
      </c>
      <c r="F220" s="295">
        <v>27.99</v>
      </c>
      <c r="G220" s="295">
        <v>27.99</v>
      </c>
      <c r="H220" s="306"/>
    </row>
    <row r="221" spans="2:8" s="240" customFormat="1" ht="15" customHeight="1" x14ac:dyDescent="0.25">
      <c r="B221" s="246" t="s">
        <v>1391</v>
      </c>
      <c r="C221" s="258" t="s">
        <v>1392</v>
      </c>
      <c r="D221" s="269" t="s">
        <v>180</v>
      </c>
      <c r="E221" s="295">
        <v>22.99</v>
      </c>
      <c r="F221" s="295">
        <v>22.99</v>
      </c>
      <c r="G221" s="295">
        <v>22.99</v>
      </c>
      <c r="H221" s="306"/>
    </row>
    <row r="222" spans="2:8" s="240" customFormat="1" ht="15" customHeight="1" x14ac:dyDescent="0.25">
      <c r="B222" s="243" t="s">
        <v>1393</v>
      </c>
      <c r="C222" s="258" t="s">
        <v>1394</v>
      </c>
      <c r="D222" s="280" t="s">
        <v>1395</v>
      </c>
      <c r="E222" s="295">
        <v>53.99</v>
      </c>
      <c r="F222" s="295">
        <v>53.99</v>
      </c>
      <c r="G222" s="295">
        <v>53.99</v>
      </c>
      <c r="H222" s="306"/>
    </row>
    <row r="223" spans="2:8" s="240" customFormat="1" ht="15" customHeight="1" x14ac:dyDescent="0.25">
      <c r="B223" s="243" t="s">
        <v>1396</v>
      </c>
      <c r="C223" s="258" t="s">
        <v>1397</v>
      </c>
      <c r="D223" s="280" t="s">
        <v>1398</v>
      </c>
      <c r="E223" s="295">
        <v>40.99</v>
      </c>
      <c r="F223" s="295">
        <v>40.99</v>
      </c>
      <c r="G223" s="295">
        <v>40.99</v>
      </c>
      <c r="H223" s="306"/>
    </row>
    <row r="224" spans="2:8" s="240" customFormat="1" ht="15" customHeight="1" x14ac:dyDescent="0.25">
      <c r="B224" s="243" t="s">
        <v>1399</v>
      </c>
      <c r="C224" s="258" t="s">
        <v>1400</v>
      </c>
      <c r="D224" s="280" t="s">
        <v>1401</v>
      </c>
      <c r="E224" s="295">
        <v>33.99</v>
      </c>
      <c r="F224" s="295">
        <v>33.99</v>
      </c>
      <c r="G224" s="295">
        <v>33.99</v>
      </c>
      <c r="H224" s="306"/>
    </row>
    <row r="225" spans="2:8" s="240" customFormat="1" ht="15" customHeight="1" x14ac:dyDescent="0.25">
      <c r="B225" s="246" t="s">
        <v>1402</v>
      </c>
      <c r="C225" s="247" t="s">
        <v>1403</v>
      </c>
      <c r="D225" s="269" t="s">
        <v>1404</v>
      </c>
      <c r="E225" s="295">
        <v>21.99</v>
      </c>
      <c r="F225" s="295">
        <v>21.99</v>
      </c>
      <c r="G225" s="295">
        <v>21.99</v>
      </c>
      <c r="H225" s="306"/>
    </row>
    <row r="226" spans="2:8" s="240" customFormat="1" ht="15" customHeight="1" x14ac:dyDescent="0.25">
      <c r="B226" s="243" t="s">
        <v>1405</v>
      </c>
      <c r="C226" s="255" t="s">
        <v>1406</v>
      </c>
      <c r="D226" s="273" t="s">
        <v>1407</v>
      </c>
      <c r="E226" s="295">
        <v>40.99</v>
      </c>
      <c r="F226" s="295">
        <v>40.99</v>
      </c>
      <c r="G226" s="295">
        <v>40.99</v>
      </c>
      <c r="H226" s="306"/>
    </row>
    <row r="227" spans="2:8" s="240" customFormat="1" ht="15" customHeight="1" x14ac:dyDescent="0.25">
      <c r="B227" s="248" t="s">
        <v>1408</v>
      </c>
      <c r="C227" s="255" t="s">
        <v>1409</v>
      </c>
      <c r="D227" s="273" t="s">
        <v>1410</v>
      </c>
      <c r="E227" s="295">
        <v>39.99</v>
      </c>
      <c r="F227" s="295">
        <v>39.99</v>
      </c>
      <c r="G227" s="295">
        <v>39.99</v>
      </c>
      <c r="H227" s="306"/>
    </row>
    <row r="228" spans="2:8" s="240" customFormat="1" ht="15" customHeight="1" x14ac:dyDescent="0.25">
      <c r="B228" s="243" t="s">
        <v>1411</v>
      </c>
      <c r="C228" s="255" t="s">
        <v>1412</v>
      </c>
      <c r="D228" s="273" t="s">
        <v>1413</v>
      </c>
      <c r="E228" s="295">
        <v>40.99</v>
      </c>
      <c r="F228" s="295">
        <v>40.99</v>
      </c>
      <c r="G228" s="295">
        <v>40.99</v>
      </c>
      <c r="H228" s="306"/>
    </row>
    <row r="229" spans="2:8" s="240" customFormat="1" ht="15" customHeight="1" x14ac:dyDescent="0.25">
      <c r="B229" s="243" t="s">
        <v>1414</v>
      </c>
      <c r="C229" s="255" t="s">
        <v>1415</v>
      </c>
      <c r="D229" s="269" t="s">
        <v>1416</v>
      </c>
      <c r="E229" s="295">
        <v>33.99</v>
      </c>
      <c r="F229" s="295">
        <v>33.99</v>
      </c>
      <c r="G229" s="295">
        <v>33.99</v>
      </c>
      <c r="H229" s="306"/>
    </row>
    <row r="230" spans="2:8" s="240" customFormat="1" ht="15" customHeight="1" x14ac:dyDescent="0.25">
      <c r="B230" s="243" t="s">
        <v>1417</v>
      </c>
      <c r="C230" s="244" t="s">
        <v>1418</v>
      </c>
      <c r="D230" s="269" t="s">
        <v>1419</v>
      </c>
      <c r="E230" s="295">
        <v>40.99</v>
      </c>
      <c r="F230" s="295">
        <v>40.99</v>
      </c>
      <c r="G230" s="295">
        <v>40.99</v>
      </c>
      <c r="H230" s="306"/>
    </row>
    <row r="231" spans="2:8" s="240" customFormat="1" ht="15" customHeight="1" x14ac:dyDescent="0.25">
      <c r="B231" s="243" t="s">
        <v>1420</v>
      </c>
      <c r="C231" s="255" t="s">
        <v>1421</v>
      </c>
      <c r="D231" s="269" t="s">
        <v>1422</v>
      </c>
      <c r="E231" s="295">
        <v>40.99</v>
      </c>
      <c r="F231" s="295">
        <v>40.99</v>
      </c>
      <c r="G231" s="295">
        <v>40.99</v>
      </c>
      <c r="H231" s="306"/>
    </row>
    <row r="232" spans="2:8" s="240" customFormat="1" ht="15" customHeight="1" x14ac:dyDescent="0.25">
      <c r="B232" s="248" t="s">
        <v>1423</v>
      </c>
      <c r="C232" s="258" t="s">
        <v>1424</v>
      </c>
      <c r="D232" s="269" t="s">
        <v>1425</v>
      </c>
      <c r="E232" s="295">
        <v>121.99</v>
      </c>
      <c r="F232" s="295">
        <v>121.99</v>
      </c>
      <c r="G232" s="295">
        <v>121.99</v>
      </c>
      <c r="H232" s="306"/>
    </row>
    <row r="233" spans="2:8" s="240" customFormat="1" ht="15" customHeight="1" x14ac:dyDescent="0.25">
      <c r="B233" s="243" t="s">
        <v>1426</v>
      </c>
      <c r="C233" s="255" t="s">
        <v>1427</v>
      </c>
      <c r="D233" s="269" t="s">
        <v>1428</v>
      </c>
      <c r="E233" s="295">
        <v>52.99</v>
      </c>
      <c r="F233" s="295">
        <v>52.99</v>
      </c>
      <c r="G233" s="295">
        <v>52.99</v>
      </c>
      <c r="H233" s="306"/>
    </row>
    <row r="234" spans="2:8" s="240" customFormat="1" ht="15" customHeight="1" x14ac:dyDescent="0.25">
      <c r="B234" s="252" t="s">
        <v>1429</v>
      </c>
      <c r="C234" s="255" t="s">
        <v>1430</v>
      </c>
      <c r="D234" s="269" t="s">
        <v>1431</v>
      </c>
      <c r="E234" s="295">
        <v>74.989999999999995</v>
      </c>
      <c r="F234" s="295">
        <v>74.989999999999995</v>
      </c>
      <c r="G234" s="295">
        <v>74.989999999999995</v>
      </c>
      <c r="H234" s="306"/>
    </row>
    <row r="235" spans="2:8" s="240" customFormat="1" ht="15" customHeight="1" x14ac:dyDescent="0.25">
      <c r="B235" s="248" t="s">
        <v>1432</v>
      </c>
      <c r="C235" s="83" t="s">
        <v>1433</v>
      </c>
      <c r="D235" s="269" t="s">
        <v>1434</v>
      </c>
      <c r="E235" s="295">
        <v>27.99</v>
      </c>
      <c r="F235" s="295">
        <v>27.99</v>
      </c>
      <c r="G235" s="295">
        <v>27.99</v>
      </c>
      <c r="H235" s="306"/>
    </row>
    <row r="236" spans="2:8" s="240" customFormat="1" ht="15" customHeight="1" x14ac:dyDescent="0.25">
      <c r="B236" s="248" t="s">
        <v>1435</v>
      </c>
      <c r="C236" s="83" t="s">
        <v>1436</v>
      </c>
      <c r="D236" s="269" t="s">
        <v>1437</v>
      </c>
      <c r="E236" s="295">
        <v>119.99</v>
      </c>
      <c r="F236" s="295">
        <v>119.99</v>
      </c>
      <c r="G236" s="295">
        <v>119.99</v>
      </c>
      <c r="H236" s="306"/>
    </row>
    <row r="237" spans="2:8" s="240" customFormat="1" ht="15" customHeight="1" x14ac:dyDescent="0.25">
      <c r="B237" s="248" t="s">
        <v>1438</v>
      </c>
      <c r="C237" s="83" t="s">
        <v>1439</v>
      </c>
      <c r="D237" s="269" t="s">
        <v>1440</v>
      </c>
      <c r="E237" s="295">
        <v>27.99</v>
      </c>
      <c r="F237" s="295">
        <v>27.99</v>
      </c>
      <c r="G237" s="295">
        <v>27.99</v>
      </c>
      <c r="H237" s="306"/>
    </row>
    <row r="238" spans="2:8" s="240" customFormat="1" ht="15" customHeight="1" x14ac:dyDescent="0.25">
      <c r="B238" s="252" t="s">
        <v>1441</v>
      </c>
      <c r="C238" s="83" t="s">
        <v>1442</v>
      </c>
      <c r="D238" s="269" t="s">
        <v>1443</v>
      </c>
      <c r="E238" s="295">
        <v>33.99</v>
      </c>
      <c r="F238" s="295">
        <v>33.99</v>
      </c>
      <c r="G238" s="295">
        <v>33.99</v>
      </c>
      <c r="H238" s="306"/>
    </row>
    <row r="239" spans="2:8" s="240" customFormat="1" ht="15" customHeight="1" x14ac:dyDescent="0.25">
      <c r="B239" s="243" t="s">
        <v>1444</v>
      </c>
      <c r="C239" s="255" t="s">
        <v>1445</v>
      </c>
      <c r="D239" s="269" t="s">
        <v>1446</v>
      </c>
      <c r="E239" s="295">
        <v>27.99</v>
      </c>
      <c r="F239" s="295">
        <v>27.99</v>
      </c>
      <c r="G239" s="295">
        <v>27.99</v>
      </c>
      <c r="H239" s="306"/>
    </row>
    <row r="240" spans="2:8" s="240" customFormat="1" ht="15" customHeight="1" x14ac:dyDescent="0.25">
      <c r="B240" s="243" t="s">
        <v>1447</v>
      </c>
      <c r="C240" s="93" t="s">
        <v>1448</v>
      </c>
      <c r="D240" s="278" t="s">
        <v>1449</v>
      </c>
      <c r="E240" s="295">
        <v>40.99</v>
      </c>
      <c r="F240" s="295">
        <v>40.99</v>
      </c>
      <c r="G240" s="295">
        <v>40.99</v>
      </c>
      <c r="H240" s="306"/>
    </row>
    <row r="241" spans="2:8" s="240" customFormat="1" ht="15" customHeight="1" x14ac:dyDescent="0.25">
      <c r="B241" s="246" t="s">
        <v>1450</v>
      </c>
      <c r="C241" s="93" t="s">
        <v>1451</v>
      </c>
      <c r="D241" s="269" t="s">
        <v>180</v>
      </c>
      <c r="E241" s="295">
        <v>33.99</v>
      </c>
      <c r="F241" s="295">
        <v>33.99</v>
      </c>
      <c r="G241" s="295">
        <v>33.99</v>
      </c>
      <c r="H241" s="306"/>
    </row>
    <row r="242" spans="2:8" s="240" customFormat="1" ht="15" customHeight="1" x14ac:dyDescent="0.25">
      <c r="B242" s="246" t="s">
        <v>1452</v>
      </c>
      <c r="C242" s="93" t="s">
        <v>1453</v>
      </c>
      <c r="D242" s="269" t="s">
        <v>1454</v>
      </c>
      <c r="E242" s="295">
        <v>11.99</v>
      </c>
      <c r="F242" s="295">
        <v>11.99</v>
      </c>
      <c r="G242" s="295">
        <v>11.99</v>
      </c>
      <c r="H242" s="306"/>
    </row>
    <row r="243" spans="2:8" s="240" customFormat="1" ht="15" customHeight="1" x14ac:dyDescent="0.25">
      <c r="B243" s="243" t="s">
        <v>1458</v>
      </c>
      <c r="C243" s="93" t="s">
        <v>1459</v>
      </c>
      <c r="D243" s="269" t="s">
        <v>1460</v>
      </c>
      <c r="E243" s="295">
        <v>177.99</v>
      </c>
      <c r="F243" s="295">
        <v>177.99</v>
      </c>
      <c r="G243" s="295">
        <v>177.99</v>
      </c>
      <c r="H243" s="306"/>
    </row>
    <row r="244" spans="2:8" s="240" customFormat="1" ht="15" customHeight="1" x14ac:dyDescent="0.25">
      <c r="B244" s="243" t="s">
        <v>1467</v>
      </c>
      <c r="C244" s="93" t="s">
        <v>1468</v>
      </c>
      <c r="D244" s="269" t="s">
        <v>1469</v>
      </c>
      <c r="E244" s="295">
        <v>40.99</v>
      </c>
      <c r="F244" s="295">
        <v>40.99</v>
      </c>
      <c r="G244" s="295">
        <v>40.99</v>
      </c>
      <c r="H244" s="306"/>
    </row>
    <row r="245" spans="2:8" s="240" customFormat="1" ht="15" customHeight="1" x14ac:dyDescent="0.25">
      <c r="B245" s="243" t="s">
        <v>1470</v>
      </c>
      <c r="C245" s="93" t="s">
        <v>1471</v>
      </c>
      <c r="D245" s="269" t="s">
        <v>1472</v>
      </c>
      <c r="E245" s="295">
        <v>75.989999999999995</v>
      </c>
      <c r="F245" s="295">
        <v>75.989999999999995</v>
      </c>
      <c r="G245" s="295">
        <v>75.989999999999995</v>
      </c>
      <c r="H245" s="306"/>
    </row>
    <row r="246" spans="2:8" s="240" customFormat="1" ht="15" customHeight="1" x14ac:dyDescent="0.25">
      <c r="B246" s="243" t="s">
        <v>1484</v>
      </c>
      <c r="C246" s="255" t="s">
        <v>1485</v>
      </c>
      <c r="D246" s="269" t="s">
        <v>1486</v>
      </c>
      <c r="E246" s="295">
        <v>40.99</v>
      </c>
      <c r="F246" s="295">
        <v>40.99</v>
      </c>
      <c r="G246" s="295">
        <v>40.99</v>
      </c>
      <c r="H246" s="306"/>
    </row>
    <row r="247" spans="2:8" s="240" customFormat="1" ht="15" customHeight="1" x14ac:dyDescent="0.25">
      <c r="B247" s="243" t="s">
        <v>1506</v>
      </c>
      <c r="C247" s="83" t="s">
        <v>1507</v>
      </c>
      <c r="D247" s="269" t="s">
        <v>1508</v>
      </c>
      <c r="E247" s="295">
        <v>19.989999999999998</v>
      </c>
      <c r="F247" s="295">
        <v>19.989999999999998</v>
      </c>
      <c r="G247" s="295">
        <v>19.989999999999998</v>
      </c>
      <c r="H247" s="306"/>
    </row>
    <row r="248" spans="2:8" s="240" customFormat="1" ht="15" customHeight="1" x14ac:dyDescent="0.25">
      <c r="B248" s="76" t="s">
        <v>263</v>
      </c>
      <c r="C248" s="93" t="s">
        <v>264</v>
      </c>
      <c r="D248" s="279" t="s">
        <v>265</v>
      </c>
      <c r="E248" s="295">
        <v>40.99</v>
      </c>
      <c r="F248" s="295">
        <v>40.99</v>
      </c>
      <c r="G248" s="295">
        <v>40.99</v>
      </c>
      <c r="H248" s="306"/>
    </row>
    <row r="249" spans="2:8" s="240" customFormat="1" ht="15" customHeight="1" x14ac:dyDescent="0.25">
      <c r="B249" s="243" t="s">
        <v>1509</v>
      </c>
      <c r="C249" s="93" t="s">
        <v>1510</v>
      </c>
      <c r="D249" s="269" t="s">
        <v>1511</v>
      </c>
      <c r="E249" s="295">
        <v>21.99</v>
      </c>
      <c r="F249" s="295">
        <v>21.99</v>
      </c>
      <c r="G249" s="295">
        <v>21.99</v>
      </c>
      <c r="H249" s="306"/>
    </row>
    <row r="250" spans="2:8" s="240" customFormat="1" ht="15" customHeight="1" x14ac:dyDescent="0.25">
      <c r="B250" s="243" t="s">
        <v>1515</v>
      </c>
      <c r="C250" s="255" t="s">
        <v>1516</v>
      </c>
      <c r="D250" s="269" t="s">
        <v>1517</v>
      </c>
      <c r="E250" s="295">
        <v>53.99</v>
      </c>
      <c r="F250" s="295">
        <v>53.99</v>
      </c>
      <c r="G250" s="295">
        <v>53.99</v>
      </c>
      <c r="H250" s="306"/>
    </row>
    <row r="251" spans="2:8" s="240" customFormat="1" ht="15" customHeight="1" x14ac:dyDescent="0.25">
      <c r="B251" s="243" t="s">
        <v>1518</v>
      </c>
      <c r="C251" s="255" t="s">
        <v>1519</v>
      </c>
      <c r="D251" s="269" t="s">
        <v>1520</v>
      </c>
      <c r="E251" s="295">
        <v>66.989999999999995</v>
      </c>
      <c r="F251" s="295">
        <v>66.989999999999995</v>
      </c>
      <c r="G251" s="295">
        <v>66.989999999999995</v>
      </c>
      <c r="H251" s="306"/>
    </row>
    <row r="252" spans="2:8" s="240" customFormat="1" ht="15" customHeight="1" x14ac:dyDescent="0.25">
      <c r="B252" s="243" t="s">
        <v>1521</v>
      </c>
      <c r="C252" s="255" t="s">
        <v>1522</v>
      </c>
      <c r="D252" s="269" t="s">
        <v>1523</v>
      </c>
      <c r="E252" s="295">
        <v>145.99</v>
      </c>
      <c r="F252" s="295">
        <v>145.99</v>
      </c>
      <c r="G252" s="295">
        <v>145.99</v>
      </c>
      <c r="H252" s="306"/>
    </row>
    <row r="253" spans="2:8" s="240" customFormat="1" ht="15" customHeight="1" x14ac:dyDescent="0.25">
      <c r="B253" s="246" t="s">
        <v>1524</v>
      </c>
      <c r="C253" s="255" t="s">
        <v>1525</v>
      </c>
      <c r="D253" s="269" t="s">
        <v>1526</v>
      </c>
      <c r="E253" s="295">
        <v>340.99</v>
      </c>
      <c r="F253" s="295">
        <v>340.99</v>
      </c>
      <c r="G253" s="295">
        <v>340.99</v>
      </c>
      <c r="H253" s="306"/>
    </row>
    <row r="254" spans="2:8" s="240" customFormat="1" ht="15" customHeight="1" x14ac:dyDescent="0.25">
      <c r="B254" s="243" t="s">
        <v>1527</v>
      </c>
      <c r="C254" s="255" t="s">
        <v>1528</v>
      </c>
      <c r="D254" s="281" t="s">
        <v>1529</v>
      </c>
      <c r="E254" s="295">
        <v>40.99</v>
      </c>
      <c r="F254" s="295">
        <v>40.99</v>
      </c>
      <c r="G254" s="295">
        <v>40.99</v>
      </c>
      <c r="H254" s="306"/>
    </row>
    <row r="255" spans="2:8" s="240" customFormat="1" ht="15" customHeight="1" x14ac:dyDescent="0.25">
      <c r="B255" s="243" t="s">
        <v>1530</v>
      </c>
      <c r="C255" s="255" t="s">
        <v>1531</v>
      </c>
      <c r="D255" s="281" t="s">
        <v>1532</v>
      </c>
      <c r="E255" s="295">
        <v>66.989999999999995</v>
      </c>
      <c r="F255" s="295">
        <v>66.989999999999995</v>
      </c>
      <c r="G255" s="295">
        <v>66.989999999999995</v>
      </c>
      <c r="H255" s="306"/>
    </row>
    <row r="256" spans="2:8" s="240" customFormat="1" ht="15" customHeight="1" x14ac:dyDescent="0.25">
      <c r="B256" s="243" t="s">
        <v>1533</v>
      </c>
      <c r="C256" s="255" t="s">
        <v>1534</v>
      </c>
      <c r="D256" s="272" t="s">
        <v>1535</v>
      </c>
      <c r="E256" s="295">
        <v>113.99</v>
      </c>
      <c r="F256" s="295">
        <v>113.99</v>
      </c>
      <c r="G256" s="295">
        <v>113.99</v>
      </c>
      <c r="H256" s="306"/>
    </row>
    <row r="257" spans="2:8" s="240" customFormat="1" ht="15" customHeight="1" x14ac:dyDescent="0.25">
      <c r="B257" s="243" t="s">
        <v>1536</v>
      </c>
      <c r="C257" s="93" t="s">
        <v>1537</v>
      </c>
      <c r="D257" s="279" t="s">
        <v>1538</v>
      </c>
      <c r="E257" s="295">
        <v>188.99</v>
      </c>
      <c r="F257" s="295">
        <v>188.99</v>
      </c>
      <c r="G257" s="295">
        <v>188.99</v>
      </c>
      <c r="H257" s="306"/>
    </row>
    <row r="258" spans="2:8" s="240" customFormat="1" ht="15" customHeight="1" x14ac:dyDescent="0.25">
      <c r="B258" s="243" t="s">
        <v>1539</v>
      </c>
      <c r="C258" s="93" t="s">
        <v>1540</v>
      </c>
      <c r="D258" s="279" t="s">
        <v>1541</v>
      </c>
      <c r="E258" s="295">
        <v>178.99</v>
      </c>
      <c r="F258" s="295">
        <v>178.99</v>
      </c>
      <c r="G258" s="295">
        <v>178.99</v>
      </c>
      <c r="H258" s="306"/>
    </row>
    <row r="259" spans="2:8" s="240" customFormat="1" ht="15" customHeight="1" x14ac:dyDescent="0.25">
      <c r="B259" s="246" t="s">
        <v>1542</v>
      </c>
      <c r="C259" s="93" t="s">
        <v>1543</v>
      </c>
      <c r="D259" s="279" t="s">
        <v>1544</v>
      </c>
      <c r="E259" s="295">
        <v>101.99</v>
      </c>
      <c r="F259" s="295">
        <v>101.99</v>
      </c>
      <c r="G259" s="295">
        <v>101.99</v>
      </c>
      <c r="H259" s="306"/>
    </row>
    <row r="260" spans="2:8" s="240" customFormat="1" ht="15" customHeight="1" x14ac:dyDescent="0.25">
      <c r="B260" s="243" t="s">
        <v>1545</v>
      </c>
      <c r="C260" s="93" t="s">
        <v>1546</v>
      </c>
      <c r="D260" s="279" t="s">
        <v>1547</v>
      </c>
      <c r="E260" s="295">
        <v>204.99</v>
      </c>
      <c r="F260" s="295">
        <v>204.99</v>
      </c>
      <c r="G260" s="295">
        <v>204.99</v>
      </c>
      <c r="H260" s="306"/>
    </row>
    <row r="261" spans="2:8" s="240" customFormat="1" ht="15" customHeight="1" x14ac:dyDescent="0.25">
      <c r="B261" s="243" t="s">
        <v>1548</v>
      </c>
      <c r="C261" s="93" t="s">
        <v>1549</v>
      </c>
      <c r="D261" s="279" t="s">
        <v>180</v>
      </c>
      <c r="E261" s="295">
        <v>157.99</v>
      </c>
      <c r="F261" s="295">
        <v>157.99</v>
      </c>
      <c r="G261" s="295">
        <v>157.99</v>
      </c>
      <c r="H261" s="306"/>
    </row>
    <row r="262" spans="2:8" s="240" customFormat="1" ht="15" customHeight="1" x14ac:dyDescent="0.25">
      <c r="B262" s="243" t="s">
        <v>1550</v>
      </c>
      <c r="C262" s="247" t="s">
        <v>1551</v>
      </c>
      <c r="D262" s="279" t="s">
        <v>180</v>
      </c>
      <c r="E262" s="295">
        <v>289.99</v>
      </c>
      <c r="F262" s="295">
        <v>289.99</v>
      </c>
      <c r="G262" s="295">
        <v>289.99</v>
      </c>
      <c r="H262" s="306"/>
    </row>
    <row r="263" spans="2:8" s="240" customFormat="1" ht="15" customHeight="1" x14ac:dyDescent="0.25">
      <c r="B263" s="243" t="s">
        <v>1552</v>
      </c>
      <c r="C263" s="93" t="s">
        <v>1553</v>
      </c>
      <c r="D263" s="279" t="s">
        <v>1554</v>
      </c>
      <c r="E263" s="295">
        <v>330.99</v>
      </c>
      <c r="F263" s="295">
        <v>330.99</v>
      </c>
      <c r="G263" s="295">
        <v>330.99</v>
      </c>
      <c r="H263" s="306"/>
    </row>
    <row r="264" spans="2:8" s="240" customFormat="1" ht="15" customHeight="1" x14ac:dyDescent="0.25">
      <c r="B264" s="243" t="s">
        <v>1555</v>
      </c>
      <c r="C264" s="93" t="s">
        <v>1556</v>
      </c>
      <c r="D264" s="279" t="s">
        <v>1557</v>
      </c>
      <c r="E264" s="295">
        <v>210.99</v>
      </c>
      <c r="F264" s="295">
        <v>210.99</v>
      </c>
      <c r="G264" s="295">
        <v>210.99</v>
      </c>
      <c r="H264" s="306"/>
    </row>
    <row r="265" spans="2:8" s="240" customFormat="1" ht="15" customHeight="1" x14ac:dyDescent="0.25">
      <c r="B265" s="243" t="s">
        <v>1558</v>
      </c>
      <c r="C265" s="93" t="s">
        <v>1559</v>
      </c>
      <c r="D265" s="279" t="s">
        <v>180</v>
      </c>
      <c r="E265" s="295">
        <v>330.99</v>
      </c>
      <c r="F265" s="295">
        <v>330.99</v>
      </c>
      <c r="G265" s="295">
        <v>330.99</v>
      </c>
      <c r="H265" s="306"/>
    </row>
    <row r="266" spans="2:8" s="240" customFormat="1" ht="15" customHeight="1" x14ac:dyDescent="0.25">
      <c r="B266" s="243" t="s">
        <v>1560</v>
      </c>
      <c r="C266" s="93" t="s">
        <v>1561</v>
      </c>
      <c r="D266" s="279" t="s">
        <v>180</v>
      </c>
      <c r="E266" s="295">
        <v>46.99</v>
      </c>
      <c r="F266" s="295">
        <v>46.99</v>
      </c>
      <c r="G266" s="295">
        <v>46.99</v>
      </c>
      <c r="H266" s="306"/>
    </row>
    <row r="267" spans="2:8" s="240" customFormat="1" ht="15" customHeight="1" x14ac:dyDescent="0.25">
      <c r="B267" s="243" t="s">
        <v>1562</v>
      </c>
      <c r="C267" s="83" t="s">
        <v>1563</v>
      </c>
      <c r="D267" s="279" t="s">
        <v>1564</v>
      </c>
      <c r="E267" s="295">
        <v>27.99</v>
      </c>
      <c r="F267" s="295">
        <v>27.99</v>
      </c>
      <c r="G267" s="295">
        <v>27.99</v>
      </c>
      <c r="H267" s="306"/>
    </row>
    <row r="268" spans="2:8" s="240" customFormat="1" ht="15" customHeight="1" x14ac:dyDescent="0.25">
      <c r="B268" s="243" t="s">
        <v>1571</v>
      </c>
      <c r="C268" s="83" t="s">
        <v>1572</v>
      </c>
      <c r="D268" s="279" t="s">
        <v>1573</v>
      </c>
      <c r="E268" s="295">
        <v>95.99</v>
      </c>
      <c r="F268" s="295">
        <v>95.99</v>
      </c>
      <c r="G268" s="295">
        <v>95.99</v>
      </c>
      <c r="H268" s="306"/>
    </row>
    <row r="269" spans="2:8" s="240" customFormat="1" ht="15" customHeight="1" x14ac:dyDescent="0.25">
      <c r="B269" s="243" t="s">
        <v>1585</v>
      </c>
      <c r="C269" s="255" t="s">
        <v>1586</v>
      </c>
      <c r="D269" s="281" t="s">
        <v>1587</v>
      </c>
      <c r="E269" s="295">
        <v>119.99</v>
      </c>
      <c r="F269" s="295">
        <v>119.99</v>
      </c>
      <c r="G269" s="295">
        <v>119.99</v>
      </c>
      <c r="H269" s="306"/>
    </row>
    <row r="270" spans="2:8" s="240" customFormat="1" ht="15" customHeight="1" x14ac:dyDescent="0.25">
      <c r="B270" s="243" t="s">
        <v>1591</v>
      </c>
      <c r="C270" s="255" t="s">
        <v>1592</v>
      </c>
      <c r="D270" s="281" t="s">
        <v>1593</v>
      </c>
      <c r="E270" s="295">
        <v>53.99</v>
      </c>
      <c r="F270" s="295">
        <v>53.99</v>
      </c>
      <c r="G270" s="295">
        <v>53.99</v>
      </c>
      <c r="H270" s="306"/>
    </row>
    <row r="271" spans="2:8" s="240" customFormat="1" ht="15" customHeight="1" x14ac:dyDescent="0.25">
      <c r="B271" s="243" t="s">
        <v>1594</v>
      </c>
      <c r="C271" s="255" t="s">
        <v>1595</v>
      </c>
      <c r="D271" s="281" t="s">
        <v>1596</v>
      </c>
      <c r="E271" s="295">
        <v>27.99</v>
      </c>
      <c r="F271" s="295">
        <v>27.99</v>
      </c>
      <c r="G271" s="295">
        <v>27.99</v>
      </c>
      <c r="H271" s="306"/>
    </row>
    <row r="272" spans="2:8" s="240" customFormat="1" ht="15" customHeight="1" x14ac:dyDescent="0.25">
      <c r="B272" s="243" t="s">
        <v>1597</v>
      </c>
      <c r="C272" s="255" t="s">
        <v>1598</v>
      </c>
      <c r="D272" s="281" t="s">
        <v>1599</v>
      </c>
      <c r="E272" s="295">
        <v>27.99</v>
      </c>
      <c r="F272" s="295">
        <v>27.99</v>
      </c>
      <c r="G272" s="295">
        <v>27.99</v>
      </c>
      <c r="H272" s="306"/>
    </row>
    <row r="273" spans="2:8" s="240" customFormat="1" ht="15" customHeight="1" x14ac:dyDescent="0.25">
      <c r="B273" s="243" t="s">
        <v>1600</v>
      </c>
      <c r="C273" s="255" t="s">
        <v>1601</v>
      </c>
      <c r="D273" s="281" t="s">
        <v>1602</v>
      </c>
      <c r="E273" s="295">
        <v>39.99</v>
      </c>
      <c r="F273" s="295">
        <v>39.99</v>
      </c>
      <c r="G273" s="295">
        <v>39.99</v>
      </c>
      <c r="H273" s="306"/>
    </row>
    <row r="274" spans="2:8" s="240" customFormat="1" ht="15" customHeight="1" x14ac:dyDescent="0.25">
      <c r="B274" s="243" t="s">
        <v>1609</v>
      </c>
      <c r="C274" s="255" t="s">
        <v>1610</v>
      </c>
      <c r="D274" s="281" t="s">
        <v>1611</v>
      </c>
      <c r="E274" s="295">
        <v>40.99</v>
      </c>
      <c r="F274" s="295">
        <v>40.99</v>
      </c>
      <c r="G274" s="295">
        <v>40.99</v>
      </c>
      <c r="H274" s="306"/>
    </row>
    <row r="275" spans="2:8" s="240" customFormat="1" ht="15" customHeight="1" x14ac:dyDescent="0.25">
      <c r="B275" s="82" t="s">
        <v>267</v>
      </c>
      <c r="C275" s="83" t="s">
        <v>268</v>
      </c>
      <c r="D275" s="279" t="s">
        <v>269</v>
      </c>
      <c r="E275" s="295">
        <v>80.989999999999995</v>
      </c>
      <c r="F275" s="295">
        <v>80.989999999999995</v>
      </c>
      <c r="G275" s="295">
        <v>80.989999999999995</v>
      </c>
      <c r="H275" s="306"/>
    </row>
    <row r="276" spans="2:8" s="240" customFormat="1" ht="15" customHeight="1" x14ac:dyDescent="0.25">
      <c r="B276" s="82" t="s">
        <v>270</v>
      </c>
      <c r="C276" s="83" t="s">
        <v>271</v>
      </c>
      <c r="D276" s="279" t="s">
        <v>272</v>
      </c>
      <c r="E276" s="295">
        <v>46.99</v>
      </c>
      <c r="F276" s="295">
        <v>46.99</v>
      </c>
      <c r="G276" s="295">
        <v>46.99</v>
      </c>
      <c r="H276" s="306"/>
    </row>
    <row r="277" spans="2:8" s="240" customFormat="1" ht="15" customHeight="1" x14ac:dyDescent="0.25">
      <c r="B277" s="82" t="s">
        <v>1612</v>
      </c>
      <c r="C277" s="83" t="s">
        <v>1613</v>
      </c>
      <c r="D277" s="279" t="s">
        <v>1614</v>
      </c>
      <c r="E277" s="295">
        <v>40.99</v>
      </c>
      <c r="F277" s="295">
        <v>40.99</v>
      </c>
      <c r="G277" s="295">
        <v>40.99</v>
      </c>
      <c r="H277" s="306"/>
    </row>
    <row r="278" spans="2:8" s="240" customFormat="1" ht="15" customHeight="1" x14ac:dyDescent="0.25">
      <c r="B278" s="82" t="s">
        <v>273</v>
      </c>
      <c r="C278" s="83" t="s">
        <v>274</v>
      </c>
      <c r="D278" s="279" t="s">
        <v>275</v>
      </c>
      <c r="E278" s="295">
        <v>53.99</v>
      </c>
      <c r="F278" s="295">
        <v>53.99</v>
      </c>
      <c r="G278" s="295">
        <v>53.99</v>
      </c>
      <c r="H278" s="306"/>
    </row>
    <row r="279" spans="2:8" s="240" customFormat="1" ht="15" customHeight="1" x14ac:dyDescent="0.25">
      <c r="B279" s="82" t="s">
        <v>276</v>
      </c>
      <c r="C279" s="83" t="s">
        <v>277</v>
      </c>
      <c r="D279" s="279" t="s">
        <v>278</v>
      </c>
      <c r="E279" s="295">
        <v>60.99</v>
      </c>
      <c r="F279" s="295">
        <v>60.99</v>
      </c>
      <c r="G279" s="295">
        <v>60.99</v>
      </c>
      <c r="H279" s="306"/>
    </row>
    <row r="280" spans="2:8" s="240" customFormat="1" ht="15" customHeight="1" x14ac:dyDescent="0.25">
      <c r="B280" s="82" t="s">
        <v>279</v>
      </c>
      <c r="C280" s="83" t="s">
        <v>280</v>
      </c>
      <c r="D280" s="279" t="s">
        <v>281</v>
      </c>
      <c r="E280" s="295">
        <v>100.99</v>
      </c>
      <c r="F280" s="295">
        <v>100.99</v>
      </c>
      <c r="G280" s="295">
        <v>100.99</v>
      </c>
      <c r="H280" s="306"/>
    </row>
    <row r="281" spans="2:8" s="240" customFormat="1" ht="15" customHeight="1" x14ac:dyDescent="0.25">
      <c r="B281" s="92" t="s">
        <v>288</v>
      </c>
      <c r="C281" s="93" t="s">
        <v>289</v>
      </c>
      <c r="D281" s="282" t="s">
        <v>290</v>
      </c>
      <c r="E281" s="295">
        <v>19.989999999999998</v>
      </c>
      <c r="F281" s="295">
        <v>19.989999999999998</v>
      </c>
      <c r="G281" s="295">
        <v>19.989999999999998</v>
      </c>
      <c r="H281" s="306"/>
    </row>
    <row r="282" spans="2:8" s="240" customFormat="1" ht="15" customHeight="1" x14ac:dyDescent="0.25">
      <c r="B282" s="92" t="s">
        <v>291</v>
      </c>
      <c r="C282" s="93" t="s">
        <v>292</v>
      </c>
      <c r="D282" s="282" t="s">
        <v>293</v>
      </c>
      <c r="E282" s="295">
        <v>16.989999999999998</v>
      </c>
      <c r="F282" s="295">
        <v>16.989999999999998</v>
      </c>
      <c r="G282" s="295">
        <v>16.989999999999998</v>
      </c>
      <c r="H282" s="306"/>
    </row>
    <row r="283" spans="2:8" s="240" customFormat="1" ht="15" customHeight="1" x14ac:dyDescent="0.25">
      <c r="B283" s="252" t="s">
        <v>1615</v>
      </c>
      <c r="C283" s="247" t="s">
        <v>1616</v>
      </c>
      <c r="D283" s="273" t="s">
        <v>1617</v>
      </c>
      <c r="E283" s="295">
        <v>27.99</v>
      </c>
      <c r="F283" s="295">
        <v>27.99</v>
      </c>
      <c r="G283" s="295">
        <v>27.99</v>
      </c>
      <c r="H283" s="306"/>
    </row>
    <row r="284" spans="2:8" s="240" customFormat="1" ht="15" customHeight="1" x14ac:dyDescent="0.25">
      <c r="B284" s="252" t="s">
        <v>1618</v>
      </c>
      <c r="C284" s="247" t="s">
        <v>1619</v>
      </c>
      <c r="D284" s="273" t="s">
        <v>1620</v>
      </c>
      <c r="E284" s="295">
        <v>10.99</v>
      </c>
      <c r="F284" s="295">
        <v>10.99</v>
      </c>
      <c r="G284" s="295">
        <v>10.99</v>
      </c>
      <c r="H284" s="306"/>
    </row>
    <row r="285" spans="2:8" s="240" customFormat="1" ht="15" customHeight="1" x14ac:dyDescent="0.25">
      <c r="B285" s="252" t="s">
        <v>1621</v>
      </c>
      <c r="C285" s="247" t="s">
        <v>1622</v>
      </c>
      <c r="D285" s="273" t="s">
        <v>1623</v>
      </c>
      <c r="E285" s="295">
        <v>10.99</v>
      </c>
      <c r="F285" s="295">
        <v>10.99</v>
      </c>
      <c r="G285" s="295">
        <v>10.99</v>
      </c>
      <c r="H285" s="306"/>
    </row>
    <row r="286" spans="2:8" s="240" customFormat="1" ht="15" customHeight="1" x14ac:dyDescent="0.25">
      <c r="B286" s="95" t="s">
        <v>303</v>
      </c>
      <c r="C286" s="93" t="s">
        <v>304</v>
      </c>
      <c r="D286" s="283" t="s">
        <v>305</v>
      </c>
      <c r="E286" s="295">
        <v>27.99</v>
      </c>
      <c r="F286" s="295">
        <v>27.99</v>
      </c>
      <c r="G286" s="295">
        <v>27.99</v>
      </c>
      <c r="H286" s="306"/>
    </row>
    <row r="287" spans="2:8" s="240" customFormat="1" ht="15" customHeight="1" x14ac:dyDescent="0.25">
      <c r="B287" s="95" t="s">
        <v>1624</v>
      </c>
      <c r="C287" s="93" t="s">
        <v>1625</v>
      </c>
      <c r="D287" s="284" t="s">
        <v>1626</v>
      </c>
      <c r="E287" s="295">
        <v>51.99</v>
      </c>
      <c r="F287" s="295">
        <v>51.99</v>
      </c>
      <c r="G287" s="295">
        <v>51.99</v>
      </c>
      <c r="H287" s="306"/>
    </row>
    <row r="288" spans="2:8" s="240" customFormat="1" ht="15" customHeight="1" x14ac:dyDescent="0.25">
      <c r="B288" s="95" t="s">
        <v>294</v>
      </c>
      <c r="C288" s="93" t="s">
        <v>295</v>
      </c>
      <c r="D288" s="284" t="s">
        <v>296</v>
      </c>
      <c r="E288" s="295">
        <v>46.99</v>
      </c>
      <c r="F288" s="295">
        <v>46.99</v>
      </c>
      <c r="G288" s="295">
        <v>46.99</v>
      </c>
      <c r="H288" s="306"/>
    </row>
    <row r="289" spans="2:8" s="240" customFormat="1" ht="15" customHeight="1" x14ac:dyDescent="0.25">
      <c r="B289" s="243" t="s">
        <v>1627</v>
      </c>
      <c r="C289" s="255" t="s">
        <v>1628</v>
      </c>
      <c r="D289" s="269" t="s">
        <v>1629</v>
      </c>
      <c r="E289" s="295">
        <v>40.99</v>
      </c>
      <c r="F289" s="295">
        <v>40.99</v>
      </c>
      <c r="G289" s="295">
        <v>40.99</v>
      </c>
      <c r="H289" s="306"/>
    </row>
    <row r="290" spans="2:8" s="240" customFormat="1" ht="15" customHeight="1" x14ac:dyDescent="0.25">
      <c r="B290" s="260" t="s">
        <v>1630</v>
      </c>
      <c r="C290" s="258" t="s">
        <v>1631</v>
      </c>
      <c r="D290" s="269" t="s">
        <v>1632</v>
      </c>
      <c r="E290" s="295">
        <v>33.99</v>
      </c>
      <c r="F290" s="295">
        <v>33.99</v>
      </c>
      <c r="G290" s="295">
        <v>33.99</v>
      </c>
      <c r="H290" s="306"/>
    </row>
    <row r="291" spans="2:8" s="240" customFormat="1" ht="15" customHeight="1" x14ac:dyDescent="0.25">
      <c r="B291" s="252" t="s">
        <v>1633</v>
      </c>
      <c r="C291" s="247" t="s">
        <v>1634</v>
      </c>
      <c r="D291" s="273" t="s">
        <v>1635</v>
      </c>
      <c r="E291" s="295">
        <v>19.989999999999998</v>
      </c>
      <c r="F291" s="295">
        <v>19.989999999999998</v>
      </c>
      <c r="G291" s="295">
        <v>19.989999999999998</v>
      </c>
      <c r="H291" s="306"/>
    </row>
    <row r="292" spans="2:8" s="240" customFormat="1" ht="15" customHeight="1" x14ac:dyDescent="0.25">
      <c r="B292" s="248" t="s">
        <v>1636</v>
      </c>
      <c r="C292" s="247" t="s">
        <v>1637</v>
      </c>
      <c r="D292" s="273" t="s">
        <v>1638</v>
      </c>
      <c r="E292" s="295">
        <v>107.99</v>
      </c>
      <c r="F292" s="295">
        <v>107.99</v>
      </c>
      <c r="G292" s="295">
        <v>107.99</v>
      </c>
      <c r="H292" s="306"/>
    </row>
    <row r="293" spans="2:8" s="240" customFormat="1" ht="15" customHeight="1" x14ac:dyDescent="0.25">
      <c r="B293" s="248" t="s">
        <v>1639</v>
      </c>
      <c r="C293" s="247" t="s">
        <v>1640</v>
      </c>
      <c r="D293" s="273" t="s">
        <v>1641</v>
      </c>
      <c r="E293" s="295">
        <v>36.99</v>
      </c>
      <c r="F293" s="295">
        <v>36.99</v>
      </c>
      <c r="G293" s="295">
        <v>36.99</v>
      </c>
      <c r="H293" s="306"/>
    </row>
    <row r="294" spans="2:8" s="240" customFormat="1" ht="15" customHeight="1" x14ac:dyDescent="0.25">
      <c r="B294" s="243" t="s">
        <v>1642</v>
      </c>
      <c r="C294" s="247" t="s">
        <v>1643</v>
      </c>
      <c r="D294" s="271" t="s">
        <v>1644</v>
      </c>
      <c r="E294" s="295">
        <v>27.99</v>
      </c>
      <c r="F294" s="295">
        <v>27.99</v>
      </c>
      <c r="G294" s="295">
        <v>27.99</v>
      </c>
      <c r="H294" s="306"/>
    </row>
    <row r="295" spans="2:8" s="240" customFormat="1" ht="15" customHeight="1" x14ac:dyDescent="0.25">
      <c r="B295" s="243" t="s">
        <v>1645</v>
      </c>
      <c r="C295" s="247" t="s">
        <v>1646</v>
      </c>
      <c r="D295" s="271" t="s">
        <v>1647</v>
      </c>
      <c r="E295" s="295">
        <v>36.99</v>
      </c>
      <c r="F295" s="295">
        <v>36.99</v>
      </c>
      <c r="G295" s="295">
        <v>36.99</v>
      </c>
      <c r="H295" s="306"/>
    </row>
    <row r="296" spans="2:8" s="240" customFormat="1" ht="15" customHeight="1" x14ac:dyDescent="0.25">
      <c r="B296" s="95" t="s">
        <v>300</v>
      </c>
      <c r="C296" s="93" t="s">
        <v>301</v>
      </c>
      <c r="D296" s="283" t="s">
        <v>302</v>
      </c>
      <c r="E296" s="295">
        <v>33.99</v>
      </c>
      <c r="F296" s="295">
        <v>33.99</v>
      </c>
      <c r="G296" s="295">
        <v>33.99</v>
      </c>
      <c r="H296" s="306"/>
    </row>
    <row r="297" spans="2:8" s="240" customFormat="1" ht="15" customHeight="1" x14ac:dyDescent="0.25">
      <c r="B297" s="243" t="s">
        <v>1648</v>
      </c>
      <c r="C297" s="247" t="s">
        <v>1649</v>
      </c>
      <c r="D297" s="271" t="s">
        <v>1650</v>
      </c>
      <c r="E297" s="295">
        <v>21.99</v>
      </c>
      <c r="F297" s="295">
        <v>21.99</v>
      </c>
      <c r="G297" s="295">
        <v>21.99</v>
      </c>
      <c r="H297" s="306"/>
    </row>
    <row r="298" spans="2:8" s="240" customFormat="1" ht="15" customHeight="1" x14ac:dyDescent="0.25">
      <c r="B298" s="243" t="s">
        <v>1651</v>
      </c>
      <c r="C298" s="247" t="s">
        <v>1652</v>
      </c>
      <c r="D298" s="271" t="s">
        <v>1653</v>
      </c>
      <c r="E298" s="295">
        <v>33.99</v>
      </c>
      <c r="F298" s="295">
        <v>33.99</v>
      </c>
      <c r="G298" s="295">
        <v>33.99</v>
      </c>
      <c r="H298" s="306"/>
    </row>
    <row r="299" spans="2:8" s="240" customFormat="1" ht="15" customHeight="1" x14ac:dyDescent="0.25">
      <c r="B299" s="243" t="s">
        <v>1654</v>
      </c>
      <c r="C299" s="247" t="s">
        <v>1655</v>
      </c>
      <c r="D299" s="271" t="s">
        <v>1656</v>
      </c>
      <c r="E299" s="295">
        <v>27.99</v>
      </c>
      <c r="F299" s="295">
        <v>27.99</v>
      </c>
      <c r="G299" s="295">
        <v>27.99</v>
      </c>
      <c r="H299" s="306"/>
    </row>
    <row r="300" spans="2:8" s="240" customFormat="1" ht="15" customHeight="1" x14ac:dyDescent="0.25">
      <c r="B300" s="243" t="s">
        <v>1657</v>
      </c>
      <c r="C300" s="247" t="s">
        <v>1658</v>
      </c>
      <c r="D300" s="271" t="s">
        <v>1659</v>
      </c>
      <c r="E300" s="295">
        <v>68.989999999999995</v>
      </c>
      <c r="F300" s="295">
        <v>68.989999999999995</v>
      </c>
      <c r="G300" s="295">
        <v>68.989999999999995</v>
      </c>
      <c r="H300" s="306"/>
    </row>
    <row r="301" spans="2:8" s="240" customFormat="1" ht="15" customHeight="1" x14ac:dyDescent="0.25">
      <c r="B301" s="243" t="s">
        <v>1660</v>
      </c>
      <c r="C301" s="247" t="s">
        <v>1661</v>
      </c>
      <c r="D301" s="271" t="s">
        <v>1662</v>
      </c>
      <c r="E301" s="295">
        <v>64.989999999999995</v>
      </c>
      <c r="F301" s="295">
        <v>64.989999999999995</v>
      </c>
      <c r="G301" s="295">
        <v>64.989999999999995</v>
      </c>
      <c r="H301" s="306"/>
    </row>
    <row r="302" spans="2:8" s="240" customFormat="1" ht="15" customHeight="1" x14ac:dyDescent="0.25">
      <c r="B302" s="243" t="s">
        <v>1663</v>
      </c>
      <c r="C302" s="247" t="s">
        <v>1664</v>
      </c>
      <c r="D302" s="271" t="s">
        <v>1665</v>
      </c>
      <c r="E302" s="295">
        <v>27.99</v>
      </c>
      <c r="F302" s="295">
        <v>27.99</v>
      </c>
      <c r="G302" s="295">
        <v>27.99</v>
      </c>
      <c r="H302" s="306"/>
    </row>
    <row r="303" spans="2:8" s="240" customFormat="1" ht="15" customHeight="1" x14ac:dyDescent="0.25">
      <c r="B303" s="243" t="s">
        <v>1669</v>
      </c>
      <c r="C303" s="258" t="s">
        <v>1670</v>
      </c>
      <c r="D303" s="269" t="s">
        <v>1671</v>
      </c>
      <c r="E303" s="295">
        <v>19.989999999999998</v>
      </c>
      <c r="F303" s="295">
        <v>19.989999999999998</v>
      </c>
      <c r="G303" s="295">
        <v>19.989999999999998</v>
      </c>
      <c r="H303" s="306"/>
    </row>
    <row r="304" spans="2:8" s="240" customFormat="1" ht="15" customHeight="1" x14ac:dyDescent="0.25">
      <c r="B304" s="243" t="s">
        <v>1672</v>
      </c>
      <c r="C304" s="244" t="s">
        <v>1673</v>
      </c>
      <c r="D304" s="274" t="s">
        <v>1674</v>
      </c>
      <c r="E304" s="295">
        <v>12.99</v>
      </c>
      <c r="F304" s="295">
        <v>12.99</v>
      </c>
      <c r="G304" s="295">
        <v>12.99</v>
      </c>
      <c r="H304" s="306"/>
    </row>
    <row r="305" spans="2:8" s="240" customFormat="1" ht="15" customHeight="1" x14ac:dyDescent="0.25">
      <c r="B305" s="243" t="s">
        <v>1675</v>
      </c>
      <c r="C305" s="244" t="s">
        <v>1676</v>
      </c>
      <c r="D305" s="274" t="s">
        <v>1677</v>
      </c>
      <c r="E305" s="295">
        <v>9.99</v>
      </c>
      <c r="F305" s="295">
        <v>9.99</v>
      </c>
      <c r="G305" s="295">
        <v>9.99</v>
      </c>
      <c r="H305" s="306"/>
    </row>
    <row r="306" spans="2:8" s="240" customFormat="1" ht="15" customHeight="1" x14ac:dyDescent="0.25">
      <c r="B306" s="243" t="s">
        <v>1678</v>
      </c>
      <c r="C306" s="244" t="s">
        <v>1679</v>
      </c>
      <c r="D306" s="274" t="s">
        <v>1680</v>
      </c>
      <c r="E306" s="295">
        <v>34.99</v>
      </c>
      <c r="F306" s="295">
        <v>34.99</v>
      </c>
      <c r="G306" s="295">
        <v>34.99</v>
      </c>
      <c r="H306" s="306"/>
    </row>
    <row r="307" spans="2:8" s="240" customFormat="1" ht="15" customHeight="1" x14ac:dyDescent="0.25">
      <c r="B307" s="252" t="s">
        <v>1681</v>
      </c>
      <c r="C307" s="244" t="s">
        <v>1682</v>
      </c>
      <c r="D307" s="274" t="s">
        <v>1683</v>
      </c>
      <c r="E307" s="295">
        <v>22.99</v>
      </c>
      <c r="F307" s="295">
        <v>22.99</v>
      </c>
      <c r="G307" s="295">
        <v>22.99</v>
      </c>
      <c r="H307" s="306"/>
    </row>
    <row r="308" spans="2:8" s="240" customFormat="1" ht="15" customHeight="1" x14ac:dyDescent="0.25">
      <c r="B308" s="92" t="s">
        <v>285</v>
      </c>
      <c r="C308" s="93" t="s">
        <v>286</v>
      </c>
      <c r="D308" s="283" t="s">
        <v>287</v>
      </c>
      <c r="E308" s="295">
        <v>63.99</v>
      </c>
      <c r="F308" s="295">
        <v>63.99</v>
      </c>
      <c r="G308" s="295">
        <v>63.99</v>
      </c>
      <c r="H308" s="306"/>
    </row>
    <row r="309" spans="2:8" s="240" customFormat="1" ht="15" customHeight="1" x14ac:dyDescent="0.25">
      <c r="B309" s="252" t="s">
        <v>1684</v>
      </c>
      <c r="C309" s="244" t="s">
        <v>1685</v>
      </c>
      <c r="D309" s="274" t="s">
        <v>1686</v>
      </c>
      <c r="E309" s="295">
        <v>53.99</v>
      </c>
      <c r="F309" s="295">
        <v>53.99</v>
      </c>
      <c r="G309" s="295">
        <v>53.99</v>
      </c>
      <c r="H309" s="306"/>
    </row>
    <row r="310" spans="2:8" s="240" customFormat="1" ht="15" customHeight="1" x14ac:dyDescent="0.25">
      <c r="B310" s="252" t="s">
        <v>1687</v>
      </c>
      <c r="C310" s="244" t="s">
        <v>1688</v>
      </c>
      <c r="D310" s="274" t="s">
        <v>1689</v>
      </c>
      <c r="E310" s="295">
        <v>53.99</v>
      </c>
      <c r="F310" s="295">
        <v>53.99</v>
      </c>
      <c r="G310" s="295">
        <v>53.99</v>
      </c>
      <c r="H310" s="306"/>
    </row>
    <row r="311" spans="2:8" s="240" customFormat="1" ht="15" customHeight="1" x14ac:dyDescent="0.25">
      <c r="B311" s="243" t="s">
        <v>1690</v>
      </c>
      <c r="C311" s="244" t="s">
        <v>1691</v>
      </c>
      <c r="D311" s="274" t="s">
        <v>1692</v>
      </c>
      <c r="E311" s="295">
        <v>40.99</v>
      </c>
      <c r="F311" s="295">
        <v>40.99</v>
      </c>
      <c r="G311" s="295">
        <v>40.99</v>
      </c>
      <c r="H311" s="306"/>
    </row>
    <row r="312" spans="2:8" s="240" customFormat="1" ht="15" customHeight="1" x14ac:dyDescent="0.25">
      <c r="B312" s="243" t="s">
        <v>1693</v>
      </c>
      <c r="C312" s="244" t="s">
        <v>1694</v>
      </c>
      <c r="D312" s="274" t="s">
        <v>1695</v>
      </c>
      <c r="E312" s="295">
        <v>80.989999999999995</v>
      </c>
      <c r="F312" s="295">
        <v>80.989999999999995</v>
      </c>
      <c r="G312" s="295">
        <v>80.989999999999995</v>
      </c>
      <c r="H312" s="306"/>
    </row>
    <row r="313" spans="2:8" s="240" customFormat="1" ht="15" customHeight="1" x14ac:dyDescent="0.25">
      <c r="B313" s="243" t="s">
        <v>1696</v>
      </c>
      <c r="C313" s="244" t="s">
        <v>1697</v>
      </c>
      <c r="D313" s="274" t="s">
        <v>1698</v>
      </c>
      <c r="E313" s="295">
        <v>40.99</v>
      </c>
      <c r="F313" s="295">
        <v>40.99</v>
      </c>
      <c r="G313" s="295">
        <v>40.99</v>
      </c>
      <c r="H313" s="306"/>
    </row>
    <row r="314" spans="2:8" s="240" customFormat="1" ht="15" customHeight="1" x14ac:dyDescent="0.25">
      <c r="B314" s="252" t="s">
        <v>1699</v>
      </c>
      <c r="C314" s="264" t="s">
        <v>1700</v>
      </c>
      <c r="D314" s="274" t="s">
        <v>1701</v>
      </c>
      <c r="E314" s="295">
        <v>66.989999999999995</v>
      </c>
      <c r="F314" s="295">
        <v>66.989999999999995</v>
      </c>
      <c r="G314" s="295">
        <v>66.989999999999995</v>
      </c>
      <c r="H314" s="306"/>
    </row>
    <row r="315" spans="2:8" s="240" customFormat="1" ht="15" customHeight="1" x14ac:dyDescent="0.25">
      <c r="B315" s="252" t="s">
        <v>1702</v>
      </c>
      <c r="C315" s="264" t="s">
        <v>1703</v>
      </c>
      <c r="D315" s="274" t="s">
        <v>1704</v>
      </c>
      <c r="E315" s="295">
        <v>91.99</v>
      </c>
      <c r="F315" s="295">
        <v>91.99</v>
      </c>
      <c r="G315" s="295">
        <v>91.99</v>
      </c>
      <c r="H315" s="306"/>
    </row>
    <row r="316" spans="2:8" s="240" customFormat="1" ht="15" customHeight="1" x14ac:dyDescent="0.25">
      <c r="B316" s="243" t="s">
        <v>1705</v>
      </c>
      <c r="C316" s="255" t="s">
        <v>1706</v>
      </c>
      <c r="D316" s="269" t="s">
        <v>1707</v>
      </c>
      <c r="E316" s="295">
        <v>130.99</v>
      </c>
      <c r="F316" s="295">
        <v>130.99</v>
      </c>
      <c r="G316" s="295">
        <v>130.99</v>
      </c>
      <c r="H316" s="306"/>
    </row>
    <row r="317" spans="2:8" s="240" customFormat="1" ht="15" customHeight="1" x14ac:dyDescent="0.25">
      <c r="B317" s="252" t="s">
        <v>1708</v>
      </c>
      <c r="C317" s="264" t="s">
        <v>1709</v>
      </c>
      <c r="D317" s="274" t="s">
        <v>1710</v>
      </c>
      <c r="E317" s="295">
        <v>16.989999999999998</v>
      </c>
      <c r="F317" s="295">
        <v>16.989999999999998</v>
      </c>
      <c r="G317" s="295">
        <v>16.989999999999998</v>
      </c>
      <c r="H317" s="306"/>
    </row>
    <row r="318" spans="2:8" s="240" customFormat="1" ht="15" customHeight="1" x14ac:dyDescent="0.25">
      <c r="B318" s="252" t="s">
        <v>1711</v>
      </c>
      <c r="C318" s="264" t="s">
        <v>1712</v>
      </c>
      <c r="D318" s="274" t="s">
        <v>1713</v>
      </c>
      <c r="E318" s="295">
        <v>100.99</v>
      </c>
      <c r="F318" s="295">
        <v>100.99</v>
      </c>
      <c r="G318" s="295">
        <v>100.99</v>
      </c>
      <c r="H318" s="306"/>
    </row>
    <row r="319" spans="2:8" s="240" customFormat="1" ht="15" customHeight="1" x14ac:dyDescent="0.25">
      <c r="B319" s="252" t="s">
        <v>1714</v>
      </c>
      <c r="C319" s="264" t="s">
        <v>1715</v>
      </c>
      <c r="D319" s="274" t="s">
        <v>1716</v>
      </c>
      <c r="E319" s="295">
        <v>53.99</v>
      </c>
      <c r="F319" s="295">
        <v>53.99</v>
      </c>
      <c r="G319" s="295">
        <v>53.99</v>
      </c>
      <c r="H319" s="306"/>
    </row>
    <row r="320" spans="2:8" s="240" customFormat="1" ht="15" customHeight="1" x14ac:dyDescent="0.25">
      <c r="B320" s="252" t="s">
        <v>1717</v>
      </c>
      <c r="C320" s="264" t="s">
        <v>1718</v>
      </c>
      <c r="D320" s="274" t="s">
        <v>1719</v>
      </c>
      <c r="E320" s="295">
        <v>68.989999999999995</v>
      </c>
      <c r="F320" s="295">
        <v>68.989999999999995</v>
      </c>
      <c r="G320" s="295">
        <v>68.989999999999995</v>
      </c>
      <c r="H320" s="306"/>
    </row>
    <row r="321" spans="2:8" s="240" customFormat="1" ht="15" customHeight="1" x14ac:dyDescent="0.25">
      <c r="B321" s="252" t="s">
        <v>1720</v>
      </c>
      <c r="C321" s="265" t="s">
        <v>1721</v>
      </c>
      <c r="D321" s="274" t="s">
        <v>1722</v>
      </c>
      <c r="E321" s="295">
        <v>23.99</v>
      </c>
      <c r="F321" s="295">
        <v>23.99</v>
      </c>
      <c r="G321" s="295">
        <v>23.99</v>
      </c>
      <c r="H321" s="306"/>
    </row>
    <row r="322" spans="2:8" s="240" customFormat="1" ht="15" customHeight="1" x14ac:dyDescent="0.25">
      <c r="B322" s="252" t="s">
        <v>1723</v>
      </c>
      <c r="C322" s="264" t="s">
        <v>1724</v>
      </c>
      <c r="D322" s="274" t="s">
        <v>1725</v>
      </c>
      <c r="E322" s="295">
        <v>53.99</v>
      </c>
      <c r="F322" s="295">
        <v>53.99</v>
      </c>
      <c r="G322" s="295">
        <v>53.99</v>
      </c>
      <c r="H322" s="306"/>
    </row>
    <row r="323" spans="2:8" s="240" customFormat="1" ht="15" customHeight="1" x14ac:dyDescent="0.25">
      <c r="B323" s="252" t="s">
        <v>1726</v>
      </c>
      <c r="C323" s="264" t="s">
        <v>1727</v>
      </c>
      <c r="D323" s="274" t="s">
        <v>1728</v>
      </c>
      <c r="E323" s="295">
        <v>65.989999999999995</v>
      </c>
      <c r="F323" s="295">
        <v>65.989999999999995</v>
      </c>
      <c r="G323" s="295">
        <v>65.989999999999995</v>
      </c>
      <c r="H323" s="306"/>
    </row>
    <row r="324" spans="2:8" s="240" customFormat="1" ht="15" customHeight="1" x14ac:dyDescent="0.25">
      <c r="B324" s="252" t="s">
        <v>1729</v>
      </c>
      <c r="C324" s="264" t="s">
        <v>1730</v>
      </c>
      <c r="D324" s="274" t="s">
        <v>1731</v>
      </c>
      <c r="E324" s="295">
        <v>22.99</v>
      </c>
      <c r="F324" s="295">
        <v>22.99</v>
      </c>
      <c r="G324" s="295">
        <v>22.99</v>
      </c>
      <c r="H324" s="306"/>
    </row>
    <row r="325" spans="2:8" s="240" customFormat="1" ht="15" customHeight="1" x14ac:dyDescent="0.25">
      <c r="B325" s="252" t="s">
        <v>1732</v>
      </c>
      <c r="C325" s="264" t="s">
        <v>1733</v>
      </c>
      <c r="D325" s="274" t="s">
        <v>1734</v>
      </c>
      <c r="E325" s="295">
        <v>22.99</v>
      </c>
      <c r="F325" s="295">
        <v>22.99</v>
      </c>
      <c r="G325" s="295">
        <v>22.99</v>
      </c>
      <c r="H325" s="306"/>
    </row>
    <row r="326" spans="2:8" s="240" customFormat="1" ht="15" customHeight="1" x14ac:dyDescent="0.25">
      <c r="B326" s="252" t="s">
        <v>1735</v>
      </c>
      <c r="C326" s="264" t="s">
        <v>1736</v>
      </c>
      <c r="D326" s="274" t="s">
        <v>1737</v>
      </c>
      <c r="E326" s="295">
        <v>16.989999999999998</v>
      </c>
      <c r="F326" s="295">
        <v>16.989999999999998</v>
      </c>
      <c r="G326" s="295">
        <v>16.989999999999998</v>
      </c>
      <c r="H326" s="306"/>
    </row>
    <row r="327" spans="2:8" s="240" customFormat="1" ht="15" customHeight="1" x14ac:dyDescent="0.25">
      <c r="B327" s="252" t="s">
        <v>1738</v>
      </c>
      <c r="C327" s="264" t="s">
        <v>1739</v>
      </c>
      <c r="D327" s="274" t="s">
        <v>1740</v>
      </c>
      <c r="E327" s="295">
        <v>71.989999999999995</v>
      </c>
      <c r="F327" s="295">
        <v>71.989999999999995</v>
      </c>
      <c r="G327" s="295">
        <v>71.989999999999995</v>
      </c>
      <c r="H327" s="306"/>
    </row>
    <row r="328" spans="2:8" s="240" customFormat="1" ht="15" customHeight="1" x14ac:dyDescent="0.25">
      <c r="B328" s="252" t="s">
        <v>1741</v>
      </c>
      <c r="C328" s="264" t="s">
        <v>1742</v>
      </c>
      <c r="D328" s="274" t="s">
        <v>1743</v>
      </c>
      <c r="E328" s="295">
        <v>69.989999999999995</v>
      </c>
      <c r="F328" s="295">
        <v>69.989999999999995</v>
      </c>
      <c r="G328" s="295">
        <v>69.989999999999995</v>
      </c>
      <c r="H328" s="306"/>
    </row>
    <row r="329" spans="2:8" s="240" customFormat="1" ht="15" customHeight="1" x14ac:dyDescent="0.25">
      <c r="B329" s="252" t="s">
        <v>1744</v>
      </c>
      <c r="C329" s="264" t="s">
        <v>1745</v>
      </c>
      <c r="D329" s="274" t="s">
        <v>1746</v>
      </c>
      <c r="E329" s="295">
        <v>17.989999999999998</v>
      </c>
      <c r="F329" s="295">
        <v>17.989999999999998</v>
      </c>
      <c r="G329" s="295">
        <v>17.989999999999998</v>
      </c>
      <c r="H329" s="306"/>
    </row>
    <row r="330" spans="2:8" s="240" customFormat="1" ht="15" customHeight="1" x14ac:dyDescent="0.25">
      <c r="B330" s="252" t="s">
        <v>1747</v>
      </c>
      <c r="C330" s="264" t="s">
        <v>1748</v>
      </c>
      <c r="D330" s="274" t="s">
        <v>1749</v>
      </c>
      <c r="E330" s="295">
        <v>52.99</v>
      </c>
      <c r="F330" s="295">
        <v>52.99</v>
      </c>
      <c r="G330" s="295">
        <v>52.99</v>
      </c>
      <c r="H330" s="306"/>
    </row>
    <row r="331" spans="2:8" s="240" customFormat="1" ht="15" customHeight="1" x14ac:dyDescent="0.25">
      <c r="B331" s="92" t="s">
        <v>282</v>
      </c>
      <c r="C331" s="93" t="s">
        <v>283</v>
      </c>
      <c r="D331" s="282" t="s">
        <v>284</v>
      </c>
      <c r="E331" s="295">
        <v>53.99</v>
      </c>
      <c r="F331" s="295">
        <v>53.99</v>
      </c>
      <c r="G331" s="295">
        <v>53.99</v>
      </c>
      <c r="H331" s="306"/>
    </row>
    <row r="332" spans="2:8" s="240" customFormat="1" ht="15" customHeight="1" x14ac:dyDescent="0.25">
      <c r="B332" s="252" t="s">
        <v>1750</v>
      </c>
      <c r="C332" s="247" t="s">
        <v>1751</v>
      </c>
      <c r="D332" s="273" t="s">
        <v>1752</v>
      </c>
      <c r="E332" s="295">
        <v>82.99</v>
      </c>
      <c r="F332" s="295">
        <v>82.99</v>
      </c>
      <c r="G332" s="295">
        <v>82.99</v>
      </c>
      <c r="H332" s="306"/>
    </row>
    <row r="333" spans="2:8" s="240" customFormat="1" ht="15" customHeight="1" x14ac:dyDescent="0.25">
      <c r="B333" s="252" t="s">
        <v>1753</v>
      </c>
      <c r="C333" s="247" t="s">
        <v>1754</v>
      </c>
      <c r="D333" s="273" t="s">
        <v>1755</v>
      </c>
      <c r="E333" s="295">
        <v>178.99</v>
      </c>
      <c r="F333" s="295">
        <v>178.99</v>
      </c>
      <c r="G333" s="295">
        <v>178.99</v>
      </c>
      <c r="H333" s="306"/>
    </row>
    <row r="334" spans="2:8" s="240" customFormat="1" ht="15" customHeight="1" x14ac:dyDescent="0.25">
      <c r="B334" s="252" t="s">
        <v>1756</v>
      </c>
      <c r="C334" s="247" t="s">
        <v>1757</v>
      </c>
      <c r="D334" s="273" t="s">
        <v>1758</v>
      </c>
      <c r="E334" s="295">
        <v>53.99</v>
      </c>
      <c r="F334" s="295">
        <v>53.99</v>
      </c>
      <c r="G334" s="295">
        <v>53.99</v>
      </c>
      <c r="H334" s="306"/>
    </row>
    <row r="335" spans="2:8" s="240" customFormat="1" ht="15" customHeight="1" x14ac:dyDescent="0.25">
      <c r="B335" s="252" t="s">
        <v>1759</v>
      </c>
      <c r="C335" s="247" t="s">
        <v>1694</v>
      </c>
      <c r="D335" s="273" t="s">
        <v>1760</v>
      </c>
      <c r="E335" s="295">
        <v>106.99</v>
      </c>
      <c r="F335" s="295">
        <v>106.99</v>
      </c>
      <c r="G335" s="295">
        <v>106.99</v>
      </c>
      <c r="H335" s="306"/>
    </row>
    <row r="336" spans="2:8" s="240" customFormat="1" ht="15" customHeight="1" x14ac:dyDescent="0.25">
      <c r="B336" s="252" t="s">
        <v>1761</v>
      </c>
      <c r="C336" s="247" t="s">
        <v>1762</v>
      </c>
      <c r="D336" s="273" t="s">
        <v>1763</v>
      </c>
      <c r="E336" s="295">
        <v>49.99</v>
      </c>
      <c r="F336" s="295">
        <v>49.99</v>
      </c>
      <c r="G336" s="295">
        <v>49.99</v>
      </c>
      <c r="H336" s="306"/>
    </row>
    <row r="337" spans="2:8" s="240" customFormat="1" ht="15" customHeight="1" x14ac:dyDescent="0.25">
      <c r="B337" s="252" t="s">
        <v>1764</v>
      </c>
      <c r="C337" s="247" t="s">
        <v>1765</v>
      </c>
      <c r="D337" s="273" t="s">
        <v>1766</v>
      </c>
      <c r="E337" s="295">
        <v>19.989999999999998</v>
      </c>
      <c r="F337" s="295">
        <v>19.989999999999998</v>
      </c>
      <c r="G337" s="295">
        <v>19.989999999999998</v>
      </c>
      <c r="H337" s="306"/>
    </row>
    <row r="338" spans="2:8" s="240" customFormat="1" ht="15" customHeight="1" x14ac:dyDescent="0.25">
      <c r="B338" s="252" t="s">
        <v>1767</v>
      </c>
      <c r="C338" s="247" t="s">
        <v>1768</v>
      </c>
      <c r="D338" s="273" t="s">
        <v>1769</v>
      </c>
      <c r="E338" s="295">
        <v>39.99</v>
      </c>
      <c r="F338" s="295">
        <v>39.99</v>
      </c>
      <c r="G338" s="295">
        <v>39.99</v>
      </c>
      <c r="H338" s="306"/>
    </row>
    <row r="339" spans="2:8" s="240" customFormat="1" ht="15" customHeight="1" x14ac:dyDescent="0.25">
      <c r="B339" s="252" t="s">
        <v>1770</v>
      </c>
      <c r="C339" s="247" t="s">
        <v>1771</v>
      </c>
      <c r="D339" s="273" t="s">
        <v>1772</v>
      </c>
      <c r="E339" s="295">
        <v>98.99</v>
      </c>
      <c r="F339" s="295">
        <v>98.99</v>
      </c>
      <c r="G339" s="295">
        <v>98.99</v>
      </c>
      <c r="H339" s="306"/>
    </row>
    <row r="340" spans="2:8" s="240" customFormat="1" ht="15" customHeight="1" x14ac:dyDescent="0.25">
      <c r="B340" s="252" t="s">
        <v>1773</v>
      </c>
      <c r="C340" s="247" t="s">
        <v>1774</v>
      </c>
      <c r="D340" s="273" t="s">
        <v>1775</v>
      </c>
      <c r="E340" s="295">
        <v>34.99</v>
      </c>
      <c r="F340" s="295">
        <v>34.99</v>
      </c>
      <c r="G340" s="295">
        <v>34.99</v>
      </c>
      <c r="H340" s="306"/>
    </row>
    <row r="341" spans="2:8" s="240" customFormat="1" ht="15" customHeight="1" x14ac:dyDescent="0.25">
      <c r="B341" s="248" t="s">
        <v>1776</v>
      </c>
      <c r="C341" s="244" t="s">
        <v>1777</v>
      </c>
      <c r="D341" s="272" t="s">
        <v>1778</v>
      </c>
      <c r="E341" s="295">
        <v>75.989999999999995</v>
      </c>
      <c r="F341" s="295">
        <v>75.989999999999995</v>
      </c>
      <c r="G341" s="295">
        <v>75.989999999999995</v>
      </c>
      <c r="H341" s="306"/>
    </row>
    <row r="342" spans="2:8" s="240" customFormat="1" ht="15" customHeight="1" x14ac:dyDescent="0.25">
      <c r="B342" s="252" t="s">
        <v>1779</v>
      </c>
      <c r="C342" s="247" t="s">
        <v>1780</v>
      </c>
      <c r="D342" s="273" t="s">
        <v>1781</v>
      </c>
      <c r="E342" s="295">
        <v>134.99</v>
      </c>
      <c r="F342" s="295">
        <v>134.99</v>
      </c>
      <c r="G342" s="295">
        <v>134.99</v>
      </c>
      <c r="H342" s="306"/>
    </row>
    <row r="343" spans="2:8" s="240" customFormat="1" ht="15" customHeight="1" x14ac:dyDescent="0.25">
      <c r="B343" s="252" t="s">
        <v>1782</v>
      </c>
      <c r="C343" s="247" t="s">
        <v>1783</v>
      </c>
      <c r="D343" s="273" t="s">
        <v>1784</v>
      </c>
      <c r="E343" s="295">
        <v>44.99</v>
      </c>
      <c r="F343" s="295">
        <v>44.99</v>
      </c>
      <c r="G343" s="295">
        <v>44.99</v>
      </c>
      <c r="H343" s="306"/>
    </row>
    <row r="344" spans="2:8" s="240" customFormat="1" ht="15" customHeight="1" x14ac:dyDescent="0.25">
      <c r="B344" s="252" t="s">
        <v>1785</v>
      </c>
      <c r="C344" s="247" t="s">
        <v>1786</v>
      </c>
      <c r="D344" s="273" t="s">
        <v>1787</v>
      </c>
      <c r="E344" s="295">
        <v>49.99</v>
      </c>
      <c r="F344" s="295">
        <v>49.99</v>
      </c>
      <c r="G344" s="295">
        <v>49.99</v>
      </c>
      <c r="H344" s="306"/>
    </row>
    <row r="345" spans="2:8" s="240" customFormat="1" ht="15" customHeight="1" x14ac:dyDescent="0.25">
      <c r="B345" s="252" t="s">
        <v>1788</v>
      </c>
      <c r="C345" s="247" t="s">
        <v>1789</v>
      </c>
      <c r="D345" s="273" t="s">
        <v>1790</v>
      </c>
      <c r="E345" s="295">
        <v>77.989999999999995</v>
      </c>
      <c r="F345" s="295">
        <v>77.989999999999995</v>
      </c>
      <c r="G345" s="295">
        <v>77.989999999999995</v>
      </c>
      <c r="H345" s="306"/>
    </row>
    <row r="346" spans="2:8" s="240" customFormat="1" ht="15" customHeight="1" x14ac:dyDescent="0.25">
      <c r="B346" s="252" t="s">
        <v>1791</v>
      </c>
      <c r="C346" s="247" t="s">
        <v>1792</v>
      </c>
      <c r="D346" s="273" t="s">
        <v>1793</v>
      </c>
      <c r="E346" s="295">
        <v>30.99</v>
      </c>
      <c r="F346" s="295">
        <v>30.99</v>
      </c>
      <c r="G346" s="295">
        <v>30.99</v>
      </c>
      <c r="H346" s="306"/>
    </row>
    <row r="347" spans="2:8" s="240" customFormat="1" ht="15" customHeight="1" x14ac:dyDescent="0.25">
      <c r="B347" s="252" t="s">
        <v>1794</v>
      </c>
      <c r="C347" s="247" t="s">
        <v>1795</v>
      </c>
      <c r="D347" s="273" t="s">
        <v>1796</v>
      </c>
      <c r="E347" s="295">
        <v>69.989999999999995</v>
      </c>
      <c r="F347" s="295">
        <v>69.989999999999995</v>
      </c>
      <c r="G347" s="295">
        <v>69.989999999999995</v>
      </c>
      <c r="H347" s="306"/>
    </row>
    <row r="348" spans="2:8" s="240" customFormat="1" ht="15" customHeight="1" x14ac:dyDescent="0.25">
      <c r="B348" s="252" t="s">
        <v>1797</v>
      </c>
      <c r="C348" s="247" t="s">
        <v>1798</v>
      </c>
      <c r="D348" s="273" t="s">
        <v>1799</v>
      </c>
      <c r="E348" s="295">
        <v>82.99</v>
      </c>
      <c r="F348" s="295">
        <v>82.99</v>
      </c>
      <c r="G348" s="295">
        <v>82.99</v>
      </c>
      <c r="H348" s="306"/>
    </row>
    <row r="349" spans="2:8" s="240" customFormat="1" ht="15" customHeight="1" x14ac:dyDescent="0.25">
      <c r="B349" s="252" t="s">
        <v>1800</v>
      </c>
      <c r="C349" s="264" t="s">
        <v>1801</v>
      </c>
      <c r="D349" s="273" t="s">
        <v>1802</v>
      </c>
      <c r="E349" s="295">
        <v>63.99</v>
      </c>
      <c r="F349" s="295">
        <v>63.99</v>
      </c>
      <c r="G349" s="295">
        <v>63.99</v>
      </c>
      <c r="H349" s="306"/>
    </row>
    <row r="350" spans="2:8" s="240" customFormat="1" ht="15" customHeight="1" x14ac:dyDescent="0.25">
      <c r="B350" s="252" t="s">
        <v>1803</v>
      </c>
      <c r="C350" s="264" t="s">
        <v>1804</v>
      </c>
      <c r="D350" s="273" t="s">
        <v>1805</v>
      </c>
      <c r="E350" s="295">
        <v>22.99</v>
      </c>
      <c r="F350" s="295">
        <v>22.99</v>
      </c>
      <c r="G350" s="295">
        <v>22.99</v>
      </c>
      <c r="H350" s="306"/>
    </row>
    <row r="351" spans="2:8" s="240" customFormat="1" ht="15" customHeight="1" x14ac:dyDescent="0.25">
      <c r="B351" s="252" t="s">
        <v>1806</v>
      </c>
      <c r="C351" s="264" t="s">
        <v>1807</v>
      </c>
      <c r="D351" s="273" t="s">
        <v>1808</v>
      </c>
      <c r="E351" s="295">
        <v>33.99</v>
      </c>
      <c r="F351" s="295">
        <v>33.99</v>
      </c>
      <c r="G351" s="295">
        <v>33.99</v>
      </c>
      <c r="H351" s="306"/>
    </row>
    <row r="352" spans="2:8" s="240" customFormat="1" ht="15" customHeight="1" x14ac:dyDescent="0.25">
      <c r="B352" s="252" t="s">
        <v>1809</v>
      </c>
      <c r="C352" s="247" t="s">
        <v>1810</v>
      </c>
      <c r="D352" s="273" t="s">
        <v>1811</v>
      </c>
      <c r="E352" s="295">
        <v>49.99</v>
      </c>
      <c r="F352" s="295">
        <v>49.99</v>
      </c>
      <c r="G352" s="295">
        <v>49.99</v>
      </c>
      <c r="H352" s="306"/>
    </row>
    <row r="353" spans="2:8" s="240" customFormat="1" ht="15" customHeight="1" x14ac:dyDescent="0.25">
      <c r="B353" s="252" t="s">
        <v>1812</v>
      </c>
      <c r="C353" s="247" t="s">
        <v>1813</v>
      </c>
      <c r="D353" s="273">
        <v>68254</v>
      </c>
      <c r="E353" s="295">
        <v>101.99</v>
      </c>
      <c r="F353" s="295">
        <v>101.99</v>
      </c>
      <c r="G353" s="295">
        <v>101.99</v>
      </c>
      <c r="H353" s="306"/>
    </row>
    <row r="354" spans="2:8" s="240" customFormat="1" ht="15" customHeight="1" x14ac:dyDescent="0.25">
      <c r="B354" s="266" t="s">
        <v>1814</v>
      </c>
      <c r="C354" s="255" t="s">
        <v>1815</v>
      </c>
      <c r="D354" s="281" t="s">
        <v>1816</v>
      </c>
      <c r="E354" s="295">
        <v>348.99</v>
      </c>
      <c r="F354" s="295">
        <v>348.99</v>
      </c>
      <c r="G354" s="295">
        <v>348.99</v>
      </c>
      <c r="H354" s="306"/>
    </row>
    <row r="355" spans="2:8" s="240" customFormat="1" ht="15" customHeight="1" x14ac:dyDescent="0.25">
      <c r="B355" s="243" t="s">
        <v>1817</v>
      </c>
      <c r="C355" s="255" t="s">
        <v>1818</v>
      </c>
      <c r="D355" s="269" t="s">
        <v>1819</v>
      </c>
      <c r="E355" s="295">
        <v>89.99</v>
      </c>
      <c r="F355" s="295">
        <v>89.99</v>
      </c>
      <c r="G355" s="295">
        <v>89.99</v>
      </c>
      <c r="H355" s="306"/>
    </row>
    <row r="356" spans="2:8" s="240" customFormat="1" ht="15" customHeight="1" x14ac:dyDescent="0.25">
      <c r="B356" s="246" t="s">
        <v>1820</v>
      </c>
      <c r="C356" s="255" t="s">
        <v>1821</v>
      </c>
      <c r="D356" s="269" t="s">
        <v>1822</v>
      </c>
      <c r="E356" s="295">
        <v>187.99</v>
      </c>
      <c r="F356" s="295">
        <v>187.99</v>
      </c>
      <c r="G356" s="295">
        <v>187.99</v>
      </c>
      <c r="H356" s="306"/>
    </row>
    <row r="357" spans="2:8" s="240" customFormat="1" ht="15" customHeight="1" x14ac:dyDescent="0.25">
      <c r="B357" s="266" t="s">
        <v>1826</v>
      </c>
      <c r="C357" s="258" t="s">
        <v>1827</v>
      </c>
      <c r="D357" s="269" t="s">
        <v>1828</v>
      </c>
      <c r="E357" s="295">
        <v>284.99</v>
      </c>
      <c r="F357" s="295">
        <v>284.99</v>
      </c>
      <c r="G357" s="295">
        <v>284.99</v>
      </c>
      <c r="H357" s="306"/>
    </row>
    <row r="358" spans="2:8" s="240" customFormat="1" ht="15" customHeight="1" x14ac:dyDescent="0.25">
      <c r="B358" s="243" t="s">
        <v>1829</v>
      </c>
      <c r="C358" s="255" t="s">
        <v>1830</v>
      </c>
      <c r="D358" s="269" t="s">
        <v>1831</v>
      </c>
      <c r="E358" s="295">
        <v>82.99</v>
      </c>
      <c r="F358" s="295">
        <v>82.99</v>
      </c>
      <c r="G358" s="295">
        <v>82.99</v>
      </c>
      <c r="H358" s="306"/>
    </row>
    <row r="359" spans="2:8" s="240" customFormat="1" ht="15" customHeight="1" x14ac:dyDescent="0.25">
      <c r="B359" s="246" t="s">
        <v>1832</v>
      </c>
      <c r="C359" s="255" t="s">
        <v>1833</v>
      </c>
      <c r="D359" s="269" t="s">
        <v>1834</v>
      </c>
      <c r="E359" s="295">
        <v>22.99</v>
      </c>
      <c r="F359" s="295">
        <v>22.99</v>
      </c>
      <c r="G359" s="295">
        <v>22.99</v>
      </c>
      <c r="H359" s="306"/>
    </row>
    <row r="360" spans="2:8" s="240" customFormat="1" ht="15" customHeight="1" x14ac:dyDescent="0.25">
      <c r="B360" s="246" t="s">
        <v>1835</v>
      </c>
      <c r="C360" s="255" t="s">
        <v>1836</v>
      </c>
      <c r="D360" s="269" t="s">
        <v>1837</v>
      </c>
      <c r="E360" s="295">
        <v>22.99</v>
      </c>
      <c r="F360" s="295">
        <v>22.99</v>
      </c>
      <c r="G360" s="295">
        <v>22.99</v>
      </c>
      <c r="H360" s="306"/>
    </row>
    <row r="361" spans="2:8" s="240" customFormat="1" ht="15" customHeight="1" x14ac:dyDescent="0.25">
      <c r="B361" s="246" t="s">
        <v>1838</v>
      </c>
      <c r="C361" s="255" t="s">
        <v>1839</v>
      </c>
      <c r="D361" s="281" t="s">
        <v>1840</v>
      </c>
      <c r="E361" s="295">
        <v>74.989999999999995</v>
      </c>
      <c r="F361" s="295">
        <v>74.989999999999995</v>
      </c>
      <c r="G361" s="295">
        <v>74.989999999999995</v>
      </c>
      <c r="H361" s="306"/>
    </row>
    <row r="362" spans="2:8" s="240" customFormat="1" ht="15" customHeight="1" x14ac:dyDescent="0.25">
      <c r="B362" s="246" t="s">
        <v>1841</v>
      </c>
      <c r="C362" s="255" t="s">
        <v>1842</v>
      </c>
      <c r="D362" s="269" t="s">
        <v>1843</v>
      </c>
      <c r="E362" s="295">
        <v>237.99</v>
      </c>
      <c r="F362" s="295">
        <v>237.99</v>
      </c>
      <c r="G362" s="295">
        <v>237.99</v>
      </c>
      <c r="H362" s="306"/>
    </row>
    <row r="363" spans="2:8" s="240" customFormat="1" ht="15" customHeight="1" x14ac:dyDescent="0.25">
      <c r="B363" s="97" t="s">
        <v>306</v>
      </c>
      <c r="C363" s="83" t="s">
        <v>307</v>
      </c>
      <c r="D363" s="279" t="s">
        <v>308</v>
      </c>
      <c r="E363" s="295">
        <v>40.99</v>
      </c>
      <c r="F363" s="295">
        <v>40.99</v>
      </c>
      <c r="G363" s="295">
        <v>40.99</v>
      </c>
      <c r="H363" s="306"/>
    </row>
    <row r="364" spans="2:8" s="240" customFormat="1" ht="15" customHeight="1" x14ac:dyDescent="0.25">
      <c r="B364" s="266" t="s">
        <v>1844</v>
      </c>
      <c r="C364" s="255" t="s">
        <v>1845</v>
      </c>
      <c r="D364" s="281" t="s">
        <v>1846</v>
      </c>
      <c r="E364" s="295">
        <v>66.989999999999995</v>
      </c>
      <c r="F364" s="295">
        <v>66.989999999999995</v>
      </c>
      <c r="G364" s="295">
        <v>66.989999999999995</v>
      </c>
      <c r="H364" s="306"/>
    </row>
    <row r="365" spans="2:8" s="240" customFormat="1" ht="15" customHeight="1" x14ac:dyDescent="0.25">
      <c r="B365" s="266" t="s">
        <v>1847</v>
      </c>
      <c r="C365" s="255" t="s">
        <v>1848</v>
      </c>
      <c r="D365" s="281" t="s">
        <v>1849</v>
      </c>
      <c r="E365" s="295">
        <v>27.99</v>
      </c>
      <c r="F365" s="295">
        <v>27.99</v>
      </c>
      <c r="G365" s="295">
        <v>27.99</v>
      </c>
      <c r="H365" s="306"/>
    </row>
    <row r="366" spans="2:8" s="240" customFormat="1" ht="15" customHeight="1" x14ac:dyDescent="0.25">
      <c r="B366" s="243" t="s">
        <v>1850</v>
      </c>
      <c r="C366" s="93" t="s">
        <v>1851</v>
      </c>
      <c r="D366" s="279" t="s">
        <v>1852</v>
      </c>
      <c r="E366" s="295">
        <v>116.99</v>
      </c>
      <c r="F366" s="295">
        <v>116.99</v>
      </c>
      <c r="G366" s="295">
        <v>116.99</v>
      </c>
      <c r="H366" s="306"/>
    </row>
    <row r="367" spans="2:8" s="240" customFormat="1" ht="15" customHeight="1" x14ac:dyDescent="0.25">
      <c r="B367" s="243" t="s">
        <v>1853</v>
      </c>
      <c r="C367" s="93" t="s">
        <v>1854</v>
      </c>
      <c r="D367" s="279" t="s">
        <v>1855</v>
      </c>
      <c r="E367" s="295">
        <v>106.99</v>
      </c>
      <c r="F367" s="295">
        <v>106.99</v>
      </c>
      <c r="G367" s="295">
        <v>106.99</v>
      </c>
      <c r="H367" s="306"/>
    </row>
    <row r="368" spans="2:8" s="240" customFormat="1" ht="15" customHeight="1" x14ac:dyDescent="0.25">
      <c r="B368" s="248" t="s">
        <v>1856</v>
      </c>
      <c r="C368" s="244" t="s">
        <v>1857</v>
      </c>
      <c r="D368" s="272" t="s">
        <v>1858</v>
      </c>
      <c r="E368" s="295">
        <v>45.99</v>
      </c>
      <c r="F368" s="295">
        <v>45.99</v>
      </c>
      <c r="G368" s="295">
        <v>45.99</v>
      </c>
      <c r="H368" s="306"/>
    </row>
    <row r="369" spans="2:8" s="240" customFormat="1" ht="15" customHeight="1" x14ac:dyDescent="0.25">
      <c r="B369" s="248" t="s">
        <v>1859</v>
      </c>
      <c r="C369" s="244" t="s">
        <v>1860</v>
      </c>
      <c r="D369" s="272" t="s">
        <v>1861</v>
      </c>
      <c r="E369" s="295">
        <v>74.989999999999995</v>
      </c>
      <c r="F369" s="295">
        <v>74.989999999999995</v>
      </c>
      <c r="G369" s="295">
        <v>74.989999999999995</v>
      </c>
      <c r="H369" s="306"/>
    </row>
    <row r="370" spans="2:8" s="240" customFormat="1" ht="15" customHeight="1" x14ac:dyDescent="0.25">
      <c r="B370" s="248" t="s">
        <v>1862</v>
      </c>
      <c r="C370" s="244" t="s">
        <v>1863</v>
      </c>
      <c r="D370" s="272" t="s">
        <v>1864</v>
      </c>
      <c r="E370" s="295">
        <v>53.99</v>
      </c>
      <c r="F370" s="295">
        <v>53.99</v>
      </c>
      <c r="G370" s="295">
        <v>53.99</v>
      </c>
      <c r="H370" s="306"/>
    </row>
    <row r="371" spans="2:8" s="240" customFormat="1" ht="15" customHeight="1" x14ac:dyDescent="0.25">
      <c r="B371" s="248" t="s">
        <v>1865</v>
      </c>
      <c r="C371" s="244" t="s">
        <v>1866</v>
      </c>
      <c r="D371" s="272" t="s">
        <v>1867</v>
      </c>
      <c r="E371" s="295">
        <v>56.99</v>
      </c>
      <c r="F371" s="295">
        <v>56.99</v>
      </c>
      <c r="G371" s="295">
        <v>56.99</v>
      </c>
      <c r="H371" s="306"/>
    </row>
    <row r="372" spans="2:8" s="240" customFormat="1" ht="15" customHeight="1" x14ac:dyDescent="0.25">
      <c r="B372" s="243" t="s">
        <v>1868</v>
      </c>
      <c r="C372" s="244" t="s">
        <v>1869</v>
      </c>
      <c r="D372" s="272" t="s">
        <v>1870</v>
      </c>
      <c r="E372" s="295">
        <v>89.99</v>
      </c>
      <c r="F372" s="295">
        <v>89.99</v>
      </c>
      <c r="G372" s="295">
        <v>89.99</v>
      </c>
      <c r="H372" s="306"/>
    </row>
    <row r="373" spans="2:8" s="240" customFormat="1" ht="15" customHeight="1" x14ac:dyDescent="0.25">
      <c r="B373" s="243" t="s">
        <v>1871</v>
      </c>
      <c r="C373" s="244" t="s">
        <v>1872</v>
      </c>
      <c r="D373" s="272" t="s">
        <v>1873</v>
      </c>
      <c r="E373" s="295">
        <v>65.989999999999995</v>
      </c>
      <c r="F373" s="295">
        <v>65.989999999999995</v>
      </c>
      <c r="G373" s="295">
        <v>65.989999999999995</v>
      </c>
      <c r="H373" s="306"/>
    </row>
    <row r="374" spans="2:8" s="240" customFormat="1" ht="15" customHeight="1" x14ac:dyDescent="0.25">
      <c r="B374" s="248" t="s">
        <v>1874</v>
      </c>
      <c r="C374" s="244" t="s">
        <v>1875</v>
      </c>
      <c r="D374" s="272" t="s">
        <v>1876</v>
      </c>
      <c r="E374" s="295">
        <v>178.99</v>
      </c>
      <c r="F374" s="295">
        <v>178.99</v>
      </c>
      <c r="G374" s="295">
        <v>178.99</v>
      </c>
      <c r="H374" s="306"/>
    </row>
    <row r="375" spans="2:8" s="240" customFormat="1" ht="15" customHeight="1" x14ac:dyDescent="0.25">
      <c r="B375" s="243" t="s">
        <v>1877</v>
      </c>
      <c r="C375" s="244" t="s">
        <v>1878</v>
      </c>
      <c r="D375" s="272" t="s">
        <v>1879</v>
      </c>
      <c r="E375" s="295">
        <v>193.99</v>
      </c>
      <c r="F375" s="295">
        <v>193.99</v>
      </c>
      <c r="G375" s="295">
        <v>193.99</v>
      </c>
      <c r="H375" s="306"/>
    </row>
    <row r="376" spans="2:8" s="240" customFormat="1" ht="15" customHeight="1" x14ac:dyDescent="0.25">
      <c r="B376" s="243" t="s">
        <v>1880</v>
      </c>
      <c r="C376" s="244" t="s">
        <v>1881</v>
      </c>
      <c r="D376" s="272" t="s">
        <v>1882</v>
      </c>
      <c r="E376" s="295">
        <v>96.99</v>
      </c>
      <c r="F376" s="295">
        <v>96.99</v>
      </c>
      <c r="G376" s="295">
        <v>96.99</v>
      </c>
      <c r="H376" s="306"/>
    </row>
    <row r="377" spans="2:8" s="240" customFormat="1" ht="15" customHeight="1" x14ac:dyDescent="0.25">
      <c r="B377" s="243" t="s">
        <v>1883</v>
      </c>
      <c r="C377" s="244" t="s">
        <v>1884</v>
      </c>
      <c r="D377" s="272" t="s">
        <v>1885</v>
      </c>
      <c r="E377" s="295">
        <v>252.99</v>
      </c>
      <c r="F377" s="295">
        <v>252.99</v>
      </c>
      <c r="G377" s="295">
        <v>252.99</v>
      </c>
      <c r="H377" s="306"/>
    </row>
    <row r="378" spans="2:8" s="240" customFormat="1" ht="15" customHeight="1" x14ac:dyDescent="0.25">
      <c r="B378" s="243" t="s">
        <v>1886</v>
      </c>
      <c r="C378" s="244" t="s">
        <v>1887</v>
      </c>
      <c r="D378" s="272" t="s">
        <v>1888</v>
      </c>
      <c r="E378" s="295">
        <v>116.99</v>
      </c>
      <c r="F378" s="295">
        <v>116.99</v>
      </c>
      <c r="G378" s="295">
        <v>116.99</v>
      </c>
      <c r="H378" s="306"/>
    </row>
    <row r="379" spans="2:8" s="240" customFormat="1" ht="15" customHeight="1" x14ac:dyDescent="0.25">
      <c r="B379" s="243" t="s">
        <v>1889</v>
      </c>
      <c r="C379" s="244" t="s">
        <v>1890</v>
      </c>
      <c r="D379" s="272" t="s">
        <v>1891</v>
      </c>
      <c r="E379" s="295">
        <v>94.99</v>
      </c>
      <c r="F379" s="295">
        <v>94.99</v>
      </c>
      <c r="G379" s="295">
        <v>94.99</v>
      </c>
      <c r="H379" s="306"/>
    </row>
    <row r="380" spans="2:8" s="240" customFormat="1" ht="15" customHeight="1" x14ac:dyDescent="0.25">
      <c r="B380" s="243" t="s">
        <v>1892</v>
      </c>
      <c r="C380" s="244" t="s">
        <v>1893</v>
      </c>
      <c r="D380" s="272" t="s">
        <v>1894</v>
      </c>
      <c r="E380" s="295">
        <v>135.99</v>
      </c>
      <c r="F380" s="295">
        <v>135.99</v>
      </c>
      <c r="G380" s="295">
        <v>135.99</v>
      </c>
      <c r="H380" s="306"/>
    </row>
    <row r="381" spans="2:8" s="240" customFormat="1" ht="15" customHeight="1" x14ac:dyDescent="0.25">
      <c r="B381" s="243" t="s">
        <v>1895</v>
      </c>
      <c r="C381" s="244" t="s">
        <v>1896</v>
      </c>
      <c r="D381" s="272" t="s">
        <v>1897</v>
      </c>
      <c r="E381" s="295">
        <v>45.99</v>
      </c>
      <c r="F381" s="295">
        <v>45.99</v>
      </c>
      <c r="G381" s="295">
        <v>45.99</v>
      </c>
      <c r="H381" s="306"/>
    </row>
    <row r="382" spans="2:8" s="240" customFormat="1" ht="15" customHeight="1" x14ac:dyDescent="0.25">
      <c r="B382" s="243" t="s">
        <v>1898</v>
      </c>
      <c r="C382" s="244" t="s">
        <v>1899</v>
      </c>
      <c r="D382" s="272" t="s">
        <v>1900</v>
      </c>
      <c r="E382" s="295">
        <v>94.99</v>
      </c>
      <c r="F382" s="295">
        <v>94.99</v>
      </c>
      <c r="G382" s="295">
        <v>94.99</v>
      </c>
      <c r="H382" s="306"/>
    </row>
    <row r="383" spans="2:8" s="240" customFormat="1" ht="15" customHeight="1" x14ac:dyDescent="0.25">
      <c r="B383" s="243" t="s">
        <v>1901</v>
      </c>
      <c r="C383" s="244" t="s">
        <v>1902</v>
      </c>
      <c r="D383" s="272" t="s">
        <v>1903</v>
      </c>
      <c r="E383" s="295">
        <v>126.99</v>
      </c>
      <c r="F383" s="295">
        <v>126.99</v>
      </c>
      <c r="G383" s="295">
        <v>126.99</v>
      </c>
      <c r="H383" s="306"/>
    </row>
    <row r="384" spans="2:8" s="240" customFormat="1" ht="15" customHeight="1" x14ac:dyDescent="0.25">
      <c r="B384" s="248" t="s">
        <v>1904</v>
      </c>
      <c r="C384" s="244" t="s">
        <v>1905</v>
      </c>
      <c r="D384" s="272" t="s">
        <v>1906</v>
      </c>
      <c r="E384" s="295">
        <v>118.99</v>
      </c>
      <c r="F384" s="295">
        <v>118.99</v>
      </c>
      <c r="G384" s="295">
        <v>118.99</v>
      </c>
      <c r="H384" s="306"/>
    </row>
    <row r="385" spans="2:8" s="240" customFormat="1" ht="15" customHeight="1" x14ac:dyDescent="0.25">
      <c r="B385" s="243" t="s">
        <v>1907</v>
      </c>
      <c r="C385" s="244" t="s">
        <v>1908</v>
      </c>
      <c r="D385" s="272" t="s">
        <v>1909</v>
      </c>
      <c r="E385" s="295">
        <v>126.99</v>
      </c>
      <c r="F385" s="295">
        <v>126.99</v>
      </c>
      <c r="G385" s="295">
        <v>126.99</v>
      </c>
      <c r="H385" s="306"/>
    </row>
    <row r="386" spans="2:8" s="240" customFormat="1" ht="15" customHeight="1" x14ac:dyDescent="0.25">
      <c r="B386" s="245"/>
      <c r="C386" s="245"/>
      <c r="D386" s="245"/>
      <c r="E386" s="297"/>
      <c r="F386" s="297"/>
      <c r="G386" s="297"/>
      <c r="H386" s="306"/>
    </row>
    <row r="387" spans="2:8" s="240" customFormat="1" ht="15" customHeight="1" x14ac:dyDescent="0.25">
      <c r="B387" s="245"/>
      <c r="C387" s="245"/>
      <c r="D387" s="245"/>
      <c r="E387" s="297"/>
      <c r="F387" s="297"/>
      <c r="G387" s="297"/>
      <c r="H387" s="306"/>
    </row>
    <row r="388" spans="2:8" s="240" customFormat="1" ht="15" customHeight="1" x14ac:dyDescent="0.25">
      <c r="B388" s="245"/>
      <c r="C388" s="245"/>
      <c r="D388" s="245"/>
      <c r="E388" s="297"/>
      <c r="F388" s="297"/>
      <c r="G388" s="297"/>
      <c r="H388" s="306"/>
    </row>
    <row r="389" spans="2:8" s="267" customFormat="1" ht="12.75" x14ac:dyDescent="0.2">
      <c r="H389" s="306"/>
    </row>
    <row r="390" spans="2:8" x14ac:dyDescent="0.25">
      <c r="H390" s="306"/>
    </row>
  </sheetData>
  <mergeCells count="5">
    <mergeCell ref="B4:C4"/>
    <mergeCell ref="B14:C14"/>
    <mergeCell ref="B67:C67"/>
    <mergeCell ref="B128:C128"/>
    <mergeCell ref="B147:C147"/>
  </mergeCells>
  <pageMargins left="0.7" right="0.7" top="0.75" bottom="0.75" header="0.3" footer="0.3"/>
  <pageSetup orientation="portrait" r:id="rId1"/>
  <ignoredErrors>
    <ignoredError sqref="B144:B145 B137 B204:B205 B197" twoDigitTextYea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4CFA-A9AC-44B3-935A-9A5ED2CE43FC}">
  <dimension ref="B1:AJ367"/>
  <sheetViews>
    <sheetView zoomScaleNormal="100" workbookViewId="0">
      <pane ySplit="2" topLeftCell="A3" activePane="bottomLeft" state="frozen"/>
      <selection activeCell="A2" sqref="A2"/>
      <selection pane="bottomLeft" activeCell="V95" sqref="V95"/>
    </sheetView>
  </sheetViews>
  <sheetFormatPr defaultColWidth="9.140625" defaultRowHeight="15" x14ac:dyDescent="0.25"/>
  <cols>
    <col min="1" max="1" width="2.7109375" style="2" customWidth="1"/>
    <col min="2" max="2" width="11.7109375" style="2" customWidth="1"/>
    <col min="3" max="3" width="59.28515625" style="2" customWidth="1"/>
    <col min="4" max="4" width="14.85546875" style="2" hidden="1" customWidth="1"/>
    <col min="5" max="5" width="6" style="2" hidden="1" customWidth="1"/>
    <col min="6" max="6" width="8.42578125" style="2" hidden="1" customWidth="1"/>
    <col min="7" max="7" width="9.5703125" style="2" bestFit="1" customWidth="1"/>
    <col min="8" max="8" width="8.28515625" style="2" bestFit="1" customWidth="1"/>
    <col min="9" max="9" width="9.4257812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2578125" style="172" bestFit="1" customWidth="1"/>
    <col min="14" max="14" width="17.2851562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8515625" style="4" customWidth="1"/>
    <col min="20" max="20" width="10.85546875" style="4" bestFit="1" customWidth="1"/>
    <col min="21" max="21" width="9.28515625" style="4" bestFit="1" customWidth="1"/>
    <col min="22" max="22" width="8" style="4" bestFit="1" customWidth="1"/>
    <col min="23" max="23" width="9.4257812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5546875" style="2" customWidth="1"/>
    <col min="28" max="28" width="10.42578125" style="8" customWidth="1"/>
    <col min="29" max="30" width="12" style="8" customWidth="1"/>
    <col min="31" max="31" width="11.42578125" style="8" customWidth="1"/>
    <col min="32" max="32" width="9.8554687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8515625" style="8" customWidth="1"/>
    <col min="37" max="16384" width="9.140625" style="2"/>
  </cols>
  <sheetData>
    <row r="1" spans="2:36" ht="60" customHeight="1" x14ac:dyDescent="0.25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5" t="s">
        <v>858</v>
      </c>
      <c r="X1" s="315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 x14ac:dyDescent="0.25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 x14ac:dyDescent="0.25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3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ht="15" customHeight="1" x14ac:dyDescent="0.25">
      <c r="B4" s="312" t="s">
        <v>15</v>
      </c>
      <c r="C4" s="313"/>
      <c r="D4" s="21"/>
      <c r="E4" s="21"/>
      <c r="F4" s="21"/>
      <c r="G4" s="22"/>
      <c r="H4" s="22"/>
      <c r="I4" s="23"/>
      <c r="J4" s="23"/>
      <c r="K4" s="214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 x14ac:dyDescent="0.25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>H5*0.9</f>
        <v>63.018000000000001</v>
      </c>
      <c r="H5" s="28">
        <v>70.02</v>
      </c>
      <c r="I5" s="28">
        <v>99.99</v>
      </c>
      <c r="J5" s="41">
        <v>89.99</v>
      </c>
      <c r="K5" s="215"/>
      <c r="L5" s="29">
        <f t="shared" ref="L5:L7" si="0">(J5/I5)-1</f>
        <v>-0.10001000100010005</v>
      </c>
      <c r="M5" s="199">
        <v>89.99</v>
      </c>
      <c r="N5" s="31">
        <f>M5*0.78</f>
        <v>70.1922</v>
      </c>
      <c r="O5" s="31">
        <f>N5/0.7</f>
        <v>100.27457142857143</v>
      </c>
      <c r="P5" s="31">
        <f>N5*0.9</f>
        <v>63.172980000000003</v>
      </c>
      <c r="Q5" s="32"/>
      <c r="R5" s="174">
        <v>23.88</v>
      </c>
      <c r="S5" s="174"/>
      <c r="T5" s="176">
        <f>(W5-R5)/W5</f>
        <v>0.67519484228995807</v>
      </c>
      <c r="U5" s="175">
        <f t="shared" ref="U5:U34" si="1">I5</f>
        <v>99.99</v>
      </c>
      <c r="V5" s="175">
        <v>104.99</v>
      </c>
      <c r="W5" s="175">
        <f t="shared" ref="W5:W19" si="2">H5*1.05</f>
        <v>73.521000000000001</v>
      </c>
      <c r="X5" s="175">
        <f>W5*0.9</f>
        <v>66.168900000000008</v>
      </c>
      <c r="Y5" s="180">
        <f>(U5-W5)/U5</f>
        <v>0.26471647164716466</v>
      </c>
      <c r="Z5" s="184">
        <f>(V5-W5)/V5</f>
        <v>0.29973330793408892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 x14ac:dyDescent="0.25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t="shared" ref="G6:G34" si="3">H6*0.9</f>
        <v>55.484999999999999</v>
      </c>
      <c r="H6" s="36">
        <v>61.65</v>
      </c>
      <c r="I6" s="36">
        <v>89.99</v>
      </c>
      <c r="J6" s="41">
        <v>79.989999999999995</v>
      </c>
      <c r="K6" s="215"/>
      <c r="L6" s="29">
        <f t="shared" si="0"/>
        <v>-0.11112345816201796</v>
      </c>
      <c r="M6" s="199">
        <v>79.989999999999995</v>
      </c>
      <c r="N6" s="31">
        <f t="shared" ref="N6:N69" si="4">M6*0.78</f>
        <v>62.392199999999995</v>
      </c>
      <c r="O6" s="31">
        <f t="shared" ref="O6:O69" si="5">N6/0.7</f>
        <v>89.131714285714281</v>
      </c>
      <c r="P6" s="31">
        <f t="shared" ref="P6:P69" si="6">N6*0.9</f>
        <v>56.152979999999999</v>
      </c>
      <c r="R6" s="174">
        <v>21.010999999999999</v>
      </c>
      <c r="S6" s="174"/>
      <c r="T6" s="176">
        <f>(W6-R6)/W6</f>
        <v>0.67541806665894266</v>
      </c>
      <c r="U6" s="175">
        <f t="shared" si="1"/>
        <v>89.99</v>
      </c>
      <c r="V6" s="175">
        <v>92.99</v>
      </c>
      <c r="W6" s="175">
        <f t="shared" si="2"/>
        <v>64.732500000000002</v>
      </c>
      <c r="X6" s="175">
        <f t="shared" ref="X6:X69" si="7">W6*0.9</f>
        <v>58.259250000000002</v>
      </c>
      <c r="Y6" s="180">
        <f t="shared" ref="Y6:Y69" si="8">(U6-W6)/U6</f>
        <v>0.28067007445271691</v>
      </c>
      <c r="Z6" s="184">
        <f t="shared" ref="Z6:Z34" si="9">(V6-W6)/V6</f>
        <v>0.30387676094203669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 x14ac:dyDescent="0.25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t="shared" si="3"/>
        <v>48.906000000000006</v>
      </c>
      <c r="H7" s="36">
        <v>54.34</v>
      </c>
      <c r="I7" s="36">
        <v>79.989999999999995</v>
      </c>
      <c r="J7" s="41">
        <v>69.989999999999995</v>
      </c>
      <c r="K7" s="215"/>
      <c r="L7" s="29">
        <f t="shared" si="0"/>
        <v>-0.12501562695336921</v>
      </c>
      <c r="M7" s="199">
        <v>69.989999999999995</v>
      </c>
      <c r="N7" s="31">
        <f t="shared" si="4"/>
        <v>54.592199999999998</v>
      </c>
      <c r="O7" s="31">
        <f t="shared" si="5"/>
        <v>77.988857142857142</v>
      </c>
      <c r="P7" s="31">
        <f t="shared" si="6"/>
        <v>49.132979999999996</v>
      </c>
      <c r="R7" s="174">
        <v>21.010999999999999</v>
      </c>
      <c r="S7" s="174"/>
      <c r="T7" s="176">
        <f t="shared" ref="T7:T34" si="10">(W7-R7)/W7</f>
        <v>0.63175421070157911</v>
      </c>
      <c r="U7" s="175">
        <f t="shared" si="1"/>
        <v>79.989999999999995</v>
      </c>
      <c r="V7" s="175">
        <v>81.99</v>
      </c>
      <c r="W7" s="175">
        <f t="shared" si="2"/>
        <v>57.057000000000009</v>
      </c>
      <c r="X7" s="175">
        <f t="shared" si="7"/>
        <v>51.351300000000009</v>
      </c>
      <c r="Y7" s="180">
        <f t="shared" si="8"/>
        <v>0.28669833729216138</v>
      </c>
      <c r="Z7" s="184">
        <f t="shared" si="9"/>
        <v>0.30409806073911438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 x14ac:dyDescent="0.25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t="shared" si="3"/>
        <v>39.501000000000005</v>
      </c>
      <c r="H8" s="36">
        <v>43.89</v>
      </c>
      <c r="I8" s="36">
        <v>79.989999999999995</v>
      </c>
      <c r="J8" s="41">
        <v>64.989999999999995</v>
      </c>
      <c r="K8" s="215"/>
      <c r="L8" s="29">
        <f>(J8/I8)-1</f>
        <v>-0.18752344043005376</v>
      </c>
      <c r="M8" s="198">
        <v>59.99</v>
      </c>
      <c r="N8" s="31">
        <f t="shared" si="4"/>
        <v>46.792200000000001</v>
      </c>
      <c r="O8" s="31">
        <f t="shared" si="5"/>
        <v>66.846000000000004</v>
      </c>
      <c r="P8" s="31">
        <f t="shared" si="6"/>
        <v>42.11298</v>
      </c>
      <c r="R8" s="174">
        <v>17.125</v>
      </c>
      <c r="S8" s="174"/>
      <c r="T8" s="176">
        <f t="shared" si="10"/>
        <v>0.62840000433985399</v>
      </c>
      <c r="U8" s="175">
        <f t="shared" si="1"/>
        <v>79.989999999999995</v>
      </c>
      <c r="V8" s="175">
        <v>65.989999999999995</v>
      </c>
      <c r="W8" s="175">
        <f t="shared" si="2"/>
        <v>46.084500000000006</v>
      </c>
      <c r="X8" s="175">
        <f t="shared" si="7"/>
        <v>41.476050000000008</v>
      </c>
      <c r="Y8" s="191">
        <f t="shared" si="8"/>
        <v>0.42387173396674571</v>
      </c>
      <c r="Z8" s="184">
        <f t="shared" si="9"/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 x14ac:dyDescent="0.25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t="shared" si="3"/>
        <v>30.770999999999997</v>
      </c>
      <c r="H9" s="36">
        <v>34.19</v>
      </c>
      <c r="I9" s="36">
        <v>59.99</v>
      </c>
      <c r="J9" s="41">
        <v>48.99</v>
      </c>
      <c r="K9" s="215"/>
      <c r="L9" s="29">
        <f t="shared" ref="L9:L10" si="11">(J9/I9)-1</f>
        <v>-0.18336389398233033</v>
      </c>
      <c r="M9" s="198">
        <v>49.99</v>
      </c>
      <c r="N9" s="31">
        <f t="shared" si="4"/>
        <v>38.992200000000004</v>
      </c>
      <c r="O9" s="31">
        <f t="shared" si="5"/>
        <v>55.703142857142865</v>
      </c>
      <c r="P9" s="31">
        <f t="shared" si="6"/>
        <v>35.092980000000004</v>
      </c>
      <c r="R9" s="174">
        <v>16.007000000000001</v>
      </c>
      <c r="S9" s="174"/>
      <c r="T9" s="176">
        <f t="shared" si="10"/>
        <v>0.55411635259544001</v>
      </c>
      <c r="U9" s="175">
        <f t="shared" si="1"/>
        <v>59.99</v>
      </c>
      <c r="V9" s="175">
        <v>50.99</v>
      </c>
      <c r="W9" s="175">
        <f t="shared" si="2"/>
        <v>35.899499999999996</v>
      </c>
      <c r="X9" s="175">
        <f t="shared" si="7"/>
        <v>32.309549999999994</v>
      </c>
      <c r="Y9" s="176">
        <f t="shared" si="8"/>
        <v>0.40157526254375736</v>
      </c>
      <c r="Z9" s="184">
        <f t="shared" si="9"/>
        <v>0.29595018631104147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 x14ac:dyDescent="0.25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t="shared" si="3"/>
        <v>29.016000000000002</v>
      </c>
      <c r="H10" s="36">
        <v>32.24</v>
      </c>
      <c r="I10" s="36">
        <v>49.99</v>
      </c>
      <c r="J10" s="41">
        <v>43.99</v>
      </c>
      <c r="K10" s="215"/>
      <c r="L10" s="29">
        <f t="shared" si="11"/>
        <v>-0.1200240048009602</v>
      </c>
      <c r="M10" s="198">
        <v>39.99</v>
      </c>
      <c r="N10" s="31">
        <f t="shared" si="4"/>
        <v>31.192200000000003</v>
      </c>
      <c r="O10" s="31">
        <f t="shared" si="5"/>
        <v>44.560285714285719</v>
      </c>
      <c r="P10" s="31">
        <f t="shared" si="6"/>
        <v>28.072980000000005</v>
      </c>
      <c r="R10" s="174">
        <v>15.696999999999999</v>
      </c>
      <c r="S10" s="174"/>
      <c r="T10" s="176">
        <f t="shared" si="10"/>
        <v>0.53630509275670579</v>
      </c>
      <c r="U10" s="175">
        <f t="shared" si="1"/>
        <v>49.99</v>
      </c>
      <c r="V10" s="175">
        <v>48.99</v>
      </c>
      <c r="W10" s="175">
        <f t="shared" si="2"/>
        <v>33.852000000000004</v>
      </c>
      <c r="X10" s="175">
        <f t="shared" si="7"/>
        <v>30.466800000000003</v>
      </c>
      <c r="Y10" s="176">
        <f t="shared" si="8"/>
        <v>0.32282456491298256</v>
      </c>
      <c r="Z10" s="184">
        <f t="shared" si="9"/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 x14ac:dyDescent="0.25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t="shared" si="3"/>
        <v>28.35</v>
      </c>
      <c r="H11" s="194">
        <v>31.5</v>
      </c>
      <c r="I11" s="41">
        <v>49.99</v>
      </c>
      <c r="J11" s="41">
        <v>49.99</v>
      </c>
      <c r="K11" s="215"/>
      <c r="L11" s="14"/>
      <c r="M11" s="197"/>
      <c r="N11" s="31">
        <f t="shared" si="4"/>
        <v>0</v>
      </c>
      <c r="O11" s="31">
        <f t="shared" si="5"/>
        <v>0</v>
      </c>
      <c r="P11" s="31">
        <f t="shared" si="6"/>
        <v>0</v>
      </c>
      <c r="R11" s="174">
        <v>12.095000000000001</v>
      </c>
      <c r="S11" s="174"/>
      <c r="T11" s="176">
        <f t="shared" si="10"/>
        <v>0.63431594860166296</v>
      </c>
      <c r="U11" s="175">
        <f t="shared" si="1"/>
        <v>49.99</v>
      </c>
      <c r="V11" s="175"/>
      <c r="W11" s="175">
        <f t="shared" si="2"/>
        <v>33.075000000000003</v>
      </c>
      <c r="X11" s="175">
        <f t="shared" si="7"/>
        <v>29.767500000000002</v>
      </c>
      <c r="Y11" s="180">
        <f t="shared" si="8"/>
        <v>0.33836767353470693</v>
      </c>
      <c r="Z11" s="184" t="e">
        <f t="shared" si="9"/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 x14ac:dyDescent="0.25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t="shared" si="3"/>
        <v>26.064</v>
      </c>
      <c r="H12" s="194">
        <v>28.96</v>
      </c>
      <c r="I12" s="41">
        <v>45.99</v>
      </c>
      <c r="J12" s="41">
        <v>45.99</v>
      </c>
      <c r="K12" s="215"/>
      <c r="L12" s="14"/>
      <c r="M12" s="197"/>
      <c r="N12" s="31">
        <f t="shared" si="4"/>
        <v>0</v>
      </c>
      <c r="O12" s="31">
        <f t="shared" si="5"/>
        <v>0</v>
      </c>
      <c r="P12" s="31">
        <f t="shared" si="6"/>
        <v>0</v>
      </c>
      <c r="R12" s="174">
        <v>9.0939999999999994</v>
      </c>
      <c r="S12" s="174"/>
      <c r="T12" s="176">
        <f t="shared" si="10"/>
        <v>0.70093396474611946</v>
      </c>
      <c r="U12" s="175">
        <f t="shared" si="1"/>
        <v>45.99</v>
      </c>
      <c r="V12" s="175"/>
      <c r="W12" s="175">
        <f t="shared" si="2"/>
        <v>30.408000000000001</v>
      </c>
      <c r="X12" s="175">
        <f t="shared" si="7"/>
        <v>27.3672</v>
      </c>
      <c r="Y12" s="180">
        <f t="shared" si="8"/>
        <v>0.33881278538812787</v>
      </c>
      <c r="Z12" s="184" t="e">
        <f t="shared" si="9"/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 x14ac:dyDescent="0.25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t="shared" si="3"/>
        <v>23.805</v>
      </c>
      <c r="H13" s="194">
        <v>26.45</v>
      </c>
      <c r="I13" s="41">
        <v>41.99</v>
      </c>
      <c r="J13" s="41">
        <v>41.99</v>
      </c>
      <c r="K13" s="215"/>
      <c r="L13" s="14"/>
      <c r="M13" s="197"/>
      <c r="N13" s="31">
        <f t="shared" si="4"/>
        <v>0</v>
      </c>
      <c r="O13" s="31">
        <f t="shared" si="5"/>
        <v>0</v>
      </c>
      <c r="P13" s="31">
        <f t="shared" si="6"/>
        <v>0</v>
      </c>
      <c r="R13" s="174">
        <v>7.5027999999999997</v>
      </c>
      <c r="S13" s="174"/>
      <c r="T13" s="176">
        <f t="shared" si="10"/>
        <v>0.72984787109550808</v>
      </c>
      <c r="U13" s="175">
        <f t="shared" si="1"/>
        <v>41.99</v>
      </c>
      <c r="V13" s="175"/>
      <c r="W13" s="175">
        <f t="shared" si="2"/>
        <v>27.772500000000001</v>
      </c>
      <c r="X13" s="175">
        <f t="shared" si="7"/>
        <v>24.995250000000002</v>
      </c>
      <c r="Y13" s="180">
        <f t="shared" si="8"/>
        <v>0.33859252202905454</v>
      </c>
      <c r="Z13" s="184" t="e">
        <f t="shared" si="9"/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 x14ac:dyDescent="0.25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t="shared" si="3"/>
        <v>22.797000000000001</v>
      </c>
      <c r="H14" s="194">
        <v>25.33</v>
      </c>
      <c r="I14" s="41">
        <v>38.99</v>
      </c>
      <c r="J14" s="41">
        <v>38.99</v>
      </c>
      <c r="K14" s="215"/>
      <c r="L14" s="14"/>
      <c r="M14" s="197"/>
      <c r="N14" s="31">
        <f t="shared" si="4"/>
        <v>0</v>
      </c>
      <c r="O14" s="31">
        <f t="shared" si="5"/>
        <v>0</v>
      </c>
      <c r="P14" s="31">
        <f t="shared" si="6"/>
        <v>0</v>
      </c>
      <c r="R14" s="174">
        <v>10.84</v>
      </c>
      <c r="S14" s="174"/>
      <c r="T14" s="176">
        <f t="shared" si="10"/>
        <v>0.59242757505686838</v>
      </c>
      <c r="U14" s="175">
        <f t="shared" si="1"/>
        <v>38.99</v>
      </c>
      <c r="V14" s="175"/>
      <c r="W14" s="175">
        <f t="shared" si="2"/>
        <v>26.596499999999999</v>
      </c>
      <c r="X14" s="175">
        <f t="shared" si="7"/>
        <v>23.93685</v>
      </c>
      <c r="Y14" s="180">
        <f t="shared" si="8"/>
        <v>0.31786355475763023</v>
      </c>
      <c r="Z14" s="184" t="e">
        <f t="shared" si="9"/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 x14ac:dyDescent="0.25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t="shared" si="3"/>
        <v>19.89</v>
      </c>
      <c r="H15" s="194">
        <v>22.1</v>
      </c>
      <c r="I15" s="41">
        <v>33.99</v>
      </c>
      <c r="J15" s="41">
        <v>33.99</v>
      </c>
      <c r="K15" s="215"/>
      <c r="L15" s="14"/>
      <c r="M15" s="197"/>
      <c r="N15" s="31">
        <f t="shared" si="4"/>
        <v>0</v>
      </c>
      <c r="O15" s="31">
        <f t="shared" si="5"/>
        <v>0</v>
      </c>
      <c r="P15" s="31">
        <f t="shared" si="6"/>
        <v>0</v>
      </c>
      <c r="R15" s="174">
        <v>7.8550000000000004</v>
      </c>
      <c r="S15" s="174"/>
      <c r="T15" s="176">
        <f t="shared" si="10"/>
        <v>0.6614953673777203</v>
      </c>
      <c r="U15" s="175">
        <f t="shared" si="1"/>
        <v>33.99</v>
      </c>
      <c r="V15" s="175"/>
      <c r="W15" s="175">
        <f t="shared" si="2"/>
        <v>23.205000000000002</v>
      </c>
      <c r="X15" s="175">
        <f t="shared" si="7"/>
        <v>20.884500000000003</v>
      </c>
      <c r="Y15" s="180">
        <f t="shared" si="8"/>
        <v>0.31729920564872022</v>
      </c>
      <c r="Z15" s="184" t="e">
        <f t="shared" si="9"/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 x14ac:dyDescent="0.25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t="shared" si="3"/>
        <v>16.965000000000003</v>
      </c>
      <c r="H16" s="194">
        <v>18.850000000000001</v>
      </c>
      <c r="I16" s="41">
        <v>28.99</v>
      </c>
      <c r="J16" s="41">
        <v>28.99</v>
      </c>
      <c r="K16" s="215"/>
      <c r="L16" s="14"/>
      <c r="M16" s="197"/>
      <c r="N16" s="31">
        <f t="shared" si="4"/>
        <v>0</v>
      </c>
      <c r="O16" s="31">
        <f t="shared" si="5"/>
        <v>0</v>
      </c>
      <c r="P16" s="31">
        <f t="shared" si="6"/>
        <v>0</v>
      </c>
      <c r="R16" s="174">
        <v>6.2380000000000004</v>
      </c>
      <c r="S16" s="174"/>
      <c r="T16" s="176">
        <f t="shared" si="10"/>
        <v>0.68483011241631941</v>
      </c>
      <c r="U16" s="175">
        <f t="shared" si="1"/>
        <v>28.99</v>
      </c>
      <c r="V16" s="175"/>
      <c r="W16" s="175">
        <f t="shared" si="2"/>
        <v>19.792500000000004</v>
      </c>
      <c r="X16" s="175">
        <f t="shared" si="7"/>
        <v>17.813250000000004</v>
      </c>
      <c r="Y16" s="180">
        <f t="shared" si="8"/>
        <v>0.3172645739910312</v>
      </c>
      <c r="Z16" s="184" t="e">
        <f t="shared" si="9"/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 x14ac:dyDescent="0.25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t="shared" si="3"/>
        <v>21.051000000000002</v>
      </c>
      <c r="H17" s="194">
        <v>23.39</v>
      </c>
      <c r="I17" s="41">
        <v>35.99</v>
      </c>
      <c r="J17" s="41">
        <v>35.99</v>
      </c>
      <c r="K17" s="215"/>
      <c r="L17" s="14"/>
      <c r="M17" s="197"/>
      <c r="N17" s="31">
        <f t="shared" si="4"/>
        <v>0</v>
      </c>
      <c r="O17" s="31">
        <f t="shared" si="5"/>
        <v>0</v>
      </c>
      <c r="P17" s="31">
        <f t="shared" si="6"/>
        <v>0</v>
      </c>
      <c r="R17" s="174">
        <v>10.696</v>
      </c>
      <c r="S17" s="174"/>
      <c r="T17" s="176">
        <f t="shared" si="10"/>
        <v>0.56448624768419553</v>
      </c>
      <c r="U17" s="175">
        <f t="shared" si="1"/>
        <v>35.99</v>
      </c>
      <c r="V17" s="175"/>
      <c r="W17" s="175">
        <f t="shared" si="2"/>
        <v>24.5595</v>
      </c>
      <c r="X17" s="175">
        <f t="shared" si="7"/>
        <v>22.103550000000002</v>
      </c>
      <c r="Y17" s="180">
        <f t="shared" si="8"/>
        <v>0.31760211169769387</v>
      </c>
      <c r="Z17" s="184" t="e">
        <f t="shared" si="9"/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 x14ac:dyDescent="0.25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t="shared" si="3"/>
        <v>16.38</v>
      </c>
      <c r="H18" s="194">
        <v>18.2</v>
      </c>
      <c r="I18" s="41">
        <v>25.99</v>
      </c>
      <c r="J18" s="41">
        <v>25.99</v>
      </c>
      <c r="K18" s="215"/>
      <c r="L18" s="14"/>
      <c r="M18" s="197"/>
      <c r="N18" s="31">
        <f t="shared" si="4"/>
        <v>0</v>
      </c>
      <c r="O18" s="31">
        <f t="shared" si="5"/>
        <v>0</v>
      </c>
      <c r="P18" s="31">
        <f t="shared" si="6"/>
        <v>0</v>
      </c>
      <c r="R18" s="174">
        <v>7.8879999999999999</v>
      </c>
      <c r="S18" s="174"/>
      <c r="T18" s="176">
        <f t="shared" si="10"/>
        <v>0.58723181580324435</v>
      </c>
      <c r="U18" s="175">
        <f t="shared" si="1"/>
        <v>25.99</v>
      </c>
      <c r="V18" s="175"/>
      <c r="W18" s="175">
        <f t="shared" si="2"/>
        <v>19.11</v>
      </c>
      <c r="X18" s="175">
        <f t="shared" si="7"/>
        <v>17.199000000000002</v>
      </c>
      <c r="Y18" s="180">
        <f>(U18-W18)/U18</f>
        <v>0.26471719892266254</v>
      </c>
      <c r="Z18" s="184" t="e">
        <f t="shared" si="9"/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 x14ac:dyDescent="0.25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t="shared" si="3"/>
        <v>14.067</v>
      </c>
      <c r="H19" s="194">
        <v>15.63</v>
      </c>
      <c r="I19" s="41">
        <v>22.99</v>
      </c>
      <c r="J19" s="41">
        <v>22.99</v>
      </c>
      <c r="K19" s="215"/>
      <c r="L19" s="14"/>
      <c r="M19" s="197"/>
      <c r="N19" s="31">
        <f t="shared" si="4"/>
        <v>0</v>
      </c>
      <c r="O19" s="31">
        <f t="shared" si="5"/>
        <v>0</v>
      </c>
      <c r="P19" s="31">
        <f t="shared" si="6"/>
        <v>0</v>
      </c>
      <c r="R19" s="174">
        <v>5.6980000000000004</v>
      </c>
      <c r="S19" s="174"/>
      <c r="T19" s="176">
        <f t="shared" si="10"/>
        <v>0.65280443591384085</v>
      </c>
      <c r="U19" s="175">
        <f t="shared" si="1"/>
        <v>22.99</v>
      </c>
      <c r="V19" s="175"/>
      <c r="W19" s="175">
        <f t="shared" si="2"/>
        <v>16.4115</v>
      </c>
      <c r="X19" s="175">
        <f t="shared" si="7"/>
        <v>14.770350000000001</v>
      </c>
      <c r="Y19" s="180">
        <f t="shared" si="8"/>
        <v>0.28614615050021741</v>
      </c>
      <c r="Z19" s="184" t="e">
        <f t="shared" si="9"/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 x14ac:dyDescent="0.25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t="shared" si="3"/>
        <v>18.117000000000001</v>
      </c>
      <c r="H20" s="194">
        <v>20.13</v>
      </c>
      <c r="I20" s="41">
        <v>30.99</v>
      </c>
      <c r="J20" s="41">
        <v>30.99</v>
      </c>
      <c r="K20" s="215"/>
      <c r="L20" s="14"/>
      <c r="M20" s="197"/>
      <c r="N20" s="31">
        <f t="shared" si="4"/>
        <v>0</v>
      </c>
      <c r="O20" s="31">
        <f t="shared" si="5"/>
        <v>0</v>
      </c>
      <c r="P20" s="31">
        <f t="shared" si="6"/>
        <v>0</v>
      </c>
      <c r="R20" s="174">
        <v>8.98</v>
      </c>
      <c r="S20" s="174"/>
      <c r="T20" s="176">
        <f t="shared" si="10"/>
        <v>0.57514252596219806</v>
      </c>
      <c r="U20" s="175">
        <f t="shared" si="1"/>
        <v>30.99</v>
      </c>
      <c r="V20" s="175"/>
      <c r="W20" s="175">
        <f t="shared" ref="W20:W26" si="12">H20*1.05</f>
        <v>21.136500000000002</v>
      </c>
      <c r="X20" s="175">
        <f t="shared" si="7"/>
        <v>19.022850000000002</v>
      </c>
      <c r="Y20" s="180">
        <f t="shared" si="8"/>
        <v>0.31795740561471436</v>
      </c>
      <c r="Z20" s="184" t="e">
        <f t="shared" si="9"/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 x14ac:dyDescent="0.25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t="shared" si="3"/>
        <v>17.216999999999999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t="shared" si="4"/>
        <v>0</v>
      </c>
      <c r="O21" s="31">
        <f t="shared" si="5"/>
        <v>0</v>
      </c>
      <c r="P21" s="31">
        <f t="shared" si="6"/>
        <v>0</v>
      </c>
      <c r="R21" s="174">
        <v>6.3849999999999998</v>
      </c>
      <c r="S21" s="174"/>
      <c r="T21" s="176">
        <f t="shared" si="10"/>
        <v>0.68212481019590276</v>
      </c>
      <c r="U21" s="175">
        <f t="shared" si="1"/>
        <v>28.99</v>
      </c>
      <c r="V21" s="175"/>
      <c r="W21" s="175">
        <f t="shared" si="12"/>
        <v>20.086500000000001</v>
      </c>
      <c r="X21" s="175">
        <f t="shared" si="7"/>
        <v>18.077850000000002</v>
      </c>
      <c r="Y21" s="176">
        <f t="shared" si="8"/>
        <v>0.30712314591238349</v>
      </c>
      <c r="Z21" s="184" t="e">
        <f t="shared" si="9"/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 x14ac:dyDescent="0.25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t="shared" si="3"/>
        <v>13.518000000000001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t="shared" si="4"/>
        <v>0</v>
      </c>
      <c r="O22" s="31">
        <f t="shared" si="5"/>
        <v>0</v>
      </c>
      <c r="P22" s="31">
        <f t="shared" si="6"/>
        <v>0</v>
      </c>
      <c r="R22" s="174">
        <v>3.9180000000000001</v>
      </c>
      <c r="S22" s="174"/>
      <c r="T22" s="176">
        <f t="shared" si="10"/>
        <v>0.75156933612326426</v>
      </c>
      <c r="U22" s="175">
        <f t="shared" si="1"/>
        <v>25.99</v>
      </c>
      <c r="V22" s="175">
        <v>23.99</v>
      </c>
      <c r="W22" s="175">
        <f t="shared" si="12"/>
        <v>15.771000000000001</v>
      </c>
      <c r="X22" s="175">
        <f t="shared" si="7"/>
        <v>14.193900000000001</v>
      </c>
      <c r="Y22" s="176">
        <f t="shared" si="8"/>
        <v>0.39318968834166979</v>
      </c>
      <c r="Z22" s="184">
        <f t="shared" si="9"/>
        <v>0.34260108378491028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 x14ac:dyDescent="0.25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t="shared" si="3"/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t="shared" si="4"/>
        <v>0</v>
      </c>
      <c r="O23" s="31">
        <f t="shared" si="5"/>
        <v>0</v>
      </c>
      <c r="P23" s="31">
        <f t="shared" si="6"/>
        <v>0</v>
      </c>
      <c r="R23" s="174">
        <v>4.6509999999999998</v>
      </c>
      <c r="S23" s="174"/>
      <c r="T23" s="176">
        <f t="shared" si="10"/>
        <v>0.69024309024309027</v>
      </c>
      <c r="U23" s="175">
        <f t="shared" si="1"/>
        <v>22.99</v>
      </c>
      <c r="V23" s="175">
        <v>21.99</v>
      </c>
      <c r="W23" s="175">
        <f t="shared" si="12"/>
        <v>15.015000000000001</v>
      </c>
      <c r="X23" s="175">
        <f t="shared" si="7"/>
        <v>13.513500000000001</v>
      </c>
      <c r="Y23" s="176">
        <f t="shared" si="8"/>
        <v>0.34688995215310997</v>
      </c>
      <c r="Z23" s="184">
        <f t="shared" si="9"/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 x14ac:dyDescent="0.25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t="shared" si="3"/>
        <v>14.733000000000001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t="shared" si="4"/>
        <v>0</v>
      </c>
      <c r="O24" s="31">
        <f t="shared" si="5"/>
        <v>0</v>
      </c>
      <c r="P24" s="31">
        <f t="shared" si="6"/>
        <v>0</v>
      </c>
      <c r="R24" s="174">
        <v>4.9290000000000003</v>
      </c>
      <c r="S24" s="174"/>
      <c r="T24" s="176">
        <f t="shared" si="10"/>
        <v>0.71323850248712806</v>
      </c>
      <c r="U24" s="175">
        <f t="shared" si="1"/>
        <v>25.99</v>
      </c>
      <c r="V24" s="175"/>
      <c r="W24" s="175">
        <f t="shared" si="12"/>
        <v>17.188500000000001</v>
      </c>
      <c r="X24" s="175">
        <f t="shared" si="7"/>
        <v>15.469650000000001</v>
      </c>
      <c r="Y24" s="176">
        <f t="shared" si="8"/>
        <v>0.33864948056944971</v>
      </c>
      <c r="Z24" s="184" t="e">
        <f t="shared" si="9"/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 x14ac:dyDescent="0.25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t="shared" si="3"/>
        <v>11.178000000000001</v>
      </c>
      <c r="H25" s="36">
        <v>12.42</v>
      </c>
      <c r="I25" s="36">
        <v>19.989999999999998</v>
      </c>
      <c r="J25" s="36">
        <v>19.989999999999998</v>
      </c>
      <c r="K25" s="118"/>
      <c r="L25" s="14"/>
      <c r="M25" s="197"/>
      <c r="N25" s="31">
        <f t="shared" si="4"/>
        <v>0</v>
      </c>
      <c r="O25" s="31">
        <f t="shared" si="5"/>
        <v>0</v>
      </c>
      <c r="P25" s="31">
        <f t="shared" si="6"/>
        <v>0</v>
      </c>
      <c r="R25" s="174">
        <v>3.9289999999999998</v>
      </c>
      <c r="S25" s="174"/>
      <c r="T25" s="176">
        <f t="shared" si="10"/>
        <v>0.69871942335710446</v>
      </c>
      <c r="U25" s="175">
        <f t="shared" si="1"/>
        <v>19.989999999999998</v>
      </c>
      <c r="V25" s="175"/>
      <c r="W25" s="175">
        <f t="shared" si="12"/>
        <v>13.041</v>
      </c>
      <c r="X25" s="175">
        <f t="shared" si="7"/>
        <v>11.7369</v>
      </c>
      <c r="Y25" s="176">
        <f t="shared" si="8"/>
        <v>0.34762381190595293</v>
      </c>
      <c r="Z25" s="184" t="e">
        <f t="shared" si="9"/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 x14ac:dyDescent="0.25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t="shared" si="3"/>
        <v>28.340999999999998</v>
      </c>
      <c r="H26" s="36">
        <v>31.49</v>
      </c>
      <c r="I26" s="36">
        <v>69.989999999999995</v>
      </c>
      <c r="J26" s="36">
        <v>69.989999999999995</v>
      </c>
      <c r="K26" s="118"/>
      <c r="L26" s="14"/>
      <c r="M26" s="197"/>
      <c r="N26" s="31">
        <f t="shared" si="4"/>
        <v>0</v>
      </c>
      <c r="O26" s="31">
        <f t="shared" si="5"/>
        <v>0</v>
      </c>
      <c r="P26" s="31">
        <f t="shared" si="6"/>
        <v>0</v>
      </c>
      <c r="R26" s="174">
        <v>10.904</v>
      </c>
      <c r="S26" s="174"/>
      <c r="T26" s="176">
        <f t="shared" si="10"/>
        <v>0.67022032693674483</v>
      </c>
      <c r="U26" s="175">
        <f t="shared" si="1"/>
        <v>69.989999999999995</v>
      </c>
      <c r="V26" s="175">
        <v>59.99</v>
      </c>
      <c r="W26" s="175">
        <f t="shared" si="12"/>
        <v>33.064500000000002</v>
      </c>
      <c r="X26" s="175">
        <f t="shared" si="7"/>
        <v>29.758050000000004</v>
      </c>
      <c r="Y26" s="191">
        <f t="shared" si="8"/>
        <v>0.52758251178739812</v>
      </c>
      <c r="Z26" s="184">
        <f t="shared" si="9"/>
        <v>0.44883313885647608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 x14ac:dyDescent="0.25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t="shared" si="3"/>
        <v>26.451000000000001</v>
      </c>
      <c r="H27" s="36">
        <v>29.39</v>
      </c>
      <c r="I27" s="36">
        <v>64.989999999999995</v>
      </c>
      <c r="J27" s="36">
        <v>64.989999999999995</v>
      </c>
      <c r="K27" s="118"/>
      <c r="L27" s="14"/>
      <c r="M27" s="197"/>
      <c r="N27" s="31">
        <f t="shared" si="4"/>
        <v>0</v>
      </c>
      <c r="O27" s="31">
        <f t="shared" si="5"/>
        <v>0</v>
      </c>
      <c r="P27" s="31">
        <f t="shared" si="6"/>
        <v>0</v>
      </c>
      <c r="R27" s="174">
        <v>10.036</v>
      </c>
      <c r="S27" s="174"/>
      <c r="T27" s="176">
        <f t="shared" si="10"/>
        <v>0.67478410214034579</v>
      </c>
      <c r="U27" s="175">
        <f t="shared" si="1"/>
        <v>64.989999999999995</v>
      </c>
      <c r="V27" s="175">
        <v>49.99</v>
      </c>
      <c r="W27" s="175">
        <f t="shared" ref="W27:W34" si="13">H27*1.05</f>
        <v>30.859500000000001</v>
      </c>
      <c r="X27" s="175">
        <f t="shared" si="7"/>
        <v>27.77355</v>
      </c>
      <c r="Y27" s="191">
        <f t="shared" si="8"/>
        <v>0.52516541006308659</v>
      </c>
      <c r="Z27" s="184">
        <f t="shared" si="9"/>
        <v>0.38268653730746149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 x14ac:dyDescent="0.25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t="shared" si="3"/>
        <v>31.797000000000001</v>
      </c>
      <c r="H28" s="36">
        <v>35.33</v>
      </c>
      <c r="I28" s="36">
        <v>51.99</v>
      </c>
      <c r="J28" s="41">
        <v>48.99</v>
      </c>
      <c r="K28" s="215"/>
      <c r="L28" s="29">
        <f t="shared" ref="L28:L30" si="14">(J28/I28)-1</f>
        <v>-5.7703404500865529E-2</v>
      </c>
      <c r="M28" s="198">
        <v>45.99</v>
      </c>
      <c r="N28" s="31">
        <f t="shared" si="4"/>
        <v>35.872199999999999</v>
      </c>
      <c r="O28" s="31">
        <f t="shared" si="5"/>
        <v>51.246000000000002</v>
      </c>
      <c r="P28" s="31">
        <f t="shared" si="6"/>
        <v>32.284979999999997</v>
      </c>
      <c r="R28" s="174">
        <v>15.419</v>
      </c>
      <c r="S28" s="174"/>
      <c r="T28" s="176">
        <f t="shared" si="10"/>
        <v>0.58435431914061975</v>
      </c>
      <c r="U28" s="175">
        <f t="shared" si="1"/>
        <v>51.99</v>
      </c>
      <c r="V28" s="175"/>
      <c r="W28" s="175">
        <f t="shared" si="13"/>
        <v>37.096499999999999</v>
      </c>
      <c r="X28" s="175">
        <f t="shared" si="7"/>
        <v>33.386850000000003</v>
      </c>
      <c r="Y28" s="180">
        <f t="shared" si="8"/>
        <v>0.2864685516445471</v>
      </c>
      <c r="Z28" s="184" t="e">
        <f t="shared" si="9"/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 x14ac:dyDescent="0.25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t="shared" si="3"/>
        <v>28.152000000000001</v>
      </c>
      <c r="H29" s="36">
        <v>31.28</v>
      </c>
      <c r="I29" s="36">
        <v>45.99</v>
      </c>
      <c r="J29" s="41">
        <v>44.99</v>
      </c>
      <c r="K29" s="215"/>
      <c r="L29" s="29">
        <f t="shared" si="14"/>
        <v>-2.1743857360295715E-2</v>
      </c>
      <c r="M29" s="198">
        <v>40.99</v>
      </c>
      <c r="N29" s="31">
        <f t="shared" si="4"/>
        <v>31.972200000000004</v>
      </c>
      <c r="O29" s="31">
        <f t="shared" si="5"/>
        <v>45.67457142857144</v>
      </c>
      <c r="P29" s="31">
        <f t="shared" si="6"/>
        <v>28.774980000000006</v>
      </c>
      <c r="R29" s="174">
        <v>13.866</v>
      </c>
      <c r="S29" s="174"/>
      <c r="T29" s="176">
        <f t="shared" si="10"/>
        <v>0.57782243332115457</v>
      </c>
      <c r="U29" s="175">
        <f t="shared" si="1"/>
        <v>45.99</v>
      </c>
      <c r="V29" s="175"/>
      <c r="W29" s="175">
        <f t="shared" si="13"/>
        <v>32.844000000000001</v>
      </c>
      <c r="X29" s="175">
        <f t="shared" si="7"/>
        <v>29.559600000000003</v>
      </c>
      <c r="Y29" s="180">
        <f t="shared" si="8"/>
        <v>0.28584474885844752</v>
      </c>
      <c r="Z29" s="184" t="e">
        <f t="shared" si="9"/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 x14ac:dyDescent="0.25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t="shared" si="3"/>
        <v>26.433</v>
      </c>
      <c r="H30" s="36">
        <v>29.37</v>
      </c>
      <c r="I30" s="36">
        <v>44.99</v>
      </c>
      <c r="J30" s="41">
        <v>43.99</v>
      </c>
      <c r="K30" s="215"/>
      <c r="L30" s="29">
        <f t="shared" si="14"/>
        <v>-2.2227161591464761E-2</v>
      </c>
      <c r="M30" s="198">
        <v>37.99</v>
      </c>
      <c r="N30" s="31">
        <f t="shared" si="4"/>
        <v>29.632200000000001</v>
      </c>
      <c r="O30" s="31">
        <f t="shared" si="5"/>
        <v>42.331714285714291</v>
      </c>
      <c r="P30" s="31">
        <f t="shared" si="6"/>
        <v>26.668980000000001</v>
      </c>
      <c r="R30" s="174">
        <v>14.003</v>
      </c>
      <c r="S30" s="174"/>
      <c r="T30" s="176">
        <f t="shared" si="10"/>
        <v>0.54592473693597299</v>
      </c>
      <c r="U30" s="175">
        <f t="shared" si="1"/>
        <v>44.99</v>
      </c>
      <c r="V30" s="175"/>
      <c r="W30" s="175">
        <f t="shared" si="13"/>
        <v>30.838500000000003</v>
      </c>
      <c r="X30" s="175">
        <f t="shared" si="7"/>
        <v>27.754650000000005</v>
      </c>
      <c r="Y30" s="176">
        <f t="shared" si="8"/>
        <v>0.31454767726161365</v>
      </c>
      <c r="Z30" s="184" t="e">
        <f t="shared" si="9"/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 x14ac:dyDescent="0.25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t="shared" si="3"/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t="shared" si="4"/>
        <v>0</v>
      </c>
      <c r="O31" s="31">
        <f t="shared" si="5"/>
        <v>0</v>
      </c>
      <c r="P31" s="31">
        <f t="shared" si="6"/>
        <v>0</v>
      </c>
      <c r="R31" s="174">
        <v>11.478999999999999</v>
      </c>
      <c r="S31" s="174"/>
      <c r="T31" s="176">
        <f t="shared" si="10"/>
        <v>0.6686153091124295</v>
      </c>
      <c r="U31" s="175">
        <f t="shared" si="1"/>
        <v>49.99</v>
      </c>
      <c r="V31" s="175"/>
      <c r="W31" s="175">
        <f t="shared" si="13"/>
        <v>34.639500000000005</v>
      </c>
      <c r="X31" s="175">
        <f t="shared" si="7"/>
        <v>31.175550000000005</v>
      </c>
      <c r="Y31" s="176">
        <f t="shared" si="8"/>
        <v>0.3070714142828565</v>
      </c>
      <c r="Z31" s="184" t="e">
        <f t="shared" si="9"/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 x14ac:dyDescent="0.25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t="shared" si="3"/>
        <v>24.345000000000002</v>
      </c>
      <c r="H32" s="41">
        <v>27.05</v>
      </c>
      <c r="I32" s="41">
        <v>34.99</v>
      </c>
      <c r="J32" s="41">
        <v>34.99</v>
      </c>
      <c r="K32" s="215"/>
      <c r="L32" s="14"/>
      <c r="M32" s="197"/>
      <c r="N32" s="31">
        <f t="shared" si="4"/>
        <v>0</v>
      </c>
      <c r="O32" s="31">
        <f t="shared" si="5"/>
        <v>0</v>
      </c>
      <c r="P32" s="31">
        <f t="shared" si="6"/>
        <v>0</v>
      </c>
      <c r="R32" s="174">
        <v>8.7680000000000007</v>
      </c>
      <c r="S32" s="174"/>
      <c r="T32" s="176">
        <f t="shared" si="10"/>
        <v>0.69129478038905023</v>
      </c>
      <c r="U32" s="175">
        <f t="shared" si="1"/>
        <v>34.99</v>
      </c>
      <c r="V32" s="175">
        <v>39.99</v>
      </c>
      <c r="W32" s="175">
        <f t="shared" si="13"/>
        <v>28.402500000000003</v>
      </c>
      <c r="X32" s="175">
        <f t="shared" si="7"/>
        <v>25.562250000000002</v>
      </c>
      <c r="Y32" s="180">
        <f t="shared" si="8"/>
        <v>0.18826807659331232</v>
      </c>
      <c r="Z32" s="184">
        <f t="shared" si="9"/>
        <v>0.28975993998499622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 x14ac:dyDescent="0.25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t="shared" si="3"/>
        <v>21.492000000000001</v>
      </c>
      <c r="H33" s="41">
        <v>23.88</v>
      </c>
      <c r="I33" s="41">
        <v>29.99</v>
      </c>
      <c r="J33" s="41">
        <v>29.99</v>
      </c>
      <c r="K33" s="215"/>
      <c r="L33" s="14"/>
      <c r="M33" s="197"/>
      <c r="N33" s="31">
        <f t="shared" si="4"/>
        <v>0</v>
      </c>
      <c r="O33" s="31">
        <f t="shared" si="5"/>
        <v>0</v>
      </c>
      <c r="P33" s="31">
        <f t="shared" si="6"/>
        <v>0</v>
      </c>
      <c r="R33" s="174">
        <v>7.0460000000000003</v>
      </c>
      <c r="S33" s="174"/>
      <c r="T33" s="176">
        <f t="shared" si="10"/>
        <v>0.71899178431841748</v>
      </c>
      <c r="U33" s="175">
        <f t="shared" si="1"/>
        <v>29.99</v>
      </c>
      <c r="V33" s="175">
        <v>34.99</v>
      </c>
      <c r="W33" s="175">
        <f t="shared" si="13"/>
        <v>25.074000000000002</v>
      </c>
      <c r="X33" s="175">
        <f t="shared" si="7"/>
        <v>22.566600000000001</v>
      </c>
      <c r="Y33" s="180">
        <f t="shared" si="8"/>
        <v>0.16392130710236735</v>
      </c>
      <c r="Z33" s="184">
        <f t="shared" si="9"/>
        <v>0.28339525578736779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 x14ac:dyDescent="0.25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t="shared" si="3"/>
        <v>7.4429999999999996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t="shared" si="4"/>
        <v>0</v>
      </c>
      <c r="O34" s="31">
        <f t="shared" si="5"/>
        <v>0</v>
      </c>
      <c r="P34" s="31">
        <f t="shared" si="6"/>
        <v>0</v>
      </c>
      <c r="R34" s="174">
        <v>2.8210000000000002</v>
      </c>
      <c r="S34" s="174"/>
      <c r="T34" s="176">
        <f t="shared" si="10"/>
        <v>0.67513099556630396</v>
      </c>
      <c r="U34" s="175">
        <f t="shared" si="1"/>
        <v>14.99</v>
      </c>
      <c r="V34" s="175">
        <v>12.99</v>
      </c>
      <c r="W34" s="175">
        <f t="shared" si="13"/>
        <v>8.6835000000000004</v>
      </c>
      <c r="X34" s="175">
        <f t="shared" si="7"/>
        <v>7.8151500000000009</v>
      </c>
      <c r="Y34" s="176">
        <f t="shared" si="8"/>
        <v>0.42071380920613738</v>
      </c>
      <c r="Z34" s="184">
        <f t="shared" si="9"/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 x14ac:dyDescent="0.25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ht="15" customHeight="1" x14ac:dyDescent="0.25">
      <c r="B36" s="312" t="s">
        <v>80</v>
      </c>
      <c r="C36" s="313"/>
      <c r="D36" s="21"/>
      <c r="E36" s="21"/>
      <c r="F36" s="21"/>
      <c r="G36" s="22"/>
      <c r="H36" s="22"/>
      <c r="I36" s="47"/>
      <c r="J36" s="47"/>
      <c r="K36" s="214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 x14ac:dyDescent="0.25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t="shared" ref="G37:G60" si="15">H37*0.9</f>
        <v>121.91400000000002</v>
      </c>
      <c r="H37" s="28">
        <v>135.46</v>
      </c>
      <c r="I37" s="28">
        <v>199.99</v>
      </c>
      <c r="J37" s="62">
        <v>189.99</v>
      </c>
      <c r="K37" s="215"/>
      <c r="L37" s="29">
        <f t="shared" ref="L37:L60" si="16">(J37/I37)-1</f>
        <v>-5.0002500125006288E-2</v>
      </c>
      <c r="M37" s="198">
        <v>189.99</v>
      </c>
      <c r="N37" s="31">
        <f t="shared" si="4"/>
        <v>148.19220000000001</v>
      </c>
      <c r="O37" s="31">
        <f t="shared" si="5"/>
        <v>211.70314285714289</v>
      </c>
      <c r="P37" s="31">
        <f t="shared" si="6"/>
        <v>133.37298000000001</v>
      </c>
      <c r="R37" s="174">
        <v>75.945999999999998</v>
      </c>
      <c r="S37" s="174"/>
      <c r="T37" s="176">
        <f t="shared" ref="T37:T60" si="17">(W37-R37)/W37</f>
        <v>0.46604515126588064</v>
      </c>
      <c r="U37" s="175">
        <f t="shared" ref="U37:U60" si="18">I37</f>
        <v>199.99</v>
      </c>
      <c r="V37" s="175"/>
      <c r="W37" s="175">
        <f t="shared" ref="W37:W60" si="19">H37*1.05</f>
        <v>142.233</v>
      </c>
      <c r="X37" s="175">
        <f t="shared" si="7"/>
        <v>128.00970000000001</v>
      </c>
      <c r="Y37" s="176">
        <f t="shared" si="8"/>
        <v>0.28879943997199864</v>
      </c>
      <c r="Z37" s="184" t="e">
        <f t="shared" ref="Z37:Z100" si="20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 x14ac:dyDescent="0.25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t="shared" si="15"/>
        <v>111.23100000000001</v>
      </c>
      <c r="H38" s="36">
        <v>123.59</v>
      </c>
      <c r="I38" s="36">
        <v>199.99</v>
      </c>
      <c r="J38" s="41">
        <v>174.99</v>
      </c>
      <c r="K38" s="215"/>
      <c r="L38" s="29">
        <f t="shared" si="16"/>
        <v>-0.12500625031251567</v>
      </c>
      <c r="M38" s="50">
        <v>159.99</v>
      </c>
      <c r="N38" s="31">
        <f t="shared" si="4"/>
        <v>124.79220000000001</v>
      </c>
      <c r="O38" s="31">
        <f t="shared" si="5"/>
        <v>178.27457142857145</v>
      </c>
      <c r="P38" s="31">
        <f t="shared" si="6"/>
        <v>112.31298000000001</v>
      </c>
      <c r="R38" s="174">
        <v>74.486000000000004</v>
      </c>
      <c r="S38" s="174"/>
      <c r="T38" s="176">
        <f t="shared" si="17"/>
        <v>0.426013046208855</v>
      </c>
      <c r="U38" s="175">
        <f t="shared" si="18"/>
        <v>199.99</v>
      </c>
      <c r="V38" s="175"/>
      <c r="W38" s="175">
        <f t="shared" si="19"/>
        <v>129.76950000000002</v>
      </c>
      <c r="X38" s="175">
        <f t="shared" si="7"/>
        <v>116.79255000000002</v>
      </c>
      <c r="Y38" s="176">
        <f t="shared" si="8"/>
        <v>0.35112005600280005</v>
      </c>
      <c r="Z38" s="184" t="e">
        <f t="shared" si="20"/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 x14ac:dyDescent="0.25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t="shared" si="15"/>
        <v>80.325000000000003</v>
      </c>
      <c r="H39" s="36">
        <v>89.25</v>
      </c>
      <c r="I39" s="36">
        <v>129.99</v>
      </c>
      <c r="J39" s="41">
        <v>123.99</v>
      </c>
      <c r="K39" s="215"/>
      <c r="L39" s="29">
        <f t="shared" si="16"/>
        <v>-4.6157396722824928E-2</v>
      </c>
      <c r="M39" s="50">
        <v>114.99</v>
      </c>
      <c r="N39" s="31">
        <f t="shared" si="4"/>
        <v>89.6922</v>
      </c>
      <c r="O39" s="31">
        <f t="shared" si="5"/>
        <v>128.13171428571428</v>
      </c>
      <c r="P39" s="31">
        <f t="shared" si="6"/>
        <v>80.722980000000007</v>
      </c>
      <c r="R39" s="174">
        <v>26.85</v>
      </c>
      <c r="S39" s="174"/>
      <c r="T39" s="176">
        <f t="shared" si="17"/>
        <v>0.7134853941576631</v>
      </c>
      <c r="U39" s="175">
        <f t="shared" si="18"/>
        <v>129.99</v>
      </c>
      <c r="V39" s="175"/>
      <c r="W39" s="175">
        <f t="shared" si="19"/>
        <v>93.712500000000006</v>
      </c>
      <c r="X39" s="175">
        <f t="shared" si="7"/>
        <v>84.341250000000002</v>
      </c>
      <c r="Y39" s="180">
        <f t="shared" si="8"/>
        <v>0.27907915993537963</v>
      </c>
      <c r="Z39" s="184" t="e">
        <f t="shared" si="20"/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 x14ac:dyDescent="0.25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t="shared" si="15"/>
        <v>63.341999999999999</v>
      </c>
      <c r="H40" s="36">
        <v>70.38</v>
      </c>
      <c r="I40" s="36">
        <v>149.99</v>
      </c>
      <c r="J40" s="41">
        <v>101.99</v>
      </c>
      <c r="K40" s="215"/>
      <c r="L40" s="29">
        <f t="shared" si="16"/>
        <v>-0.32002133475565042</v>
      </c>
      <c r="M40" s="50">
        <v>89.99</v>
      </c>
      <c r="N40" s="31">
        <f t="shared" si="4"/>
        <v>70.1922</v>
      </c>
      <c r="O40" s="31">
        <f t="shared" si="5"/>
        <v>100.27457142857143</v>
      </c>
      <c r="P40" s="31">
        <f t="shared" si="6"/>
        <v>63.172980000000003</v>
      </c>
      <c r="R40" s="174">
        <v>26.300999999999998</v>
      </c>
      <c r="S40" s="174"/>
      <c r="T40" s="176">
        <f t="shared" si="17"/>
        <v>0.64409531928713515</v>
      </c>
      <c r="U40" s="175">
        <f t="shared" si="18"/>
        <v>149.99</v>
      </c>
      <c r="V40" s="175"/>
      <c r="W40" s="175">
        <f t="shared" si="19"/>
        <v>73.899000000000001</v>
      </c>
      <c r="X40" s="175">
        <f t="shared" si="7"/>
        <v>66.509100000000004</v>
      </c>
      <c r="Y40" s="191">
        <f t="shared" si="8"/>
        <v>0.50730715381025404</v>
      </c>
      <c r="Z40" s="184" t="e">
        <f t="shared" si="20"/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 x14ac:dyDescent="0.25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t="shared" si="15"/>
        <v>76.00500000000001</v>
      </c>
      <c r="H41" s="36">
        <v>84.45</v>
      </c>
      <c r="I41" s="36">
        <v>139.99</v>
      </c>
      <c r="J41" s="41">
        <v>123.99</v>
      </c>
      <c r="K41" s="215"/>
      <c r="L41" s="29">
        <f t="shared" si="16"/>
        <v>-0.11429387813415248</v>
      </c>
      <c r="M41" s="50">
        <v>109.99</v>
      </c>
      <c r="N41" s="31">
        <f t="shared" si="4"/>
        <v>85.792199999999994</v>
      </c>
      <c r="O41" s="31">
        <f t="shared" si="5"/>
        <v>122.56028571428571</v>
      </c>
      <c r="P41" s="31">
        <f t="shared" si="6"/>
        <v>77.212980000000002</v>
      </c>
      <c r="R41" s="174">
        <v>26.538</v>
      </c>
      <c r="S41" s="174"/>
      <c r="T41" s="176">
        <f t="shared" si="17"/>
        <v>0.70071893766387561</v>
      </c>
      <c r="U41" s="175">
        <f t="shared" si="18"/>
        <v>139.99</v>
      </c>
      <c r="V41" s="175"/>
      <c r="W41" s="175">
        <f t="shared" si="19"/>
        <v>88.672500000000014</v>
      </c>
      <c r="X41" s="175">
        <f t="shared" si="7"/>
        <v>79.805250000000015</v>
      </c>
      <c r="Y41" s="176">
        <f t="shared" si="8"/>
        <v>0.36657975569683543</v>
      </c>
      <c r="Z41" s="184" t="e">
        <f t="shared" si="20"/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 x14ac:dyDescent="0.25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t="shared" si="15"/>
        <v>64.215000000000003</v>
      </c>
      <c r="H42" s="36">
        <v>71.349999999999994</v>
      </c>
      <c r="I42" s="36">
        <v>119.99</v>
      </c>
      <c r="J42" s="41">
        <v>103.99</v>
      </c>
      <c r="K42" s="215"/>
      <c r="L42" s="29">
        <f t="shared" si="16"/>
        <v>-0.13334444537044754</v>
      </c>
      <c r="M42" s="50">
        <v>92.99</v>
      </c>
      <c r="N42" s="31">
        <f t="shared" si="4"/>
        <v>72.532200000000003</v>
      </c>
      <c r="O42" s="31">
        <f t="shared" si="5"/>
        <v>103.61742857142858</v>
      </c>
      <c r="P42" s="31">
        <f t="shared" si="6"/>
        <v>65.278980000000004</v>
      </c>
      <c r="R42" s="174">
        <v>24.026</v>
      </c>
      <c r="S42" s="174"/>
      <c r="T42" s="176">
        <f t="shared" si="17"/>
        <v>0.67930056395368243</v>
      </c>
      <c r="U42" s="175">
        <f t="shared" si="18"/>
        <v>119.99</v>
      </c>
      <c r="V42" s="175"/>
      <c r="W42" s="175">
        <f t="shared" si="19"/>
        <v>74.917500000000004</v>
      </c>
      <c r="X42" s="175">
        <f t="shared" si="7"/>
        <v>67.425750000000008</v>
      </c>
      <c r="Y42" s="176">
        <f t="shared" si="8"/>
        <v>0.37563546962246847</v>
      </c>
      <c r="Z42" s="184" t="e">
        <f t="shared" si="20"/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 x14ac:dyDescent="0.25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t="shared" si="15"/>
        <v>38.376000000000005</v>
      </c>
      <c r="H43" s="36">
        <v>42.64</v>
      </c>
      <c r="I43" s="36">
        <v>119.99</v>
      </c>
      <c r="J43" s="41">
        <v>57.99</v>
      </c>
      <c r="K43" s="215"/>
      <c r="L43" s="29">
        <f t="shared" si="16"/>
        <v>-0.51670972581048424</v>
      </c>
      <c r="M43" s="50">
        <v>54.99</v>
      </c>
      <c r="N43" s="31">
        <f t="shared" si="4"/>
        <v>42.892200000000003</v>
      </c>
      <c r="O43" s="31">
        <f t="shared" si="5"/>
        <v>61.274571428571434</v>
      </c>
      <c r="P43" s="31">
        <f t="shared" si="6"/>
        <v>38.602980000000002</v>
      </c>
      <c r="R43" s="174">
        <v>13.042</v>
      </c>
      <c r="S43" s="174"/>
      <c r="T43" s="176">
        <f t="shared" si="17"/>
        <v>0.70870186723845263</v>
      </c>
      <c r="U43" s="175">
        <f t="shared" si="18"/>
        <v>119.99</v>
      </c>
      <c r="V43" s="175"/>
      <c r="W43" s="175">
        <f t="shared" si="19"/>
        <v>44.772000000000006</v>
      </c>
      <c r="X43" s="175">
        <f t="shared" si="7"/>
        <v>40.294800000000009</v>
      </c>
      <c r="Y43" s="191">
        <f t="shared" si="8"/>
        <v>0.62686890574214515</v>
      </c>
      <c r="Z43" s="184" t="e">
        <f t="shared" si="20"/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 x14ac:dyDescent="0.25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t="shared" si="15"/>
        <v>90.314999999999998</v>
      </c>
      <c r="H44" s="36">
        <v>100.35</v>
      </c>
      <c r="I44" s="36">
        <v>149.99</v>
      </c>
      <c r="J44" s="41">
        <v>146.99</v>
      </c>
      <c r="K44" s="215"/>
      <c r="L44" s="29">
        <f t="shared" si="16"/>
        <v>-2.0001333422228096E-2</v>
      </c>
      <c r="M44" s="50">
        <v>129.99</v>
      </c>
      <c r="N44" s="31">
        <f t="shared" si="4"/>
        <v>101.39220000000002</v>
      </c>
      <c r="O44" s="31">
        <f t="shared" si="5"/>
        <v>144.84600000000003</v>
      </c>
      <c r="P44" s="31">
        <f t="shared" si="6"/>
        <v>91.252980000000022</v>
      </c>
      <c r="R44" s="174">
        <v>45.612000000000002</v>
      </c>
      <c r="S44" s="174"/>
      <c r="T44" s="176">
        <f t="shared" si="17"/>
        <v>0.56711509715994013</v>
      </c>
      <c r="U44" s="175">
        <f t="shared" si="18"/>
        <v>149.99</v>
      </c>
      <c r="V44" s="175"/>
      <c r="W44" s="175">
        <f t="shared" si="19"/>
        <v>105.36749999999999</v>
      </c>
      <c r="X44" s="175">
        <f t="shared" si="7"/>
        <v>94.830749999999995</v>
      </c>
      <c r="Y44" s="176">
        <f t="shared" si="8"/>
        <v>0.29750316687779194</v>
      </c>
      <c r="Z44" s="184" t="e">
        <f t="shared" si="20"/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 x14ac:dyDescent="0.25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t="shared" si="15"/>
        <v>61.632000000000005</v>
      </c>
      <c r="H45" s="36">
        <v>68.48</v>
      </c>
      <c r="I45" s="36">
        <v>99.99</v>
      </c>
      <c r="J45" s="41">
        <v>87.99</v>
      </c>
      <c r="K45" s="215"/>
      <c r="L45" s="29">
        <f t="shared" si="16"/>
        <v>-0.12001200120012001</v>
      </c>
      <c r="M45" s="50">
        <v>87.99</v>
      </c>
      <c r="N45" s="31">
        <f t="shared" si="4"/>
        <v>68.632199999999997</v>
      </c>
      <c r="O45" s="31">
        <f t="shared" si="5"/>
        <v>98.046000000000006</v>
      </c>
      <c r="P45" s="31">
        <f t="shared" si="6"/>
        <v>61.768979999999999</v>
      </c>
      <c r="R45" s="174">
        <v>24.888999999999999</v>
      </c>
      <c r="S45" s="174"/>
      <c r="T45" s="176">
        <f t="shared" si="17"/>
        <v>0.65385792167334233</v>
      </c>
      <c r="U45" s="175">
        <f t="shared" si="18"/>
        <v>99.99</v>
      </c>
      <c r="V45" s="175"/>
      <c r="W45" s="175">
        <f t="shared" si="19"/>
        <v>71.904000000000011</v>
      </c>
      <c r="X45" s="175">
        <f t="shared" si="7"/>
        <v>64.713600000000014</v>
      </c>
      <c r="Y45" s="180">
        <f t="shared" si="8"/>
        <v>0.28088808880888072</v>
      </c>
      <c r="Z45" s="184" t="e">
        <f t="shared" si="20"/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 x14ac:dyDescent="0.25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t="shared" si="15"/>
        <v>74.096999999999994</v>
      </c>
      <c r="H46" s="36">
        <v>82.33</v>
      </c>
      <c r="I46" s="36">
        <v>129.99</v>
      </c>
      <c r="J46" s="41">
        <v>114.99</v>
      </c>
      <c r="K46" s="215"/>
      <c r="L46" s="29">
        <f t="shared" si="16"/>
        <v>-0.11539349180706215</v>
      </c>
      <c r="M46" s="50">
        <v>104.99</v>
      </c>
      <c r="N46" s="31">
        <f t="shared" si="4"/>
        <v>81.892200000000003</v>
      </c>
      <c r="O46" s="31">
        <f t="shared" si="5"/>
        <v>116.98885714285716</v>
      </c>
      <c r="P46" s="31">
        <f t="shared" si="6"/>
        <v>73.702980000000011</v>
      </c>
      <c r="R46" s="174">
        <v>21.46</v>
      </c>
      <c r="S46" s="174"/>
      <c r="T46" s="176">
        <f t="shared" si="17"/>
        <v>0.7517539750018799</v>
      </c>
      <c r="U46" s="175">
        <f t="shared" si="18"/>
        <v>129.99</v>
      </c>
      <c r="V46" s="175"/>
      <c r="W46" s="175">
        <f t="shared" si="19"/>
        <v>86.4465</v>
      </c>
      <c r="X46" s="175">
        <f t="shared" si="7"/>
        <v>77.801850000000002</v>
      </c>
      <c r="Y46" s="176">
        <f t="shared" si="8"/>
        <v>0.33497576736672058</v>
      </c>
      <c r="Z46" s="184" t="e">
        <f t="shared" si="20"/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 x14ac:dyDescent="0.25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t="shared" si="15"/>
        <v>66.194999999999993</v>
      </c>
      <c r="H47" s="36">
        <v>73.55</v>
      </c>
      <c r="I47" s="36">
        <v>124.99</v>
      </c>
      <c r="J47" s="41">
        <v>101.99</v>
      </c>
      <c r="K47" s="215"/>
      <c r="L47" s="29">
        <f t="shared" si="16"/>
        <v>-0.18401472117769424</v>
      </c>
      <c r="M47" s="50">
        <v>94.99</v>
      </c>
      <c r="N47" s="31">
        <f t="shared" si="4"/>
        <v>74.092200000000005</v>
      </c>
      <c r="O47" s="31">
        <f t="shared" si="5"/>
        <v>105.84600000000002</v>
      </c>
      <c r="P47" s="31">
        <f t="shared" si="6"/>
        <v>66.682980000000001</v>
      </c>
      <c r="R47" s="174">
        <v>18.829999999999998</v>
      </c>
      <c r="S47" s="174"/>
      <c r="T47" s="176">
        <f t="shared" si="17"/>
        <v>0.75617493768411514</v>
      </c>
      <c r="U47" s="175">
        <f t="shared" si="18"/>
        <v>124.99</v>
      </c>
      <c r="V47" s="175"/>
      <c r="W47" s="175">
        <f t="shared" si="19"/>
        <v>77.227500000000006</v>
      </c>
      <c r="X47" s="175">
        <f t="shared" si="7"/>
        <v>69.504750000000001</v>
      </c>
      <c r="Y47" s="176">
        <f t="shared" si="8"/>
        <v>0.38213057044563559</v>
      </c>
      <c r="Z47" s="184" t="e">
        <f t="shared" si="20"/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 x14ac:dyDescent="0.25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t="shared" si="15"/>
        <v>69.903000000000006</v>
      </c>
      <c r="H48" s="36">
        <v>77.67</v>
      </c>
      <c r="I48" s="36">
        <v>129.99</v>
      </c>
      <c r="J48" s="41">
        <v>114.99</v>
      </c>
      <c r="K48" s="215"/>
      <c r="L48" s="29">
        <f t="shared" si="16"/>
        <v>-0.11539349180706215</v>
      </c>
      <c r="M48" s="50">
        <v>99.99</v>
      </c>
      <c r="N48" s="31">
        <f t="shared" si="4"/>
        <v>77.992199999999997</v>
      </c>
      <c r="O48" s="31">
        <f t="shared" si="5"/>
        <v>111.41742857142857</v>
      </c>
      <c r="P48" s="31">
        <f t="shared" si="6"/>
        <v>70.192980000000006</v>
      </c>
      <c r="R48" s="174">
        <v>34.520000000000003</v>
      </c>
      <c r="S48" s="174"/>
      <c r="T48" s="176">
        <f t="shared" si="17"/>
        <v>0.57671957671957663</v>
      </c>
      <c r="U48" s="175">
        <f t="shared" si="18"/>
        <v>129.99</v>
      </c>
      <c r="V48" s="175"/>
      <c r="W48" s="175">
        <f t="shared" si="19"/>
        <v>81.5535</v>
      </c>
      <c r="X48" s="175">
        <f t="shared" si="7"/>
        <v>73.398150000000001</v>
      </c>
      <c r="Y48" s="176">
        <f t="shared" si="8"/>
        <v>0.37261712439418421</v>
      </c>
      <c r="Z48" s="184" t="e">
        <f t="shared" si="20"/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 x14ac:dyDescent="0.25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t="shared" si="15"/>
        <v>63.648000000000003</v>
      </c>
      <c r="H49" s="36">
        <v>70.72</v>
      </c>
      <c r="I49" s="36">
        <v>124.99</v>
      </c>
      <c r="J49" s="41">
        <v>101.99</v>
      </c>
      <c r="K49" s="215"/>
      <c r="L49" s="29">
        <f t="shared" si="16"/>
        <v>-0.18401472117769424</v>
      </c>
      <c r="M49" s="50">
        <v>89.99</v>
      </c>
      <c r="N49" s="31">
        <f t="shared" si="4"/>
        <v>70.1922</v>
      </c>
      <c r="O49" s="31">
        <f t="shared" si="5"/>
        <v>100.27457142857143</v>
      </c>
      <c r="P49" s="31">
        <f t="shared" si="6"/>
        <v>63.172980000000003</v>
      </c>
      <c r="R49" s="174">
        <v>23.466000000000001</v>
      </c>
      <c r="S49" s="174"/>
      <c r="T49" s="176">
        <f t="shared" si="17"/>
        <v>0.68398513251454429</v>
      </c>
      <c r="U49" s="175">
        <f t="shared" si="18"/>
        <v>124.99</v>
      </c>
      <c r="V49" s="175"/>
      <c r="W49" s="175">
        <f t="shared" si="19"/>
        <v>74.256</v>
      </c>
      <c r="X49" s="175">
        <f t="shared" si="7"/>
        <v>66.830399999999997</v>
      </c>
      <c r="Y49" s="190">
        <f t="shared" si="8"/>
        <v>0.40590447235778859</v>
      </c>
      <c r="Z49" s="184" t="e">
        <f t="shared" si="20"/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 x14ac:dyDescent="0.25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t="shared" si="15"/>
        <v>54.387</v>
      </c>
      <c r="H50" s="36">
        <v>60.43</v>
      </c>
      <c r="I50" s="36">
        <v>99.99</v>
      </c>
      <c r="J50" s="41">
        <v>87.99</v>
      </c>
      <c r="K50" s="215"/>
      <c r="L50" s="29">
        <f t="shared" si="16"/>
        <v>-0.12001200120012001</v>
      </c>
      <c r="M50" s="50">
        <v>79.989999999999995</v>
      </c>
      <c r="N50" s="31">
        <f t="shared" si="4"/>
        <v>62.392199999999995</v>
      </c>
      <c r="O50" s="31">
        <f t="shared" si="5"/>
        <v>89.131714285714281</v>
      </c>
      <c r="P50" s="31">
        <f t="shared" si="6"/>
        <v>56.152979999999999</v>
      </c>
      <c r="R50" s="174">
        <v>22.983000000000001</v>
      </c>
      <c r="S50" s="174"/>
      <c r="T50" s="176">
        <f t="shared" si="17"/>
        <v>0.63778634074844576</v>
      </c>
      <c r="U50" s="175">
        <f t="shared" si="18"/>
        <v>99.99</v>
      </c>
      <c r="V50" s="175"/>
      <c r="W50" s="175">
        <f t="shared" si="19"/>
        <v>63.451500000000003</v>
      </c>
      <c r="X50" s="175">
        <f t="shared" si="7"/>
        <v>57.106350000000006</v>
      </c>
      <c r="Y50" s="176">
        <f t="shared" si="8"/>
        <v>0.36542154215421535</v>
      </c>
      <c r="Z50" s="184" t="e">
        <f t="shared" si="20"/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 x14ac:dyDescent="0.25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t="shared" si="15"/>
        <v>61.163999999999994</v>
      </c>
      <c r="H51" s="36">
        <v>67.959999999999994</v>
      </c>
      <c r="I51" s="36">
        <v>99.99</v>
      </c>
      <c r="J51" s="41">
        <v>93.99</v>
      </c>
      <c r="K51" s="215"/>
      <c r="L51" s="29">
        <f t="shared" si="16"/>
        <v>-6.0006000600060005E-2</v>
      </c>
      <c r="M51" s="50">
        <v>88.99</v>
      </c>
      <c r="N51" s="31">
        <f t="shared" si="4"/>
        <v>69.412199999999999</v>
      </c>
      <c r="O51" s="31">
        <f t="shared" si="5"/>
        <v>99.16028571428572</v>
      </c>
      <c r="P51" s="31">
        <f t="shared" si="6"/>
        <v>62.470979999999997</v>
      </c>
      <c r="R51" s="174">
        <v>25.35</v>
      </c>
      <c r="S51" s="174"/>
      <c r="T51" s="176">
        <f t="shared" si="17"/>
        <v>0.64474901202387958</v>
      </c>
      <c r="U51" s="175">
        <f t="shared" si="18"/>
        <v>99.99</v>
      </c>
      <c r="V51" s="175"/>
      <c r="W51" s="175">
        <f t="shared" si="19"/>
        <v>71.35799999999999</v>
      </c>
      <c r="X51" s="175">
        <f t="shared" si="7"/>
        <v>64.222199999999987</v>
      </c>
      <c r="Y51" s="180">
        <f t="shared" si="8"/>
        <v>0.28634863486348644</v>
      </c>
      <c r="Z51" s="184" t="e">
        <f t="shared" si="20"/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 x14ac:dyDescent="0.25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t="shared" si="15"/>
        <v>55.080000000000005</v>
      </c>
      <c r="H52" s="36">
        <v>61.2</v>
      </c>
      <c r="I52" s="36">
        <v>89.99</v>
      </c>
      <c r="J52" s="41">
        <v>84.99</v>
      </c>
      <c r="K52" s="215"/>
      <c r="L52" s="29">
        <f t="shared" si="16"/>
        <v>-5.5561729081008981E-2</v>
      </c>
      <c r="M52" s="50">
        <v>78.989999999999995</v>
      </c>
      <c r="N52" s="31">
        <f t="shared" si="4"/>
        <v>61.612200000000001</v>
      </c>
      <c r="O52" s="31">
        <f t="shared" si="5"/>
        <v>88.017428571428582</v>
      </c>
      <c r="P52" s="31">
        <f t="shared" si="6"/>
        <v>55.450980000000001</v>
      </c>
      <c r="R52" s="174">
        <v>22.95</v>
      </c>
      <c r="S52" s="174"/>
      <c r="T52" s="176">
        <f t="shared" si="17"/>
        <v>0.64285714285714279</v>
      </c>
      <c r="U52" s="175">
        <f t="shared" si="18"/>
        <v>89.99</v>
      </c>
      <c r="V52" s="175"/>
      <c r="W52" s="175">
        <f t="shared" si="19"/>
        <v>64.260000000000005</v>
      </c>
      <c r="X52" s="175">
        <f t="shared" si="7"/>
        <v>57.834000000000003</v>
      </c>
      <c r="Y52" s="180">
        <f t="shared" si="8"/>
        <v>0.28592065785087223</v>
      </c>
      <c r="Z52" s="184" t="e">
        <f t="shared" si="20"/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 x14ac:dyDescent="0.25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t="shared" si="15"/>
        <v>35.730000000000004</v>
      </c>
      <c r="H53" s="36">
        <v>39.700000000000003</v>
      </c>
      <c r="I53" s="36">
        <v>69.989999999999995</v>
      </c>
      <c r="J53" s="41">
        <v>46.99</v>
      </c>
      <c r="K53" s="215"/>
      <c r="L53" s="29">
        <f t="shared" si="16"/>
        <v>-0.32861837405343608</v>
      </c>
      <c r="M53" s="50">
        <v>50.99</v>
      </c>
      <c r="N53" s="31">
        <f t="shared" si="4"/>
        <v>39.772200000000005</v>
      </c>
      <c r="O53" s="31">
        <f t="shared" si="5"/>
        <v>56.817428571428586</v>
      </c>
      <c r="P53" s="31">
        <f t="shared" si="6"/>
        <v>35.794980000000002</v>
      </c>
      <c r="R53" s="174">
        <v>10.837</v>
      </c>
      <c r="S53" s="174"/>
      <c r="T53" s="176">
        <f t="shared" si="17"/>
        <v>0.74002638838910884</v>
      </c>
      <c r="U53" s="175">
        <f t="shared" si="18"/>
        <v>69.989999999999995</v>
      </c>
      <c r="V53" s="175"/>
      <c r="W53" s="175">
        <f t="shared" si="19"/>
        <v>41.685000000000002</v>
      </c>
      <c r="X53" s="175">
        <f t="shared" si="7"/>
        <v>37.516500000000001</v>
      </c>
      <c r="Y53" s="176">
        <f t="shared" si="8"/>
        <v>0.40441491641663085</v>
      </c>
      <c r="Z53" s="184" t="e">
        <f t="shared" si="20"/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 x14ac:dyDescent="0.25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t="shared" si="15"/>
        <v>31.157999999999998</v>
      </c>
      <c r="H54" s="36">
        <v>34.619999999999997</v>
      </c>
      <c r="I54" s="36">
        <v>64.989999999999995</v>
      </c>
      <c r="J54" s="41">
        <v>43.99</v>
      </c>
      <c r="K54" s="215"/>
      <c r="L54" s="29">
        <f t="shared" si="16"/>
        <v>-0.32312663486690252</v>
      </c>
      <c r="M54" s="50">
        <v>43.99</v>
      </c>
      <c r="N54" s="31">
        <f t="shared" si="4"/>
        <v>34.312200000000004</v>
      </c>
      <c r="O54" s="31">
        <f t="shared" si="5"/>
        <v>49.017428571428582</v>
      </c>
      <c r="P54" s="31">
        <f t="shared" si="6"/>
        <v>30.880980000000005</v>
      </c>
      <c r="R54" s="174">
        <v>8.8870000000000005</v>
      </c>
      <c r="S54" s="174"/>
      <c r="T54" s="176">
        <f t="shared" si="17"/>
        <v>0.75552254408406916</v>
      </c>
      <c r="U54" s="175">
        <f t="shared" si="18"/>
        <v>64.989999999999995</v>
      </c>
      <c r="V54" s="175"/>
      <c r="W54" s="175">
        <f t="shared" si="19"/>
        <v>36.350999999999999</v>
      </c>
      <c r="X54" s="175">
        <f t="shared" si="7"/>
        <v>32.715899999999998</v>
      </c>
      <c r="Y54" s="191">
        <f t="shared" si="8"/>
        <v>0.44066779504539155</v>
      </c>
      <c r="Z54" s="184" t="e">
        <f t="shared" si="20"/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 x14ac:dyDescent="0.25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t="shared" si="15"/>
        <v>40.923000000000002</v>
      </c>
      <c r="H55" s="36">
        <v>45.47</v>
      </c>
      <c r="I55" s="36">
        <v>119.99</v>
      </c>
      <c r="J55" s="41">
        <v>70.989999999999995</v>
      </c>
      <c r="K55" s="215"/>
      <c r="L55" s="29">
        <f t="shared" si="16"/>
        <v>-0.40836736394699558</v>
      </c>
      <c r="M55" s="50">
        <v>59.99</v>
      </c>
      <c r="N55" s="31">
        <f t="shared" si="4"/>
        <v>46.792200000000001</v>
      </c>
      <c r="O55" s="31">
        <f t="shared" si="5"/>
        <v>66.846000000000004</v>
      </c>
      <c r="P55" s="31">
        <f t="shared" si="6"/>
        <v>42.11298</v>
      </c>
      <c r="R55" s="174">
        <v>10.407</v>
      </c>
      <c r="S55" s="174"/>
      <c r="T55" s="176">
        <f t="shared" si="17"/>
        <v>0.78202268371610806</v>
      </c>
      <c r="U55" s="175">
        <f t="shared" si="18"/>
        <v>119.99</v>
      </c>
      <c r="V55" s="175"/>
      <c r="W55" s="175">
        <f t="shared" si="19"/>
        <v>47.743499999999997</v>
      </c>
      <c r="X55" s="175">
        <f t="shared" si="7"/>
        <v>42.969149999999999</v>
      </c>
      <c r="Y55" s="191">
        <f t="shared" si="8"/>
        <v>0.60210434202850238</v>
      </c>
      <c r="Z55" s="184" t="e">
        <f t="shared" si="20"/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 x14ac:dyDescent="0.25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t="shared" si="15"/>
        <v>38.322000000000003</v>
      </c>
      <c r="H56" s="36">
        <v>42.58</v>
      </c>
      <c r="I56" s="36">
        <v>99.99</v>
      </c>
      <c r="J56" s="41">
        <v>65.989999999999995</v>
      </c>
      <c r="K56" s="215"/>
      <c r="L56" s="29">
        <f t="shared" si="16"/>
        <v>-0.34003400340034007</v>
      </c>
      <c r="M56" s="50">
        <v>54.99</v>
      </c>
      <c r="N56" s="31">
        <f t="shared" si="4"/>
        <v>42.892200000000003</v>
      </c>
      <c r="O56" s="31">
        <f t="shared" si="5"/>
        <v>61.274571428571434</v>
      </c>
      <c r="P56" s="31">
        <f t="shared" si="6"/>
        <v>38.602980000000002</v>
      </c>
      <c r="R56" s="174">
        <v>8.8450000000000006</v>
      </c>
      <c r="S56" s="174"/>
      <c r="T56" s="176">
        <f t="shared" si="17"/>
        <v>0.80216511216980924</v>
      </c>
      <c r="U56" s="175">
        <f t="shared" si="18"/>
        <v>99.99</v>
      </c>
      <c r="V56" s="175"/>
      <c r="W56" s="175">
        <f t="shared" si="19"/>
        <v>44.709000000000003</v>
      </c>
      <c r="X56" s="175">
        <f t="shared" si="7"/>
        <v>40.238100000000003</v>
      </c>
      <c r="Y56" s="191">
        <f t="shared" si="8"/>
        <v>0.55286528652865286</v>
      </c>
      <c r="Z56" s="184" t="e">
        <f t="shared" si="20"/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 x14ac:dyDescent="0.25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t="shared" si="15"/>
        <v>35.685000000000002</v>
      </c>
      <c r="H57" s="36">
        <v>39.65</v>
      </c>
      <c r="I57" s="36">
        <v>59.99</v>
      </c>
      <c r="J57" s="41">
        <v>52.99</v>
      </c>
      <c r="K57" s="215"/>
      <c r="L57" s="29">
        <f t="shared" si="16"/>
        <v>-0.11668611435239207</v>
      </c>
      <c r="M57" s="50">
        <v>50.99</v>
      </c>
      <c r="N57" s="31">
        <f t="shared" si="4"/>
        <v>39.772200000000005</v>
      </c>
      <c r="O57" s="31">
        <f t="shared" si="5"/>
        <v>56.817428571428586</v>
      </c>
      <c r="P57" s="31">
        <f t="shared" si="6"/>
        <v>35.794980000000002</v>
      </c>
      <c r="R57" s="174">
        <v>7.8529999999999998</v>
      </c>
      <c r="S57" s="174"/>
      <c r="T57" s="176">
        <f t="shared" si="17"/>
        <v>0.81137332612742441</v>
      </c>
      <c r="U57" s="175">
        <f t="shared" si="18"/>
        <v>59.99</v>
      </c>
      <c r="V57" s="175"/>
      <c r="W57" s="175">
        <f t="shared" si="19"/>
        <v>41.6325</v>
      </c>
      <c r="X57" s="175">
        <f t="shared" si="7"/>
        <v>37.469250000000002</v>
      </c>
      <c r="Y57" s="176">
        <f t="shared" si="8"/>
        <v>0.30600933488914822</v>
      </c>
      <c r="Z57" s="184" t="e">
        <f t="shared" si="20"/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 x14ac:dyDescent="0.25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t="shared" si="15"/>
        <v>76.00500000000001</v>
      </c>
      <c r="H58" s="36">
        <v>84.45</v>
      </c>
      <c r="I58" s="36">
        <v>149.99</v>
      </c>
      <c r="J58" s="41">
        <v>123.99</v>
      </c>
      <c r="K58" s="215"/>
      <c r="L58" s="29">
        <f t="shared" si="16"/>
        <v>-0.17334488965931072</v>
      </c>
      <c r="M58" s="50">
        <v>109.99</v>
      </c>
      <c r="N58" s="31">
        <f t="shared" si="4"/>
        <v>85.792199999999994</v>
      </c>
      <c r="O58" s="31">
        <f t="shared" si="5"/>
        <v>122.56028571428571</v>
      </c>
      <c r="P58" s="31">
        <f t="shared" si="6"/>
        <v>77.212980000000002</v>
      </c>
      <c r="R58" s="178">
        <v>0</v>
      </c>
      <c r="S58" s="178"/>
      <c r="T58" s="180">
        <f t="shared" si="17"/>
        <v>1</v>
      </c>
      <c r="U58" s="179">
        <f t="shared" si="18"/>
        <v>149.99</v>
      </c>
      <c r="V58" s="179"/>
      <c r="W58" s="179">
        <f t="shared" si="19"/>
        <v>88.672500000000014</v>
      </c>
      <c r="X58" s="179">
        <f t="shared" si="7"/>
        <v>79.805250000000015</v>
      </c>
      <c r="Y58" s="180">
        <f t="shared" si="8"/>
        <v>0.40881058737249143</v>
      </c>
      <c r="Z58" s="184" t="e">
        <f t="shared" si="20"/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 x14ac:dyDescent="0.25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t="shared" si="15"/>
        <v>68.36399999999999</v>
      </c>
      <c r="H59" s="36">
        <v>75.959999999999994</v>
      </c>
      <c r="I59" s="36">
        <v>129.99</v>
      </c>
      <c r="J59" s="41">
        <v>109.99</v>
      </c>
      <c r="K59" s="215"/>
      <c r="L59" s="29">
        <f t="shared" si="16"/>
        <v>-0.15385798907608284</v>
      </c>
      <c r="M59" s="50">
        <v>99.99</v>
      </c>
      <c r="N59" s="31">
        <f t="shared" si="4"/>
        <v>77.992199999999997</v>
      </c>
      <c r="O59" s="31">
        <f t="shared" si="5"/>
        <v>111.41742857142857</v>
      </c>
      <c r="P59" s="31">
        <f t="shared" si="6"/>
        <v>70.192980000000006</v>
      </c>
      <c r="R59" s="174">
        <v>11.933999999999999</v>
      </c>
      <c r="S59" s="174"/>
      <c r="T59" s="176">
        <f t="shared" si="17"/>
        <v>0.85037237643872721</v>
      </c>
      <c r="U59" s="175">
        <f t="shared" si="18"/>
        <v>129.99</v>
      </c>
      <c r="V59" s="175"/>
      <c r="W59" s="175">
        <f t="shared" si="19"/>
        <v>79.757999999999996</v>
      </c>
      <c r="X59" s="175">
        <f t="shared" si="7"/>
        <v>71.782200000000003</v>
      </c>
      <c r="Y59" s="176">
        <f t="shared" si="8"/>
        <v>0.38642972536348957</v>
      </c>
      <c r="Z59" s="184" t="e">
        <f t="shared" si="20"/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 x14ac:dyDescent="0.25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t="shared" si="15"/>
        <v>62.720999999999997</v>
      </c>
      <c r="H60" s="54">
        <v>69.69</v>
      </c>
      <c r="I60" s="54">
        <v>109.99</v>
      </c>
      <c r="J60" s="182">
        <v>93.99</v>
      </c>
      <c r="K60" s="215"/>
      <c r="L60" s="29">
        <f t="shared" si="16"/>
        <v>-0.14546776979725429</v>
      </c>
      <c r="M60" s="50">
        <v>89.99</v>
      </c>
      <c r="N60" s="31">
        <f t="shared" si="4"/>
        <v>70.1922</v>
      </c>
      <c r="O60" s="31">
        <f t="shared" si="5"/>
        <v>100.27457142857143</v>
      </c>
      <c r="P60" s="31">
        <f t="shared" si="6"/>
        <v>63.172980000000003</v>
      </c>
      <c r="R60" s="174">
        <v>11.587999999999999</v>
      </c>
      <c r="S60" s="174"/>
      <c r="T60" s="176">
        <f t="shared" si="17"/>
        <v>0.8416388222673199</v>
      </c>
      <c r="U60" s="175">
        <f t="shared" si="18"/>
        <v>109.99</v>
      </c>
      <c r="V60" s="175"/>
      <c r="W60" s="175">
        <f t="shared" si="19"/>
        <v>73.174499999999995</v>
      </c>
      <c r="X60" s="175">
        <f t="shared" si="7"/>
        <v>65.857050000000001</v>
      </c>
      <c r="Y60" s="176">
        <f t="shared" si="8"/>
        <v>0.33471679243567598</v>
      </c>
      <c r="Z60" s="184" t="e">
        <f t="shared" si="20"/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 x14ac:dyDescent="0.25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ht="15" customHeight="1" x14ac:dyDescent="0.25">
      <c r="B62" s="312" t="s">
        <v>152</v>
      </c>
      <c r="C62" s="313"/>
      <c r="D62" s="21"/>
      <c r="E62" s="21"/>
      <c r="F62" s="21"/>
      <c r="G62" s="22"/>
      <c r="H62" s="22"/>
      <c r="I62" s="47"/>
      <c r="J62" s="47"/>
      <c r="K62" s="214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 x14ac:dyDescent="0.25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t="shared" ref="G63:G66" si="21">H63*0.9</f>
        <v>30.518999999999998</v>
      </c>
      <c r="H63" s="62">
        <v>33.909999999999997</v>
      </c>
      <c r="I63" s="62">
        <v>39.99</v>
      </c>
      <c r="J63" s="62">
        <v>35.99</v>
      </c>
      <c r="K63" s="215"/>
      <c r="L63" s="29">
        <f t="shared" ref="L63:L65" si="22">(J63/I63)-1</f>
        <v>-0.10002500625156285</v>
      </c>
      <c r="M63" s="50">
        <v>42.99</v>
      </c>
      <c r="N63" s="31">
        <f t="shared" si="4"/>
        <v>33.532200000000003</v>
      </c>
      <c r="O63" s="31">
        <f t="shared" si="5"/>
        <v>47.903142857142868</v>
      </c>
      <c r="P63" s="31">
        <f t="shared" si="6"/>
        <v>30.178980000000003</v>
      </c>
      <c r="R63" s="174">
        <v>9.9640000000000004</v>
      </c>
      <c r="S63" s="174"/>
      <c r="T63" s="176">
        <f t="shared" ref="T63:T66" si="23">(W63-R63)/W63</f>
        <v>0.72015559393913864</v>
      </c>
      <c r="U63" s="175">
        <f>I63</f>
        <v>39.99</v>
      </c>
      <c r="V63" s="175"/>
      <c r="W63" s="175">
        <f>H63*1.05</f>
        <v>35.605499999999999</v>
      </c>
      <c r="X63" s="175">
        <f t="shared" si="7"/>
        <v>32.04495</v>
      </c>
      <c r="Y63" s="180">
        <f t="shared" si="8"/>
        <v>0.10963990997749444</v>
      </c>
      <c r="Z63" s="184" t="e">
        <f t="shared" si="20"/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 x14ac:dyDescent="0.25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t="shared" si="21"/>
        <v>27.765000000000001</v>
      </c>
      <c r="H64" s="41">
        <v>30.85</v>
      </c>
      <c r="I64" s="41">
        <v>34.99</v>
      </c>
      <c r="J64" s="41">
        <v>30.99</v>
      </c>
      <c r="K64" s="215"/>
      <c r="L64" s="29">
        <f t="shared" si="22"/>
        <v>-0.1143183766790512</v>
      </c>
      <c r="M64" s="50">
        <v>38.99</v>
      </c>
      <c r="N64" s="31">
        <f t="shared" si="4"/>
        <v>30.412200000000002</v>
      </c>
      <c r="O64" s="31">
        <f t="shared" si="5"/>
        <v>43.446000000000005</v>
      </c>
      <c r="P64" s="31">
        <f t="shared" si="6"/>
        <v>27.370980000000003</v>
      </c>
      <c r="R64" s="174">
        <v>10.227</v>
      </c>
      <c r="S64" s="174"/>
      <c r="T64" s="176">
        <f t="shared" si="23"/>
        <v>0.6842787682333874</v>
      </c>
      <c r="U64" s="175">
        <f>I64</f>
        <v>34.99</v>
      </c>
      <c r="V64" s="175"/>
      <c r="W64" s="175">
        <f>H64*1.05</f>
        <v>32.392500000000005</v>
      </c>
      <c r="X64" s="175">
        <f t="shared" si="7"/>
        <v>29.153250000000007</v>
      </c>
      <c r="Y64" s="180">
        <f t="shared" si="8"/>
        <v>7.4235495855958747E-2</v>
      </c>
      <c r="Z64" s="184" t="e">
        <f t="shared" si="20"/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 x14ac:dyDescent="0.25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t="shared" si="21"/>
        <v>19.989000000000001</v>
      </c>
      <c r="H65" s="36">
        <v>22.21</v>
      </c>
      <c r="I65" s="36">
        <v>29.99</v>
      </c>
      <c r="J65" s="41">
        <v>22.99</v>
      </c>
      <c r="K65" s="215"/>
      <c r="L65" s="29">
        <f t="shared" si="22"/>
        <v>-0.23341113704568195</v>
      </c>
      <c r="M65" s="50">
        <v>28.99</v>
      </c>
      <c r="N65" s="31">
        <f t="shared" si="4"/>
        <v>22.612199999999998</v>
      </c>
      <c r="O65" s="31">
        <f t="shared" si="5"/>
        <v>32.303142857142859</v>
      </c>
      <c r="P65" s="31">
        <f t="shared" si="6"/>
        <v>20.35098</v>
      </c>
      <c r="R65" s="174">
        <v>5.976</v>
      </c>
      <c r="S65" s="174"/>
      <c r="T65" s="176">
        <f t="shared" si="23"/>
        <v>0.74374477391136562</v>
      </c>
      <c r="U65" s="175">
        <f>I65</f>
        <v>29.99</v>
      </c>
      <c r="V65" s="175"/>
      <c r="W65" s="175">
        <f>H65*1.05</f>
        <v>23.320500000000003</v>
      </c>
      <c r="X65" s="175">
        <f t="shared" si="7"/>
        <v>20.988450000000004</v>
      </c>
      <c r="Y65" s="180">
        <f t="shared" si="8"/>
        <v>0.22239079693231065</v>
      </c>
      <c r="Z65" s="184" t="e">
        <f t="shared" si="20"/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 x14ac:dyDescent="0.25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t="shared" si="21"/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t="shared" si="4"/>
        <v>0</v>
      </c>
      <c r="O66" s="31">
        <f t="shared" si="5"/>
        <v>0</v>
      </c>
      <c r="P66" s="31">
        <f t="shared" si="6"/>
        <v>0</v>
      </c>
      <c r="R66" s="174">
        <v>6.3040000000000003</v>
      </c>
      <c r="S66" s="174"/>
      <c r="T66" s="176">
        <f t="shared" si="23"/>
        <v>0.59129955590132577</v>
      </c>
      <c r="U66" s="175">
        <f>I66</f>
        <v>24.99</v>
      </c>
      <c r="V66" s="175"/>
      <c r="W66" s="175">
        <f>H66*1.05</f>
        <v>15.4245</v>
      </c>
      <c r="X66" s="175">
        <f t="shared" si="7"/>
        <v>13.88205</v>
      </c>
      <c r="Y66" s="176">
        <f t="shared" si="8"/>
        <v>0.38277310924369745</v>
      </c>
      <c r="Z66" s="184" t="e">
        <f t="shared" si="20"/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 x14ac:dyDescent="0.25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ht="15" customHeight="1" x14ac:dyDescent="0.25">
      <c r="B68" s="312" t="s">
        <v>161</v>
      </c>
      <c r="C68" s="313"/>
      <c r="D68" s="21"/>
      <c r="E68" s="21"/>
      <c r="F68" s="21"/>
      <c r="G68" s="22"/>
      <c r="H68" s="22"/>
      <c r="I68" s="47"/>
      <c r="J68" s="47"/>
      <c r="K68" s="214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 x14ac:dyDescent="0.25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t="shared" ref="G69" si="24">H69*0.9</f>
        <v>27.513000000000002</v>
      </c>
      <c r="H69" s="28">
        <v>30.57</v>
      </c>
      <c r="I69" s="28">
        <v>69.989999999999995</v>
      </c>
      <c r="J69" s="28">
        <v>69.989999999999995</v>
      </c>
      <c r="K69" s="118"/>
      <c r="L69" s="14"/>
      <c r="M69" s="197"/>
      <c r="N69" s="31">
        <f t="shared" si="4"/>
        <v>0</v>
      </c>
      <c r="O69" s="31">
        <f t="shared" si="5"/>
        <v>0</v>
      </c>
      <c r="P69" s="31">
        <f t="shared" si="6"/>
        <v>0</v>
      </c>
      <c r="R69" s="174">
        <v>13.494999999999999</v>
      </c>
      <c r="S69" s="174"/>
      <c r="T69" s="176">
        <f t="shared" ref="T69:T76" si="25">(W69-R69)/W69</f>
        <v>0.57957536956555611</v>
      </c>
      <c r="U69" s="175">
        <f t="shared" ref="U69:U76" si="26">I69</f>
        <v>69.989999999999995</v>
      </c>
      <c r="V69" s="175"/>
      <c r="W69" s="175">
        <f t="shared" ref="W69:W76" si="27">H69*1.05</f>
        <v>32.098500000000001</v>
      </c>
      <c r="X69" s="175">
        <f t="shared" si="7"/>
        <v>28.888650000000002</v>
      </c>
      <c r="Y69" s="191">
        <f t="shared" si="8"/>
        <v>0.54138448349764245</v>
      </c>
      <c r="Z69" s="184" t="e">
        <f t="shared" si="20"/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 x14ac:dyDescent="0.25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t="shared" ref="N70:N134" si="28">M70*0.78</f>
        <v>0</v>
      </c>
      <c r="O70" s="31">
        <f t="shared" ref="O70:O134" si="29">N70/0.7</f>
        <v>0</v>
      </c>
      <c r="P70" s="31">
        <f t="shared" ref="P70:P134" si="30">N70*0.9</f>
        <v>0</v>
      </c>
      <c r="R70" s="174">
        <v>4.9880000000000004</v>
      </c>
      <c r="S70" s="174"/>
      <c r="T70" s="176">
        <f t="shared" si="25"/>
        <v>0.75885907662557406</v>
      </c>
      <c r="U70" s="175">
        <f t="shared" si="26"/>
        <v>39.99</v>
      </c>
      <c r="V70" s="175"/>
      <c r="W70" s="175">
        <f t="shared" si="27"/>
        <v>20.684999999999999</v>
      </c>
      <c r="X70" s="175">
        <f t="shared" ref="X70:X134" si="31">W70*0.9</f>
        <v>18.616499999999998</v>
      </c>
      <c r="Y70" s="191">
        <f t="shared" ref="Y70:Y134" si="32">(U70-W70)/U70</f>
        <v>0.48274568642160548</v>
      </c>
      <c r="Z70" s="184" t="e">
        <f t="shared" si="20"/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 x14ac:dyDescent="0.25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34.229999999999997</v>
      </c>
      <c r="H71" s="36">
        <v>37.65</v>
      </c>
      <c r="I71" s="36">
        <v>59.99</v>
      </c>
      <c r="J71" s="41">
        <v>53.99</v>
      </c>
      <c r="K71" s="215"/>
      <c r="L71" s="29">
        <f t="shared" ref="L71:L73" si="33">(J71/I71)-1</f>
        <v>-0.1000166694449075</v>
      </c>
      <c r="M71" s="198">
        <v>47.99</v>
      </c>
      <c r="N71" s="31">
        <f t="shared" si="28"/>
        <v>37.432200000000002</v>
      </c>
      <c r="O71" s="31">
        <f t="shared" si="29"/>
        <v>53.474571428571437</v>
      </c>
      <c r="P71" s="31">
        <f t="shared" si="30"/>
        <v>33.688980000000001</v>
      </c>
      <c r="R71" s="174">
        <v>10.321999999999999</v>
      </c>
      <c r="S71" s="174"/>
      <c r="T71" s="176">
        <f t="shared" si="25"/>
        <v>0.73889837475494846</v>
      </c>
      <c r="U71" s="175">
        <f t="shared" si="26"/>
        <v>59.99</v>
      </c>
      <c r="V71" s="175"/>
      <c r="W71" s="175">
        <f t="shared" si="27"/>
        <v>39.532499999999999</v>
      </c>
      <c r="X71" s="175">
        <f t="shared" si="31"/>
        <v>35.579250000000002</v>
      </c>
      <c r="Y71" s="176">
        <f t="shared" si="32"/>
        <v>0.34101516919486585</v>
      </c>
      <c r="Z71" s="184" t="e">
        <f t="shared" si="20"/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 x14ac:dyDescent="0.25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16.920000000000002</v>
      </c>
      <c r="H72" s="36">
        <v>18.62</v>
      </c>
      <c r="I72" s="36">
        <v>39.99</v>
      </c>
      <c r="J72" s="41">
        <v>21.99</v>
      </c>
      <c r="K72" s="215"/>
      <c r="L72" s="29">
        <f t="shared" si="33"/>
        <v>-0.45011252813203306</v>
      </c>
      <c r="M72" s="198">
        <v>23.99</v>
      </c>
      <c r="N72" s="31">
        <f t="shared" si="28"/>
        <v>18.712199999999999</v>
      </c>
      <c r="O72" s="31">
        <f t="shared" si="29"/>
        <v>26.731714285714286</v>
      </c>
      <c r="P72" s="31">
        <f t="shared" si="30"/>
        <v>16.840979999999998</v>
      </c>
      <c r="R72" s="174">
        <v>8.7840000000000007</v>
      </c>
      <c r="S72" s="174"/>
      <c r="T72" s="176">
        <f t="shared" si="25"/>
        <v>0.55071351849010286</v>
      </c>
      <c r="U72" s="175">
        <f t="shared" si="26"/>
        <v>39.99</v>
      </c>
      <c r="V72" s="175"/>
      <c r="W72" s="175">
        <f t="shared" si="27"/>
        <v>19.551000000000002</v>
      </c>
      <c r="X72" s="175">
        <f t="shared" si="31"/>
        <v>17.595900000000004</v>
      </c>
      <c r="Y72" s="191">
        <f t="shared" si="32"/>
        <v>0.51110277569392348</v>
      </c>
      <c r="Z72" s="184" t="e">
        <f t="shared" si="20"/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 x14ac:dyDescent="0.25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5"/>
      <c r="L73" s="29">
        <f t="shared" si="33"/>
        <v>-0.56432602328737769</v>
      </c>
      <c r="M73" s="198">
        <v>86.99</v>
      </c>
      <c r="N73" s="31">
        <f t="shared" si="28"/>
        <v>67.852199999999996</v>
      </c>
      <c r="O73" s="31">
        <f t="shared" si="29"/>
        <v>96.931714285714293</v>
      </c>
      <c r="P73" s="31">
        <f t="shared" si="30"/>
        <v>61.066980000000001</v>
      </c>
      <c r="R73" s="174">
        <v>18.901</v>
      </c>
      <c r="S73" s="174"/>
      <c r="T73" s="176">
        <f t="shared" si="25"/>
        <v>0.7336349159373724</v>
      </c>
      <c r="U73" s="175">
        <f t="shared" si="26"/>
        <v>139.99</v>
      </c>
      <c r="V73" s="175"/>
      <c r="W73" s="175">
        <f t="shared" si="27"/>
        <v>70.959000000000003</v>
      </c>
      <c r="X73" s="175">
        <f t="shared" si="31"/>
        <v>63.863100000000003</v>
      </c>
      <c r="Y73" s="191">
        <f t="shared" si="32"/>
        <v>0.49311379384241733</v>
      </c>
      <c r="Z73" s="184" t="e">
        <f t="shared" si="20"/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 x14ac:dyDescent="0.25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19.489999999999998</v>
      </c>
      <c r="I74" s="36">
        <v>29.99</v>
      </c>
      <c r="J74" s="41">
        <v>29.99</v>
      </c>
      <c r="K74" s="215"/>
      <c r="L74" s="14"/>
      <c r="M74" s="197"/>
      <c r="N74" s="31">
        <f t="shared" si="28"/>
        <v>0</v>
      </c>
      <c r="O74" s="31">
        <f t="shared" si="29"/>
        <v>0</v>
      </c>
      <c r="P74" s="31">
        <f t="shared" si="30"/>
        <v>0</v>
      </c>
      <c r="R74" s="174">
        <v>8.0860000000000003</v>
      </c>
      <c r="S74" s="174"/>
      <c r="T74" s="176">
        <f t="shared" si="25"/>
        <v>0.60487673776539852</v>
      </c>
      <c r="U74" s="175">
        <f t="shared" si="26"/>
        <v>29.99</v>
      </c>
      <c r="V74" s="175"/>
      <c r="W74" s="175">
        <f t="shared" si="27"/>
        <v>20.464499999999997</v>
      </c>
      <c r="X74" s="175">
        <f t="shared" si="31"/>
        <v>18.418049999999997</v>
      </c>
      <c r="Y74" s="176">
        <f t="shared" si="32"/>
        <v>0.31762254084694902</v>
      </c>
      <c r="Z74" s="184" t="e">
        <f t="shared" si="20"/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 x14ac:dyDescent="0.25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16.239999999999998</v>
      </c>
      <c r="I75" s="36">
        <v>24.99</v>
      </c>
      <c r="J75" s="41">
        <v>24.99</v>
      </c>
      <c r="K75" s="215"/>
      <c r="L75" s="14"/>
      <c r="M75" s="197"/>
      <c r="N75" s="31">
        <f t="shared" si="28"/>
        <v>0</v>
      </c>
      <c r="O75" s="31">
        <f t="shared" si="29"/>
        <v>0</v>
      </c>
      <c r="P75" s="31">
        <f t="shared" si="30"/>
        <v>0</v>
      </c>
      <c r="R75" s="174">
        <v>6.2789999999999999</v>
      </c>
      <c r="S75" s="174"/>
      <c r="T75" s="176">
        <f t="shared" si="25"/>
        <v>0.63177339901477836</v>
      </c>
      <c r="U75" s="175">
        <f t="shared" si="26"/>
        <v>24.99</v>
      </c>
      <c r="V75" s="175"/>
      <c r="W75" s="175">
        <f t="shared" si="27"/>
        <v>17.052</v>
      </c>
      <c r="X75" s="175">
        <f t="shared" si="31"/>
        <v>15.3468</v>
      </c>
      <c r="Y75" s="176">
        <f t="shared" si="32"/>
        <v>0.31764705882352939</v>
      </c>
      <c r="Z75" s="184" t="e">
        <f t="shared" si="20"/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 x14ac:dyDescent="0.25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5"/>
      <c r="L76" s="29">
        <f t="shared" ref="L76" si="34">(J76/I76)-1</f>
        <v>-5.2002080083203284E-2</v>
      </c>
      <c r="M76" s="198">
        <v>197.99</v>
      </c>
      <c r="N76" s="31">
        <f t="shared" si="28"/>
        <v>154.43220000000002</v>
      </c>
      <c r="O76" s="31">
        <f t="shared" si="29"/>
        <v>220.6174285714286</v>
      </c>
      <c r="P76" s="31">
        <f t="shared" si="30"/>
        <v>138.98898000000003</v>
      </c>
      <c r="R76" s="174">
        <v>99.793000000000006</v>
      </c>
      <c r="S76" s="174"/>
      <c r="T76" s="176">
        <f t="shared" si="25"/>
        <v>0.38421049383858769</v>
      </c>
      <c r="U76" s="175">
        <f t="shared" si="26"/>
        <v>249.99</v>
      </c>
      <c r="V76" s="175"/>
      <c r="W76" s="175">
        <f t="shared" si="27"/>
        <v>162.05700000000002</v>
      </c>
      <c r="X76" s="175">
        <f t="shared" si="31"/>
        <v>145.85130000000001</v>
      </c>
      <c r="Y76" s="176">
        <f t="shared" si="32"/>
        <v>0.35174606984279366</v>
      </c>
      <c r="Z76" s="184" t="e">
        <f t="shared" si="20"/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 x14ac:dyDescent="0.25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ht="15" customHeight="1" x14ac:dyDescent="0.25">
      <c r="B78" s="312" t="s">
        <v>181</v>
      </c>
      <c r="C78" s="313"/>
      <c r="D78" s="21"/>
      <c r="E78" s="21"/>
      <c r="F78" s="21"/>
      <c r="G78" s="22"/>
      <c r="H78" s="22"/>
      <c r="I78" s="47"/>
      <c r="J78" s="47"/>
      <c r="K78" s="226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 x14ac:dyDescent="0.25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t="shared" ref="G79:G104" si="35">H79*0.9</f>
        <v>102.456</v>
      </c>
      <c r="H79" s="28">
        <v>113.84</v>
      </c>
      <c r="I79" s="28">
        <v>209.99</v>
      </c>
      <c r="J79" s="62">
        <v>169.99</v>
      </c>
      <c r="K79" s="227">
        <f>AB79*H79</f>
        <v>10488648.4</v>
      </c>
      <c r="L79" s="29">
        <f t="shared" ref="L79:L104" si="36">(J79/I79)-1</f>
        <v>-0.19048526120291442</v>
      </c>
      <c r="M79" s="196">
        <v>169.99</v>
      </c>
      <c r="N79" s="31">
        <f t="shared" si="28"/>
        <v>132.59220000000002</v>
      </c>
      <c r="O79" s="31">
        <f t="shared" si="29"/>
        <v>189.41742857142862</v>
      </c>
      <c r="P79" s="31">
        <f t="shared" si="30"/>
        <v>119.33298000000002</v>
      </c>
      <c r="R79" s="174">
        <v>69.049000000000007</v>
      </c>
      <c r="S79" s="207">
        <f t="shared" ref="S79:S83" si="37">R79*AB79</f>
        <v>6361829.6150000002</v>
      </c>
      <c r="T79" s="176">
        <f>(W79-R79)/W79</f>
        <v>0.44859611576055713</v>
      </c>
      <c r="U79" s="175">
        <f t="shared" ref="U79:U104" si="38">I79</f>
        <v>209.99</v>
      </c>
      <c r="V79" s="200">
        <v>199.99</v>
      </c>
      <c r="W79" s="175">
        <f>H79*1.1</f>
        <v>125.22400000000002</v>
      </c>
      <c r="X79" s="175">
        <f t="shared" si="31"/>
        <v>112.70160000000001</v>
      </c>
      <c r="Y79" s="176">
        <f t="shared" si="32"/>
        <v>0.40366684127815605</v>
      </c>
      <c r="Z79" s="184">
        <f t="shared" si="20"/>
        <v>0.37384869243462165</v>
      </c>
      <c r="AB79" s="173">
        <v>92135</v>
      </c>
      <c r="AC79" s="201">
        <f>AB79*W79</f>
        <v>11537513.240000002</v>
      </c>
      <c r="AD79" s="201">
        <f>AC79-K79</f>
        <v>1048864.8400000017</v>
      </c>
      <c r="AE79" s="4" t="s">
        <v>873</v>
      </c>
      <c r="AF79" s="31">
        <v>181.99</v>
      </c>
      <c r="AG79" s="193">
        <v>199.99</v>
      </c>
      <c r="AH79" s="31">
        <f>130.11*1.1</f>
        <v>143.12100000000004</v>
      </c>
      <c r="AI79" s="31">
        <f>AH79*0.9</f>
        <v>128.80890000000005</v>
      </c>
      <c r="AJ79" s="176">
        <f>(AG79-AH79)/AG79</f>
        <v>0.28435921796089791</v>
      </c>
    </row>
    <row r="80" spans="2:36" s="15" customFormat="1" x14ac:dyDescent="0.25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t="shared" si="35"/>
        <v>135.04500000000002</v>
      </c>
      <c r="H80" s="36">
        <v>150.05000000000001</v>
      </c>
      <c r="I80" s="36">
        <v>234.99</v>
      </c>
      <c r="J80" s="41">
        <v>209.99</v>
      </c>
      <c r="K80" s="227">
        <f t="shared" ref="K80:K104" si="39">AB80*H80</f>
        <v>2877358.8000000003</v>
      </c>
      <c r="L80" s="29">
        <f t="shared" si="36"/>
        <v>-0.10638750585131285</v>
      </c>
      <c r="M80" s="196">
        <v>199.99</v>
      </c>
      <c r="N80" s="31">
        <f t="shared" si="28"/>
        <v>155.99220000000003</v>
      </c>
      <c r="O80" s="31">
        <f t="shared" si="29"/>
        <v>222.84600000000006</v>
      </c>
      <c r="P80" s="31">
        <f t="shared" si="30"/>
        <v>140.39298000000002</v>
      </c>
      <c r="R80" s="174">
        <v>90.56</v>
      </c>
      <c r="S80" s="207">
        <f t="shared" si="37"/>
        <v>1736578.56</v>
      </c>
      <c r="T80" s="176">
        <f t="shared" ref="T80:T104" si="40">(W80-R80)/W80</f>
        <v>0.45133440368362071</v>
      </c>
      <c r="U80" s="175">
        <f t="shared" si="38"/>
        <v>234.99</v>
      </c>
      <c r="V80" s="175"/>
      <c r="W80" s="175">
        <f t="shared" ref="W80:W104" si="41">H80*1.1</f>
        <v>165.05500000000004</v>
      </c>
      <c r="X80" s="175">
        <f t="shared" si="31"/>
        <v>148.54950000000002</v>
      </c>
      <c r="Y80" s="176">
        <f t="shared" si="32"/>
        <v>0.29760840886846235</v>
      </c>
      <c r="Z80" s="184"/>
      <c r="AB80" s="173">
        <v>19176</v>
      </c>
      <c r="AC80" s="201">
        <f t="shared" ref="AC80:AC104" si="42">AB80*W80</f>
        <v>3165094.6800000006</v>
      </c>
      <c r="AD80" s="201">
        <f t="shared" ref="AD80:AD93" si="43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 x14ac:dyDescent="0.25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t="shared" si="35"/>
        <v>188.88300000000001</v>
      </c>
      <c r="H81" s="36">
        <v>209.87</v>
      </c>
      <c r="I81" s="36">
        <v>329.99</v>
      </c>
      <c r="J81" s="41">
        <v>291.99</v>
      </c>
      <c r="K81" s="227">
        <f t="shared" si="39"/>
        <v>669065.56000000006</v>
      </c>
      <c r="L81" s="29">
        <f t="shared" si="36"/>
        <v>-0.11515500469711204</v>
      </c>
      <c r="M81" s="196">
        <v>269.99</v>
      </c>
      <c r="N81" s="31">
        <f t="shared" si="28"/>
        <v>210.59220000000002</v>
      </c>
      <c r="O81" s="31">
        <f t="shared" si="29"/>
        <v>300.84600000000006</v>
      </c>
      <c r="P81" s="31">
        <f t="shared" si="30"/>
        <v>189.53298000000001</v>
      </c>
      <c r="R81" s="174">
        <v>117.283</v>
      </c>
      <c r="S81" s="207">
        <f t="shared" si="37"/>
        <v>373898.20400000003</v>
      </c>
      <c r="T81" s="176">
        <f t="shared" si="40"/>
        <v>0.49196688859337173</v>
      </c>
      <c r="U81" s="175">
        <f t="shared" si="38"/>
        <v>329.99</v>
      </c>
      <c r="V81" s="175"/>
      <c r="W81" s="175">
        <f t="shared" si="41"/>
        <v>230.85700000000003</v>
      </c>
      <c r="X81" s="175">
        <f t="shared" si="31"/>
        <v>207.77130000000002</v>
      </c>
      <c r="Y81" s="176">
        <f t="shared" si="32"/>
        <v>0.30041213370102116</v>
      </c>
      <c r="Z81" s="184"/>
      <c r="AB81" s="4">
        <v>3188</v>
      </c>
      <c r="AC81" s="201">
        <f t="shared" si="42"/>
        <v>735972.11600000004</v>
      </c>
      <c r="AD81" s="201">
        <f t="shared" si="43"/>
        <v>66906.555999999982</v>
      </c>
      <c r="AE81" s="4" t="s">
        <v>872</v>
      </c>
      <c r="AF81" s="31">
        <v>304.99</v>
      </c>
      <c r="AG81" s="193">
        <v>334.99</v>
      </c>
      <c r="AH81" s="31">
        <f>217.56*1.1</f>
        <v>239.31600000000003</v>
      </c>
      <c r="AI81" s="31">
        <f>AH81*0.9</f>
        <v>215.38440000000003</v>
      </c>
      <c r="AJ81" s="176">
        <f>(AG81-AH81)/AG81</f>
        <v>0.28560255530015816</v>
      </c>
    </row>
    <row r="82" spans="2:36" s="15" customFormat="1" x14ac:dyDescent="0.25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t="shared" si="35"/>
        <v>275.49</v>
      </c>
      <c r="H82" s="36">
        <v>306.10000000000002</v>
      </c>
      <c r="I82" s="36">
        <v>549.99</v>
      </c>
      <c r="J82" s="41">
        <v>462.99</v>
      </c>
      <c r="K82" s="227">
        <f t="shared" si="39"/>
        <v>119685.1</v>
      </c>
      <c r="L82" s="29">
        <f t="shared" si="36"/>
        <v>-0.15818469426716852</v>
      </c>
      <c r="M82" s="30">
        <v>479.99</v>
      </c>
      <c r="N82" s="31">
        <f t="shared" si="28"/>
        <v>374.3922</v>
      </c>
      <c r="O82" s="31">
        <f t="shared" si="29"/>
        <v>534.846</v>
      </c>
      <c r="P82" s="31">
        <f t="shared" si="30"/>
        <v>336.95298000000003</v>
      </c>
      <c r="R82" s="174">
        <v>143.91</v>
      </c>
      <c r="S82" s="207">
        <f t="shared" si="37"/>
        <v>56268.81</v>
      </c>
      <c r="T82" s="176">
        <f t="shared" si="40"/>
        <v>0.57259956639244458</v>
      </c>
      <c r="U82" s="175">
        <f t="shared" si="38"/>
        <v>549.99</v>
      </c>
      <c r="V82" s="175">
        <v>499.99</v>
      </c>
      <c r="W82" s="175">
        <f t="shared" si="41"/>
        <v>336.71000000000004</v>
      </c>
      <c r="X82" s="175">
        <f t="shared" si="31"/>
        <v>303.03900000000004</v>
      </c>
      <c r="Y82" s="176">
        <f t="shared" si="32"/>
        <v>0.38778886888852521</v>
      </c>
      <c r="Z82" s="184">
        <f t="shared" si="20"/>
        <v>0.32656653133062657</v>
      </c>
      <c r="AB82" s="4">
        <v>391</v>
      </c>
      <c r="AC82" s="202">
        <f t="shared" si="42"/>
        <v>131653.61000000002</v>
      </c>
      <c r="AD82" s="208">
        <f t="shared" si="43"/>
        <v>11968.510000000009</v>
      </c>
      <c r="AE82" s="4"/>
      <c r="AF82" s="4"/>
      <c r="AG82" s="4"/>
      <c r="AH82" s="4"/>
      <c r="AI82" s="4"/>
      <c r="AJ82" s="4"/>
    </row>
    <row r="83" spans="2:36" s="15" customFormat="1" x14ac:dyDescent="0.25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t="shared" si="35"/>
        <v>158.06700000000001</v>
      </c>
      <c r="H83" s="36">
        <v>175.63</v>
      </c>
      <c r="I83" s="181">
        <v>219.99</v>
      </c>
      <c r="J83" s="183">
        <v>215.99</v>
      </c>
      <c r="K83" s="227">
        <f t="shared" si="39"/>
        <v>335453.3</v>
      </c>
      <c r="L83" s="29">
        <f t="shared" si="36"/>
        <v>-1.8182644665666658E-2</v>
      </c>
      <c r="M83" s="30">
        <f t="shared" ref="M83:M90" si="44">J83</f>
        <v>215.99</v>
      </c>
      <c r="N83" s="31">
        <f t="shared" si="28"/>
        <v>168.47220000000002</v>
      </c>
      <c r="O83" s="31">
        <f t="shared" si="29"/>
        <v>240.67457142857145</v>
      </c>
      <c r="P83" s="31">
        <f t="shared" si="30"/>
        <v>151.62498000000002</v>
      </c>
      <c r="R83" s="174">
        <v>92.762</v>
      </c>
      <c r="S83" s="207">
        <f t="shared" si="37"/>
        <v>177175.42</v>
      </c>
      <c r="T83" s="176">
        <f t="shared" si="40"/>
        <v>0.51984802762004834</v>
      </c>
      <c r="U83" s="175">
        <f t="shared" si="38"/>
        <v>219.99</v>
      </c>
      <c r="V83" s="175">
        <v>279.99</v>
      </c>
      <c r="W83" s="175">
        <f t="shared" si="41"/>
        <v>193.19300000000001</v>
      </c>
      <c r="X83" s="175">
        <f t="shared" si="31"/>
        <v>173.87370000000001</v>
      </c>
      <c r="Y83" s="176">
        <f>(U83-W83)/U83</f>
        <v>0.1218100822764671</v>
      </c>
      <c r="Z83" s="184">
        <f t="shared" si="20"/>
        <v>0.31000035715561269</v>
      </c>
      <c r="AB83" s="4">
        <v>1910</v>
      </c>
      <c r="AC83" s="208">
        <f t="shared" si="42"/>
        <v>368998.63</v>
      </c>
      <c r="AD83" s="208">
        <f t="shared" si="43"/>
        <v>33545.330000000016</v>
      </c>
      <c r="AE83" s="4"/>
      <c r="AF83" s="4"/>
      <c r="AG83" s="4"/>
      <c r="AH83" s="4"/>
      <c r="AI83" s="4"/>
      <c r="AJ83" s="4"/>
    </row>
    <row r="84" spans="2:36" s="15" customFormat="1" x14ac:dyDescent="0.25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t="shared" si="35"/>
        <v>130.059</v>
      </c>
      <c r="H84" s="36">
        <v>144.51</v>
      </c>
      <c r="I84" s="36">
        <v>229.99</v>
      </c>
      <c r="J84" s="183">
        <v>199.99</v>
      </c>
      <c r="K84" s="227">
        <f t="shared" si="39"/>
        <v>162718.25999999998</v>
      </c>
      <c r="L84" s="29">
        <f t="shared" si="36"/>
        <v>-0.1304404539327797</v>
      </c>
      <c r="M84" s="30">
        <v>184.99</v>
      </c>
      <c r="N84" s="31">
        <f t="shared" si="28"/>
        <v>144.29220000000001</v>
      </c>
      <c r="O84" s="31">
        <f t="shared" si="29"/>
        <v>206.13171428571431</v>
      </c>
      <c r="P84" s="31">
        <f t="shared" si="30"/>
        <v>129.86298000000002</v>
      </c>
      <c r="R84" s="174">
        <v>76.731999999999999</v>
      </c>
      <c r="S84" s="207">
        <f>R84*AB84</f>
        <v>86400.232000000004</v>
      </c>
      <c r="T84" s="176">
        <f t="shared" si="40"/>
        <v>0.5172904045646417</v>
      </c>
      <c r="U84" s="175">
        <f t="shared" si="38"/>
        <v>229.99</v>
      </c>
      <c r="V84" s="175"/>
      <c r="W84" s="175">
        <f t="shared" si="41"/>
        <v>158.96100000000001</v>
      </c>
      <c r="X84" s="175">
        <f t="shared" si="31"/>
        <v>143.06490000000002</v>
      </c>
      <c r="Y84" s="176">
        <f t="shared" si="32"/>
        <v>0.30883516674638023</v>
      </c>
      <c r="Z84" s="184"/>
      <c r="AB84" s="4">
        <v>1126</v>
      </c>
      <c r="AC84" s="205">
        <f t="shared" si="42"/>
        <v>178990.08600000001</v>
      </c>
      <c r="AD84" s="208">
        <f t="shared" si="43"/>
        <v>16271.82600000003</v>
      </c>
      <c r="AE84" s="4"/>
      <c r="AF84" s="4"/>
      <c r="AG84" s="4"/>
      <c r="AH84" s="4"/>
      <c r="AI84" s="4"/>
      <c r="AJ84" s="4"/>
    </row>
    <row r="85" spans="2:36" s="15" customFormat="1" x14ac:dyDescent="0.25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t="shared" si="35"/>
        <v>138.69</v>
      </c>
      <c r="H85" s="36">
        <v>154.1</v>
      </c>
      <c r="I85" s="36">
        <v>239.99</v>
      </c>
      <c r="J85" s="41">
        <v>228.99</v>
      </c>
      <c r="K85" s="227">
        <f t="shared" si="39"/>
        <v>48695.6</v>
      </c>
      <c r="L85" s="29">
        <f t="shared" si="36"/>
        <v>-4.5835243135130654E-2</v>
      </c>
      <c r="M85" s="30">
        <v>197.99</v>
      </c>
      <c r="N85" s="31">
        <f t="shared" si="28"/>
        <v>154.43220000000002</v>
      </c>
      <c r="O85" s="31">
        <f t="shared" si="29"/>
        <v>220.6174285714286</v>
      </c>
      <c r="P85" s="31">
        <f t="shared" si="30"/>
        <v>138.98898000000003</v>
      </c>
      <c r="R85" s="174">
        <v>85.923000000000002</v>
      </c>
      <c r="S85" s="207">
        <f t="shared" ref="S85:S104" si="45">R85*AB85</f>
        <v>27151.668000000001</v>
      </c>
      <c r="T85" s="176">
        <f t="shared" si="40"/>
        <v>0.49310955105893461</v>
      </c>
      <c r="U85" s="175">
        <f t="shared" si="38"/>
        <v>239.99</v>
      </c>
      <c r="V85" s="175"/>
      <c r="W85" s="175">
        <f t="shared" si="41"/>
        <v>169.51000000000002</v>
      </c>
      <c r="X85" s="175">
        <f t="shared" si="31"/>
        <v>152.55900000000003</v>
      </c>
      <c r="Y85" s="176">
        <f t="shared" si="32"/>
        <v>0.29367890328763691</v>
      </c>
      <c r="Z85" s="184"/>
      <c r="AB85" s="4">
        <v>316</v>
      </c>
      <c r="AC85" s="205">
        <f t="shared" si="42"/>
        <v>53565.16</v>
      </c>
      <c r="AD85" s="208">
        <f t="shared" si="43"/>
        <v>4869.5600000000049</v>
      </c>
      <c r="AE85" s="4"/>
      <c r="AF85" s="4"/>
      <c r="AG85" s="4"/>
      <c r="AH85" s="4"/>
      <c r="AI85" s="4"/>
      <c r="AJ85" s="4"/>
    </row>
    <row r="86" spans="2:36" s="15" customFormat="1" x14ac:dyDescent="0.25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t="shared" si="35"/>
        <v>126.01800000000001</v>
      </c>
      <c r="H86" s="36">
        <v>140.02000000000001</v>
      </c>
      <c r="I86" s="64">
        <v>219.99</v>
      </c>
      <c r="J86" s="183">
        <v>194.99</v>
      </c>
      <c r="K86" s="227">
        <f t="shared" si="39"/>
        <v>173624.80000000002</v>
      </c>
      <c r="L86" s="29">
        <f t="shared" si="36"/>
        <v>-0.11364152916041637</v>
      </c>
      <c r="M86" s="30">
        <v>179.99</v>
      </c>
      <c r="N86" s="31">
        <f t="shared" si="28"/>
        <v>140.3922</v>
      </c>
      <c r="O86" s="31">
        <f t="shared" si="29"/>
        <v>200.56028571428573</v>
      </c>
      <c r="P86" s="31">
        <f t="shared" si="30"/>
        <v>126.35298</v>
      </c>
      <c r="R86" s="174">
        <v>83.364000000000004</v>
      </c>
      <c r="S86" s="207">
        <f t="shared" si="45"/>
        <v>103371.36</v>
      </c>
      <c r="T86" s="176">
        <f t="shared" si="40"/>
        <v>0.45875264572593527</v>
      </c>
      <c r="U86" s="175">
        <f t="shared" si="38"/>
        <v>219.99</v>
      </c>
      <c r="V86" s="175"/>
      <c r="W86" s="175">
        <f t="shared" si="41"/>
        <v>154.02200000000002</v>
      </c>
      <c r="X86" s="175">
        <f t="shared" si="31"/>
        <v>138.61980000000003</v>
      </c>
      <c r="Y86" s="176">
        <f t="shared" si="32"/>
        <v>0.29986817582617387</v>
      </c>
      <c r="Z86" s="184"/>
      <c r="AB86" s="4">
        <v>1240</v>
      </c>
      <c r="AC86" s="205">
        <f t="shared" si="42"/>
        <v>190987.28000000003</v>
      </c>
      <c r="AD86" s="208">
        <f t="shared" si="43"/>
        <v>17362.48000000001</v>
      </c>
      <c r="AE86" s="4"/>
      <c r="AF86" s="4"/>
      <c r="AG86" s="4"/>
      <c r="AH86" s="4"/>
      <c r="AI86" s="4"/>
      <c r="AJ86" s="4"/>
    </row>
    <row r="87" spans="2:36" s="15" customFormat="1" x14ac:dyDescent="0.25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t="shared" si="35"/>
        <v>97.596000000000004</v>
      </c>
      <c r="H87" s="36">
        <v>108.44</v>
      </c>
      <c r="I87" s="36">
        <v>184.99</v>
      </c>
      <c r="J87" s="41">
        <v>157.99</v>
      </c>
      <c r="K87" s="227">
        <f t="shared" si="39"/>
        <v>117332.08</v>
      </c>
      <c r="L87" s="29">
        <f t="shared" si="36"/>
        <v>-0.14595383534245099</v>
      </c>
      <c r="M87" s="30">
        <f t="shared" si="44"/>
        <v>157.99</v>
      </c>
      <c r="N87" s="31">
        <f t="shared" si="28"/>
        <v>123.23220000000001</v>
      </c>
      <c r="O87" s="31">
        <f t="shared" si="29"/>
        <v>176.04600000000002</v>
      </c>
      <c r="P87" s="31">
        <f t="shared" si="30"/>
        <v>110.90898000000001</v>
      </c>
      <c r="R87" s="174">
        <v>58.643000000000001</v>
      </c>
      <c r="S87" s="207">
        <f t="shared" si="45"/>
        <v>63451.726000000002</v>
      </c>
      <c r="T87" s="176">
        <f t="shared" si="40"/>
        <v>0.50837497065826098</v>
      </c>
      <c r="U87" s="175">
        <f t="shared" si="38"/>
        <v>184.99</v>
      </c>
      <c r="V87" s="175">
        <v>179.99</v>
      </c>
      <c r="W87" s="175">
        <f t="shared" si="41"/>
        <v>119.28400000000001</v>
      </c>
      <c r="X87" s="175">
        <f t="shared" si="31"/>
        <v>107.35560000000001</v>
      </c>
      <c r="Y87" s="176">
        <f t="shared" si="32"/>
        <v>0.3551867668522623</v>
      </c>
      <c r="Z87" s="184">
        <f t="shared" si="20"/>
        <v>0.3372742930162787</v>
      </c>
      <c r="AB87" s="4">
        <v>1082</v>
      </c>
      <c r="AC87" s="205">
        <f t="shared" si="42"/>
        <v>129065.288</v>
      </c>
      <c r="AD87" s="208">
        <f t="shared" si="43"/>
        <v>11733.207999999999</v>
      </c>
      <c r="AE87" s="4"/>
      <c r="AF87" s="4"/>
      <c r="AG87" s="4"/>
      <c r="AH87" s="4"/>
      <c r="AI87" s="4"/>
      <c r="AJ87" s="4"/>
    </row>
    <row r="88" spans="2:36" s="15" customFormat="1" x14ac:dyDescent="0.25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t="shared" si="35"/>
        <v>89.50500000000001</v>
      </c>
      <c r="H88" s="36">
        <v>99.45</v>
      </c>
      <c r="I88" s="36">
        <v>154.99</v>
      </c>
      <c r="J88" s="41">
        <v>142.99</v>
      </c>
      <c r="K88" s="227">
        <f t="shared" si="39"/>
        <v>309786.75</v>
      </c>
      <c r="L88" s="29">
        <f t="shared" si="36"/>
        <v>-7.74243499580618E-2</v>
      </c>
      <c r="M88" s="30">
        <f t="shared" si="44"/>
        <v>142.99</v>
      </c>
      <c r="N88" s="31">
        <f t="shared" si="28"/>
        <v>111.53220000000002</v>
      </c>
      <c r="O88" s="31">
        <f t="shared" si="29"/>
        <v>159.33171428571433</v>
      </c>
      <c r="P88" s="31">
        <f t="shared" si="30"/>
        <v>100.37898000000001</v>
      </c>
      <c r="R88" s="174">
        <v>56.036700000000003</v>
      </c>
      <c r="S88" s="207">
        <f t="shared" si="45"/>
        <v>174554.3205</v>
      </c>
      <c r="T88" s="176">
        <f t="shared" si="40"/>
        <v>0.48775812422871251</v>
      </c>
      <c r="U88" s="175">
        <f t="shared" si="38"/>
        <v>154.99</v>
      </c>
      <c r="V88" s="175">
        <v>159.99</v>
      </c>
      <c r="W88" s="175">
        <f t="shared" si="41"/>
        <v>109.39500000000001</v>
      </c>
      <c r="X88" s="175">
        <f t="shared" si="31"/>
        <v>98.455500000000015</v>
      </c>
      <c r="Y88" s="176">
        <f t="shared" si="32"/>
        <v>0.29418026969481897</v>
      </c>
      <c r="Z88" s="184"/>
      <c r="AB88" s="4">
        <v>3115</v>
      </c>
      <c r="AC88" s="208">
        <f t="shared" si="42"/>
        <v>340765.42500000005</v>
      </c>
      <c r="AD88" s="208">
        <f t="shared" si="43"/>
        <v>30978.675000000047</v>
      </c>
      <c r="AE88" s="4"/>
      <c r="AF88" s="4"/>
      <c r="AH88" s="4"/>
      <c r="AI88" s="4"/>
      <c r="AJ88" s="4"/>
    </row>
    <row r="89" spans="2:36" s="15" customFormat="1" x14ac:dyDescent="0.25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t="shared" si="35"/>
        <v>67.302000000000007</v>
      </c>
      <c r="H89" s="36">
        <v>74.78</v>
      </c>
      <c r="I89" s="36">
        <v>142.99</v>
      </c>
      <c r="J89" s="41">
        <v>107.99</v>
      </c>
      <c r="K89" s="227">
        <f t="shared" si="39"/>
        <v>178948.54</v>
      </c>
      <c r="L89" s="29">
        <f t="shared" si="36"/>
        <v>-0.24477236170361572</v>
      </c>
      <c r="M89" s="30">
        <f t="shared" si="44"/>
        <v>107.99</v>
      </c>
      <c r="N89" s="31">
        <f t="shared" si="28"/>
        <v>84.232200000000006</v>
      </c>
      <c r="O89" s="31">
        <f t="shared" si="29"/>
        <v>120.3317142857143</v>
      </c>
      <c r="P89" s="31">
        <f t="shared" si="30"/>
        <v>75.808980000000005</v>
      </c>
      <c r="R89" s="174">
        <v>43.055</v>
      </c>
      <c r="S89" s="207">
        <f t="shared" si="45"/>
        <v>103030.61500000001</v>
      </c>
      <c r="T89" s="176">
        <f t="shared" si="40"/>
        <v>0.47658586398891301</v>
      </c>
      <c r="U89" s="175">
        <f t="shared" si="38"/>
        <v>142.99</v>
      </c>
      <c r="V89" s="175">
        <v>129.99</v>
      </c>
      <c r="W89" s="175">
        <f t="shared" si="41"/>
        <v>82.25800000000001</v>
      </c>
      <c r="X89" s="175">
        <f t="shared" si="31"/>
        <v>74.032200000000017</v>
      </c>
      <c r="Y89" s="209">
        <f t="shared" si="32"/>
        <v>0.42472900202811381</v>
      </c>
      <c r="Z89" s="184">
        <f t="shared" si="20"/>
        <v>0.36719747672897912</v>
      </c>
      <c r="AB89" s="4">
        <v>2393</v>
      </c>
      <c r="AC89" s="202">
        <f t="shared" si="42"/>
        <v>196843.39400000003</v>
      </c>
      <c r="AD89" s="208">
        <f t="shared" si="43"/>
        <v>17894.854000000021</v>
      </c>
      <c r="AE89" s="4"/>
      <c r="AF89" s="4"/>
      <c r="AG89" s="4"/>
      <c r="AH89" s="4"/>
      <c r="AI89" s="4"/>
      <c r="AJ89" s="4"/>
    </row>
    <row r="90" spans="2:36" s="15" customFormat="1" x14ac:dyDescent="0.25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t="shared" si="35"/>
        <v>80.082000000000008</v>
      </c>
      <c r="H90" s="36">
        <v>88.98</v>
      </c>
      <c r="I90" s="36">
        <v>175.99</v>
      </c>
      <c r="J90" s="41">
        <v>129.99</v>
      </c>
      <c r="K90" s="227">
        <f t="shared" si="39"/>
        <v>472750.74000000005</v>
      </c>
      <c r="L90" s="29">
        <f t="shared" si="36"/>
        <v>-0.26137848741405756</v>
      </c>
      <c r="M90" s="196">
        <f t="shared" si="44"/>
        <v>129.99</v>
      </c>
      <c r="N90" s="31">
        <f t="shared" si="28"/>
        <v>101.39220000000002</v>
      </c>
      <c r="O90" s="31">
        <f t="shared" si="29"/>
        <v>144.84600000000003</v>
      </c>
      <c r="P90" s="31">
        <f t="shared" si="30"/>
        <v>91.252980000000022</v>
      </c>
      <c r="R90" s="174">
        <v>50.783999999999999</v>
      </c>
      <c r="S90" s="207">
        <f t="shared" si="45"/>
        <v>269815.39199999999</v>
      </c>
      <c r="T90" s="176">
        <f t="shared" si="40"/>
        <v>0.48115000306504024</v>
      </c>
      <c r="U90" s="175">
        <f t="shared" si="38"/>
        <v>175.99</v>
      </c>
      <c r="V90" s="200">
        <v>159.99</v>
      </c>
      <c r="W90" s="175">
        <f t="shared" si="41"/>
        <v>97.878000000000014</v>
      </c>
      <c r="X90" s="175">
        <f t="shared" si="31"/>
        <v>88.09020000000001</v>
      </c>
      <c r="Y90" s="209">
        <f t="shared" si="32"/>
        <v>0.44384340019319274</v>
      </c>
      <c r="Z90" s="184">
        <f t="shared" si="20"/>
        <v>0.38822426401650095</v>
      </c>
      <c r="AB90" s="4">
        <v>5313</v>
      </c>
      <c r="AC90" s="201">
        <f t="shared" si="42"/>
        <v>520025.81400000007</v>
      </c>
      <c r="AD90" s="201">
        <f t="shared" ref="AD90" si="46">AC90-K90</f>
        <v>47275.074000000022</v>
      </c>
      <c r="AE90" s="4"/>
      <c r="AF90" s="4"/>
      <c r="AG90" s="4"/>
      <c r="AH90" s="4"/>
      <c r="AI90" s="4"/>
      <c r="AJ90" s="4"/>
    </row>
    <row r="91" spans="2:36" s="15" customFormat="1" x14ac:dyDescent="0.25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t="shared" si="35"/>
        <v>76.103999999999999</v>
      </c>
      <c r="H91" s="36">
        <v>84.56</v>
      </c>
      <c r="I91" s="36">
        <v>164.99</v>
      </c>
      <c r="J91" s="41">
        <v>120.99</v>
      </c>
      <c r="K91" s="227">
        <f t="shared" si="39"/>
        <v>323526.56</v>
      </c>
      <c r="L91" s="29">
        <f t="shared" si="36"/>
        <v>-0.26668282926237963</v>
      </c>
      <c r="M91" s="30">
        <v>119.99</v>
      </c>
      <c r="N91" s="31">
        <f t="shared" si="28"/>
        <v>93.592200000000005</v>
      </c>
      <c r="O91" s="31">
        <f t="shared" si="29"/>
        <v>133.70314285714286</v>
      </c>
      <c r="P91" s="31">
        <f t="shared" si="30"/>
        <v>84.232980000000012</v>
      </c>
      <c r="R91" s="174">
        <v>43.529000000000003</v>
      </c>
      <c r="S91" s="207">
        <f t="shared" si="45"/>
        <v>166541.95400000003</v>
      </c>
      <c r="T91" s="176">
        <f t="shared" si="40"/>
        <v>0.53202674808635075</v>
      </c>
      <c r="U91" s="175">
        <f t="shared" si="38"/>
        <v>164.99</v>
      </c>
      <c r="V91" s="175">
        <v>149.99</v>
      </c>
      <c r="W91" s="175">
        <f t="shared" si="41"/>
        <v>93.016000000000005</v>
      </c>
      <c r="X91" s="175">
        <f t="shared" si="31"/>
        <v>83.714400000000012</v>
      </c>
      <c r="Y91" s="209">
        <f t="shared" si="32"/>
        <v>0.43623249893932964</v>
      </c>
      <c r="Z91" s="184">
        <f t="shared" si="20"/>
        <v>0.37985199013267551</v>
      </c>
      <c r="AB91" s="4">
        <v>3826</v>
      </c>
      <c r="AC91" s="208">
        <f t="shared" si="42"/>
        <v>355879.21600000001</v>
      </c>
      <c r="AD91" s="208">
        <f t="shared" si="43"/>
        <v>32352.656000000017</v>
      </c>
      <c r="AE91" s="4"/>
      <c r="AF91" s="4"/>
      <c r="AG91" s="4"/>
      <c r="AH91" s="4"/>
      <c r="AI91" s="4"/>
      <c r="AJ91" s="4"/>
    </row>
    <row r="92" spans="2:36" s="15" customFormat="1" x14ac:dyDescent="0.25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t="shared" si="35"/>
        <v>92.961000000000013</v>
      </c>
      <c r="H92" s="36">
        <v>103.29</v>
      </c>
      <c r="I92" s="64">
        <v>219.99</v>
      </c>
      <c r="J92" s="183">
        <v>219.99</v>
      </c>
      <c r="K92" s="227">
        <f t="shared" si="39"/>
        <v>187368.06</v>
      </c>
      <c r="L92" s="29">
        <f t="shared" si="36"/>
        <v>0</v>
      </c>
      <c r="M92" s="210"/>
      <c r="N92" s="31">
        <f t="shared" si="28"/>
        <v>0</v>
      </c>
      <c r="O92" s="31">
        <f t="shared" si="29"/>
        <v>0</v>
      </c>
      <c r="P92" s="31">
        <f t="shared" si="30"/>
        <v>0</v>
      </c>
      <c r="R92" s="174">
        <v>56.195</v>
      </c>
      <c r="S92" s="207">
        <f t="shared" si="45"/>
        <v>101937.73</v>
      </c>
      <c r="T92" s="176">
        <f t="shared" si="40"/>
        <v>0.50540842640755512</v>
      </c>
      <c r="U92" s="175">
        <f t="shared" si="38"/>
        <v>219.99</v>
      </c>
      <c r="V92" s="175">
        <v>179.99</v>
      </c>
      <c r="W92" s="175">
        <f t="shared" si="41"/>
        <v>113.61900000000001</v>
      </c>
      <c r="X92" s="175">
        <f t="shared" si="31"/>
        <v>102.25710000000001</v>
      </c>
      <c r="Y92" s="209">
        <f t="shared" si="32"/>
        <v>0.48352652393290602</v>
      </c>
      <c r="Z92" s="184">
        <f t="shared" si="20"/>
        <v>0.36874826379243286</v>
      </c>
      <c r="AB92" s="4">
        <v>1814</v>
      </c>
      <c r="AC92" s="205">
        <f t="shared" si="42"/>
        <v>206104.86600000004</v>
      </c>
      <c r="AD92" s="208">
        <f t="shared" si="43"/>
        <v>18736.806000000041</v>
      </c>
      <c r="AE92" s="4"/>
      <c r="AF92" s="4"/>
      <c r="AG92" s="4"/>
      <c r="AH92" s="4"/>
      <c r="AI92" s="4"/>
      <c r="AJ92" s="4"/>
    </row>
    <row r="93" spans="2:36" s="15" customFormat="1" x14ac:dyDescent="0.25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t="shared" si="35"/>
        <v>97.902000000000001</v>
      </c>
      <c r="H93" s="36">
        <v>108.78</v>
      </c>
      <c r="I93" s="36">
        <v>175.99</v>
      </c>
      <c r="J93" s="41">
        <v>155.99</v>
      </c>
      <c r="K93" s="227">
        <f t="shared" si="39"/>
        <v>81258.66</v>
      </c>
      <c r="L93" s="29">
        <f t="shared" si="36"/>
        <v>-0.11364282061480768</v>
      </c>
      <c r="M93" s="30">
        <f>J93</f>
        <v>155.99</v>
      </c>
      <c r="N93" s="31">
        <f t="shared" si="28"/>
        <v>121.67220000000002</v>
      </c>
      <c r="O93" s="31">
        <f t="shared" si="29"/>
        <v>173.81742857142862</v>
      </c>
      <c r="P93" s="31">
        <f t="shared" si="30"/>
        <v>109.50498000000002</v>
      </c>
      <c r="R93" s="174">
        <v>58.853000000000002</v>
      </c>
      <c r="S93" s="207">
        <f t="shared" si="45"/>
        <v>43963.190999999999</v>
      </c>
      <c r="T93" s="176">
        <f t="shared" si="40"/>
        <v>0.50815657958515104</v>
      </c>
      <c r="U93" s="175">
        <f t="shared" si="38"/>
        <v>175.99</v>
      </c>
      <c r="V93" s="175"/>
      <c r="W93" s="175">
        <f t="shared" si="41"/>
        <v>119.65800000000002</v>
      </c>
      <c r="X93" s="175">
        <f t="shared" si="31"/>
        <v>107.69220000000001</v>
      </c>
      <c r="Y93" s="176">
        <f t="shared" si="32"/>
        <v>0.32008636854366718</v>
      </c>
      <c r="Z93" s="212"/>
      <c r="AB93" s="4">
        <v>747</v>
      </c>
      <c r="AC93" s="205">
        <f t="shared" si="42"/>
        <v>89384.526000000013</v>
      </c>
      <c r="AD93" s="208">
        <f t="shared" si="43"/>
        <v>8125.8660000000091</v>
      </c>
      <c r="AE93" s="4"/>
      <c r="AF93" s="4"/>
      <c r="AG93" s="4"/>
      <c r="AH93" s="4"/>
      <c r="AI93" s="4"/>
      <c r="AJ93" s="4"/>
    </row>
    <row r="94" spans="2:36" s="15" customFormat="1" x14ac:dyDescent="0.25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t="shared" si="35"/>
        <v>81.369</v>
      </c>
      <c r="H94" s="36">
        <v>90.41</v>
      </c>
      <c r="I94" s="36">
        <v>179.99</v>
      </c>
      <c r="J94" s="41">
        <v>144.99</v>
      </c>
      <c r="K94" s="227">
        <f t="shared" si="39"/>
        <v>526005.38</v>
      </c>
      <c r="L94" s="29">
        <f t="shared" si="36"/>
        <v>-0.19445524751375076</v>
      </c>
      <c r="M94" s="196">
        <v>129.99</v>
      </c>
      <c r="N94" s="31">
        <f t="shared" si="28"/>
        <v>101.39220000000002</v>
      </c>
      <c r="O94" s="31">
        <f t="shared" si="29"/>
        <v>144.84600000000003</v>
      </c>
      <c r="P94" s="31">
        <f t="shared" si="30"/>
        <v>91.252980000000022</v>
      </c>
      <c r="R94" s="174">
        <v>40.159999999999997</v>
      </c>
      <c r="S94" s="207">
        <f t="shared" si="45"/>
        <v>233650.87999999998</v>
      </c>
      <c r="T94" s="176">
        <f t="shared" si="40"/>
        <v>0.59618304491659213</v>
      </c>
      <c r="U94" s="175">
        <f t="shared" si="38"/>
        <v>179.99</v>
      </c>
      <c r="V94" s="200">
        <v>159.99</v>
      </c>
      <c r="W94" s="175">
        <f t="shared" si="41"/>
        <v>99.451000000000008</v>
      </c>
      <c r="X94" s="175">
        <f t="shared" si="31"/>
        <v>89.505900000000011</v>
      </c>
      <c r="Y94" s="211">
        <f t="shared" si="32"/>
        <v>0.44746374798599919</v>
      </c>
      <c r="Z94" s="184">
        <f t="shared" si="20"/>
        <v>0.37839239952497028</v>
      </c>
      <c r="AB94" s="4">
        <v>5818</v>
      </c>
      <c r="AC94" s="201">
        <f t="shared" si="42"/>
        <v>578605.91800000006</v>
      </c>
      <c r="AD94" s="201">
        <f t="shared" ref="AD94:AD98" si="47">AC94-K94</f>
        <v>52600.538000000059</v>
      </c>
      <c r="AE94" s="4"/>
      <c r="AF94" s="4"/>
      <c r="AG94" s="4"/>
      <c r="AH94" s="4"/>
      <c r="AI94" s="4"/>
      <c r="AJ94" s="4"/>
    </row>
    <row r="95" spans="2:36" s="15" customFormat="1" x14ac:dyDescent="0.25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t="shared" si="35"/>
        <v>75.140999999999991</v>
      </c>
      <c r="H95" s="36">
        <v>83.49</v>
      </c>
      <c r="I95" s="36">
        <v>166.99</v>
      </c>
      <c r="J95" s="41">
        <v>138.99</v>
      </c>
      <c r="K95" s="227">
        <f t="shared" si="39"/>
        <v>709080.57</v>
      </c>
      <c r="L95" s="29">
        <f t="shared" si="36"/>
        <v>-0.16767471106054255</v>
      </c>
      <c r="M95" s="196">
        <v>119.99</v>
      </c>
      <c r="N95" s="31">
        <f t="shared" si="28"/>
        <v>93.592200000000005</v>
      </c>
      <c r="O95" s="31">
        <f t="shared" si="29"/>
        <v>133.70314285714286</v>
      </c>
      <c r="P95" s="31">
        <f t="shared" si="30"/>
        <v>84.232980000000012</v>
      </c>
      <c r="R95" s="174">
        <v>38.683999999999997</v>
      </c>
      <c r="S95" s="207">
        <f t="shared" si="45"/>
        <v>328543.212</v>
      </c>
      <c r="T95" s="176">
        <f t="shared" si="40"/>
        <v>0.5787846122017879</v>
      </c>
      <c r="U95" s="175">
        <f t="shared" si="38"/>
        <v>166.99</v>
      </c>
      <c r="V95" s="200">
        <v>149.99</v>
      </c>
      <c r="W95" s="175">
        <f t="shared" si="41"/>
        <v>91.838999999999999</v>
      </c>
      <c r="X95" s="175">
        <f t="shared" si="31"/>
        <v>82.655100000000004</v>
      </c>
      <c r="Y95" s="209">
        <f t="shared" si="32"/>
        <v>0.45003293610395834</v>
      </c>
      <c r="Z95" s="184">
        <f t="shared" si="20"/>
        <v>0.38769917994532971</v>
      </c>
      <c r="AB95" s="4">
        <v>8493</v>
      </c>
      <c r="AC95" s="201">
        <f t="shared" si="42"/>
        <v>779988.62699999998</v>
      </c>
      <c r="AD95" s="201">
        <f t="shared" si="47"/>
        <v>70908.05700000003</v>
      </c>
      <c r="AE95" s="4"/>
      <c r="AF95" s="4"/>
      <c r="AG95" s="4"/>
      <c r="AH95" s="4"/>
      <c r="AI95" s="4"/>
      <c r="AJ95" s="4"/>
    </row>
    <row r="96" spans="2:36" s="15" customFormat="1" x14ac:dyDescent="0.25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t="shared" si="35"/>
        <v>71.55</v>
      </c>
      <c r="H96" s="36">
        <v>79.5</v>
      </c>
      <c r="I96" s="36">
        <v>159.99</v>
      </c>
      <c r="J96" s="41">
        <v>131.99</v>
      </c>
      <c r="K96" s="227">
        <f t="shared" si="39"/>
        <v>186586.5</v>
      </c>
      <c r="L96" s="29">
        <f t="shared" si="36"/>
        <v>-0.17501093818363644</v>
      </c>
      <c r="M96" s="30">
        <v>129.99</v>
      </c>
      <c r="N96" s="31">
        <f t="shared" si="28"/>
        <v>101.39220000000002</v>
      </c>
      <c r="O96" s="31">
        <f t="shared" si="29"/>
        <v>144.84600000000003</v>
      </c>
      <c r="P96" s="31">
        <f t="shared" si="30"/>
        <v>91.252980000000022</v>
      </c>
      <c r="R96" s="174">
        <v>37.808999999999997</v>
      </c>
      <c r="S96" s="207">
        <f t="shared" si="45"/>
        <v>88737.722999999998</v>
      </c>
      <c r="T96" s="176">
        <f t="shared" si="40"/>
        <v>0.56765008576329334</v>
      </c>
      <c r="U96" s="175">
        <f t="shared" si="38"/>
        <v>159.99</v>
      </c>
      <c r="V96" s="175">
        <v>139.99</v>
      </c>
      <c r="W96" s="175">
        <f t="shared" si="41"/>
        <v>87.45</v>
      </c>
      <c r="X96" s="175">
        <f t="shared" si="31"/>
        <v>78.704999999999998</v>
      </c>
      <c r="Y96" s="209">
        <f t="shared" si="32"/>
        <v>0.4534033377086068</v>
      </c>
      <c r="Z96" s="184">
        <f t="shared" si="20"/>
        <v>0.37531252232302309</v>
      </c>
      <c r="AB96" s="4">
        <v>2347</v>
      </c>
      <c r="AC96" s="205">
        <f t="shared" si="42"/>
        <v>205245.15</v>
      </c>
      <c r="AD96" s="208">
        <f t="shared" si="47"/>
        <v>18658.649999999994</v>
      </c>
      <c r="AE96" s="4"/>
      <c r="AF96" s="4"/>
      <c r="AG96" s="4"/>
      <c r="AH96" s="4"/>
      <c r="AI96" s="4"/>
      <c r="AJ96" s="4"/>
    </row>
    <row r="97" spans="2:36" s="15" customFormat="1" x14ac:dyDescent="0.25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t="shared" si="35"/>
        <v>87.317999999999998</v>
      </c>
      <c r="H97" s="36">
        <v>97.02</v>
      </c>
      <c r="I97" s="36">
        <v>229.99</v>
      </c>
      <c r="J97" s="41">
        <v>160.99</v>
      </c>
      <c r="K97" s="227">
        <f t="shared" si="39"/>
        <v>78198.12</v>
      </c>
      <c r="L97" s="29">
        <f t="shared" si="36"/>
        <v>-0.30001304404539331</v>
      </c>
      <c r="M97" s="30">
        <v>159.99</v>
      </c>
      <c r="N97" s="31">
        <f t="shared" si="28"/>
        <v>124.79220000000001</v>
      </c>
      <c r="O97" s="31">
        <f t="shared" si="29"/>
        <v>178.27457142857145</v>
      </c>
      <c r="P97" s="31">
        <f t="shared" si="30"/>
        <v>112.31298000000001</v>
      </c>
      <c r="R97" s="174">
        <v>52.636000000000003</v>
      </c>
      <c r="S97" s="207">
        <f t="shared" si="45"/>
        <v>42424.616000000002</v>
      </c>
      <c r="T97" s="176">
        <f t="shared" si="40"/>
        <v>0.50679335094919509</v>
      </c>
      <c r="U97" s="175">
        <f t="shared" si="38"/>
        <v>229.99</v>
      </c>
      <c r="V97" s="175">
        <v>179.99</v>
      </c>
      <c r="W97" s="175">
        <f t="shared" si="41"/>
        <v>106.72200000000001</v>
      </c>
      <c r="X97" s="175">
        <f t="shared" si="31"/>
        <v>96.049800000000005</v>
      </c>
      <c r="Y97" s="209">
        <f t="shared" si="32"/>
        <v>0.53597112917952949</v>
      </c>
      <c r="Z97" s="184">
        <f t="shared" si="20"/>
        <v>0.40706705928107118</v>
      </c>
      <c r="AB97" s="4">
        <v>806</v>
      </c>
      <c r="AC97" s="205">
        <f t="shared" si="42"/>
        <v>86017.932000000001</v>
      </c>
      <c r="AD97" s="208">
        <f t="shared" si="47"/>
        <v>7819.8120000000054</v>
      </c>
      <c r="AE97" s="4"/>
      <c r="AF97" s="4"/>
      <c r="AG97" s="4"/>
      <c r="AH97" s="4"/>
      <c r="AI97" s="4"/>
      <c r="AJ97" s="4"/>
    </row>
    <row r="98" spans="2:36" s="15" customFormat="1" x14ac:dyDescent="0.25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t="shared" si="35"/>
        <v>57.518999999999998</v>
      </c>
      <c r="H98" s="36">
        <v>63.91</v>
      </c>
      <c r="I98" s="36">
        <v>129.99</v>
      </c>
      <c r="J98" s="41">
        <v>105.99</v>
      </c>
      <c r="K98" s="227">
        <f t="shared" si="39"/>
        <v>380136.68</v>
      </c>
      <c r="L98" s="29">
        <f t="shared" si="36"/>
        <v>-0.18462958689129938</v>
      </c>
      <c r="M98" s="30">
        <f>J98</f>
        <v>105.99</v>
      </c>
      <c r="N98" s="31">
        <f t="shared" si="28"/>
        <v>82.672200000000004</v>
      </c>
      <c r="O98" s="31">
        <f t="shared" si="29"/>
        <v>118.10314285714287</v>
      </c>
      <c r="P98" s="31">
        <f t="shared" si="30"/>
        <v>74.404980000000009</v>
      </c>
      <c r="R98" s="174">
        <v>33.497</v>
      </c>
      <c r="S98" s="207">
        <f t="shared" si="45"/>
        <v>199240.15599999999</v>
      </c>
      <c r="T98" s="176">
        <f t="shared" si="40"/>
        <v>0.52352029131875788</v>
      </c>
      <c r="U98" s="175">
        <f t="shared" si="38"/>
        <v>129.99</v>
      </c>
      <c r="V98" s="175">
        <v>129.99</v>
      </c>
      <c r="W98" s="175">
        <f t="shared" si="41"/>
        <v>70.301000000000002</v>
      </c>
      <c r="X98" s="175">
        <f t="shared" si="31"/>
        <v>63.270900000000005</v>
      </c>
      <c r="Y98" s="209">
        <f t="shared" si="32"/>
        <v>0.45918147549811528</v>
      </c>
      <c r="Z98" s="184">
        <f t="shared" si="20"/>
        <v>0.45918147549811528</v>
      </c>
      <c r="AB98" s="4">
        <v>5948</v>
      </c>
      <c r="AC98" s="208">
        <f t="shared" si="42"/>
        <v>418150.348</v>
      </c>
      <c r="AD98" s="208">
        <f t="shared" si="47"/>
        <v>38013.668000000005</v>
      </c>
      <c r="AE98" s="4"/>
      <c r="AF98" s="4"/>
      <c r="AG98" s="4"/>
      <c r="AH98" s="4"/>
      <c r="AI98" s="4"/>
      <c r="AJ98" s="4"/>
    </row>
    <row r="99" spans="2:36" s="15" customFormat="1" x14ac:dyDescent="0.25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t="shared" si="35"/>
        <v>55.368000000000002</v>
      </c>
      <c r="H99" s="36">
        <v>61.52</v>
      </c>
      <c r="I99" s="36">
        <v>122.99</v>
      </c>
      <c r="J99" s="41">
        <v>102.99</v>
      </c>
      <c r="K99" s="227">
        <f t="shared" si="39"/>
        <v>180684.24000000002</v>
      </c>
      <c r="L99" s="29">
        <f t="shared" si="36"/>
        <v>-0.16261484673550697</v>
      </c>
      <c r="M99" s="30">
        <v>99.99</v>
      </c>
      <c r="N99" s="31">
        <f t="shared" si="28"/>
        <v>77.992199999999997</v>
      </c>
      <c r="O99" s="31">
        <f t="shared" si="29"/>
        <v>111.41742857142857</v>
      </c>
      <c r="P99" s="31">
        <f t="shared" si="30"/>
        <v>70.192980000000006</v>
      </c>
      <c r="R99" s="174">
        <v>32.841999999999999</v>
      </c>
      <c r="S99" s="207">
        <f t="shared" si="45"/>
        <v>96456.953999999998</v>
      </c>
      <c r="T99" s="176">
        <f t="shared" si="40"/>
        <v>0.51468849745832845</v>
      </c>
      <c r="U99" s="175">
        <f t="shared" si="38"/>
        <v>122.99</v>
      </c>
      <c r="V99" s="175">
        <v>119.99</v>
      </c>
      <c r="W99" s="175">
        <f t="shared" si="41"/>
        <v>67.672000000000011</v>
      </c>
      <c r="X99" s="175">
        <f t="shared" si="31"/>
        <v>60.904800000000009</v>
      </c>
      <c r="Y99" s="209">
        <f t="shared" si="32"/>
        <v>0.44977640458573859</v>
      </c>
      <c r="Z99" s="184">
        <f t="shared" si="20"/>
        <v>0.436019668305692</v>
      </c>
      <c r="AB99" s="4">
        <v>2937</v>
      </c>
      <c r="AC99" s="205">
        <f t="shared" si="42"/>
        <v>198752.66400000002</v>
      </c>
      <c r="AD99" s="208">
        <f t="shared" ref="AD99" si="48">AC99-K99</f>
        <v>18068.423999999999</v>
      </c>
      <c r="AE99" s="4"/>
      <c r="AF99" s="4"/>
      <c r="AG99" s="4"/>
      <c r="AH99" s="4"/>
      <c r="AI99" s="4"/>
      <c r="AJ99" s="4"/>
    </row>
    <row r="100" spans="2:36" s="15" customFormat="1" x14ac:dyDescent="0.25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t="shared" si="35"/>
        <v>54.288000000000004</v>
      </c>
      <c r="H100" s="36">
        <v>60.32</v>
      </c>
      <c r="I100" s="36">
        <v>119.99</v>
      </c>
      <c r="J100" s="41">
        <v>99.99</v>
      </c>
      <c r="K100" s="227">
        <f t="shared" si="39"/>
        <v>119433.60000000001</v>
      </c>
      <c r="L100" s="29">
        <f t="shared" si="36"/>
        <v>-0.16668055671305948</v>
      </c>
      <c r="M100" s="30">
        <f>J100</f>
        <v>99.99</v>
      </c>
      <c r="N100" s="31">
        <f t="shared" si="28"/>
        <v>77.992199999999997</v>
      </c>
      <c r="O100" s="31">
        <f t="shared" si="29"/>
        <v>111.41742857142857</v>
      </c>
      <c r="P100" s="31">
        <f t="shared" si="30"/>
        <v>70.192980000000006</v>
      </c>
      <c r="R100" s="174">
        <v>31.702999999999999</v>
      </c>
      <c r="S100" s="207">
        <f t="shared" si="45"/>
        <v>62771.94</v>
      </c>
      <c r="T100" s="176">
        <f t="shared" si="40"/>
        <v>0.52219978297564507</v>
      </c>
      <c r="U100" s="175">
        <f t="shared" si="38"/>
        <v>119.99</v>
      </c>
      <c r="V100" s="175">
        <v>109.99</v>
      </c>
      <c r="W100" s="175">
        <f t="shared" si="41"/>
        <v>66.352000000000004</v>
      </c>
      <c r="X100" s="175">
        <f t="shared" si="31"/>
        <v>59.716800000000006</v>
      </c>
      <c r="Y100" s="209">
        <f t="shared" si="32"/>
        <v>0.44702058504875403</v>
      </c>
      <c r="Z100" s="184">
        <f t="shared" si="20"/>
        <v>0.39674515865078636</v>
      </c>
      <c r="AB100" s="4">
        <v>1980</v>
      </c>
      <c r="AC100" s="205">
        <f t="shared" si="42"/>
        <v>131376.96000000002</v>
      </c>
      <c r="AD100" s="208">
        <f t="shared" ref="AD100" si="49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 x14ac:dyDescent="0.25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t="shared" si="35"/>
        <v>153.108</v>
      </c>
      <c r="H101" s="36">
        <v>170.12</v>
      </c>
      <c r="I101" s="36">
        <v>264.99</v>
      </c>
      <c r="J101" s="41">
        <v>243.99</v>
      </c>
      <c r="K101" s="227">
        <f t="shared" si="39"/>
        <v>68218.12</v>
      </c>
      <c r="L101" s="29">
        <f t="shared" si="36"/>
        <v>-7.9248273519755497E-2</v>
      </c>
      <c r="M101" s="30">
        <v>239.99</v>
      </c>
      <c r="N101" s="31">
        <f t="shared" si="28"/>
        <v>187.19220000000001</v>
      </c>
      <c r="O101" s="31">
        <f t="shared" si="29"/>
        <v>267.41742857142862</v>
      </c>
      <c r="P101" s="31">
        <f t="shared" si="30"/>
        <v>168.47298000000001</v>
      </c>
      <c r="R101" s="174">
        <v>81.504999999999995</v>
      </c>
      <c r="S101" s="207">
        <f t="shared" si="45"/>
        <v>32683.504999999997</v>
      </c>
      <c r="T101" s="176">
        <f t="shared" si="40"/>
        <v>0.56445183079323691</v>
      </c>
      <c r="U101" s="175">
        <f t="shared" si="38"/>
        <v>264.99</v>
      </c>
      <c r="V101" s="175"/>
      <c r="W101" s="175">
        <f t="shared" si="41"/>
        <v>187.13200000000003</v>
      </c>
      <c r="X101" s="175">
        <f t="shared" si="31"/>
        <v>168.41880000000003</v>
      </c>
      <c r="Y101" s="176">
        <f t="shared" si="32"/>
        <v>0.29381486093814851</v>
      </c>
      <c r="Z101" s="184"/>
      <c r="AB101" s="4">
        <v>401</v>
      </c>
      <c r="AC101" s="205">
        <f t="shared" si="42"/>
        <v>75039.932000000015</v>
      </c>
      <c r="AD101" s="208">
        <f t="shared" ref="AD101" si="50">AC101-K101</f>
        <v>6821.8120000000199</v>
      </c>
      <c r="AE101" s="4"/>
      <c r="AF101" s="4"/>
      <c r="AG101" s="4"/>
      <c r="AH101" s="4"/>
      <c r="AI101" s="4"/>
      <c r="AJ101" s="4"/>
    </row>
    <row r="102" spans="2:36" s="15" customFormat="1" x14ac:dyDescent="0.25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t="shared" si="35"/>
        <v>141.327</v>
      </c>
      <c r="H102" s="36">
        <v>157.03</v>
      </c>
      <c r="I102" s="36">
        <v>254.99</v>
      </c>
      <c r="J102" s="41">
        <v>214.99</v>
      </c>
      <c r="K102" s="227">
        <f t="shared" si="39"/>
        <v>168179.13</v>
      </c>
      <c r="L102" s="29">
        <f t="shared" si="36"/>
        <v>-0.15686889681948313</v>
      </c>
      <c r="M102" s="30">
        <f>J102</f>
        <v>214.99</v>
      </c>
      <c r="N102" s="31">
        <f t="shared" si="28"/>
        <v>167.69220000000001</v>
      </c>
      <c r="O102" s="31">
        <f t="shared" si="29"/>
        <v>239.56028571428575</v>
      </c>
      <c r="P102" s="31">
        <f t="shared" si="30"/>
        <v>150.92298000000002</v>
      </c>
      <c r="R102" s="174">
        <v>72.433999999999997</v>
      </c>
      <c r="S102" s="207">
        <f t="shared" si="45"/>
        <v>77576.813999999998</v>
      </c>
      <c r="T102" s="176">
        <f t="shared" si="40"/>
        <v>0.58065916761707381</v>
      </c>
      <c r="U102" s="175">
        <f t="shared" si="38"/>
        <v>254.99</v>
      </c>
      <c r="V102" s="175"/>
      <c r="W102" s="175">
        <f t="shared" si="41"/>
        <v>172.733</v>
      </c>
      <c r="X102" s="175">
        <f t="shared" si="31"/>
        <v>155.4597</v>
      </c>
      <c r="Y102" s="176">
        <f t="shared" si="32"/>
        <v>0.32258912114200555</v>
      </c>
      <c r="Z102" s="184"/>
      <c r="AB102" s="4">
        <v>1071</v>
      </c>
      <c r="AC102" s="205">
        <f t="shared" si="42"/>
        <v>184997.04300000001</v>
      </c>
      <c r="AD102" s="208">
        <f t="shared" ref="AD102" si="5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 x14ac:dyDescent="0.25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t="shared" si="35"/>
        <v>69.183000000000007</v>
      </c>
      <c r="H103" s="36">
        <v>76.87</v>
      </c>
      <c r="I103" s="36">
        <v>119.99</v>
      </c>
      <c r="J103" s="41">
        <v>80.989999999999995</v>
      </c>
      <c r="K103" s="227">
        <f t="shared" si="39"/>
        <v>121762.08</v>
      </c>
      <c r="L103" s="29">
        <f t="shared" si="36"/>
        <v>-0.32502708559046589</v>
      </c>
      <c r="M103" s="30">
        <v>79.989999999999995</v>
      </c>
      <c r="N103" s="31">
        <f t="shared" si="28"/>
        <v>62.392199999999995</v>
      </c>
      <c r="O103" s="31">
        <f t="shared" si="29"/>
        <v>89.131714285714281</v>
      </c>
      <c r="P103" s="31">
        <f t="shared" si="30"/>
        <v>56.152979999999999</v>
      </c>
      <c r="R103" s="174">
        <v>36.898000000000003</v>
      </c>
      <c r="S103" s="207">
        <f t="shared" si="45"/>
        <v>58446.432000000008</v>
      </c>
      <c r="T103" s="176">
        <f t="shared" si="40"/>
        <v>0.56363163309956599</v>
      </c>
      <c r="U103" s="175">
        <f t="shared" si="38"/>
        <v>119.99</v>
      </c>
      <c r="V103" s="175"/>
      <c r="W103" s="175">
        <f t="shared" si="41"/>
        <v>84.557000000000016</v>
      </c>
      <c r="X103" s="175">
        <f t="shared" si="31"/>
        <v>76.101300000000023</v>
      </c>
      <c r="Y103" s="176">
        <f t="shared" si="32"/>
        <v>0.29529960830069157</v>
      </c>
      <c r="Z103" s="184"/>
      <c r="AB103" s="4">
        <v>1584</v>
      </c>
      <c r="AC103" s="205">
        <f t="shared" si="42"/>
        <v>133938.28800000003</v>
      </c>
      <c r="AD103" s="208">
        <f t="shared" ref="AD103" si="52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 x14ac:dyDescent="0.25">
      <c r="B104" s="33">
        <v>6300</v>
      </c>
      <c r="C104" s="228" t="s">
        <v>882</v>
      </c>
      <c r="D104" s="33" t="s">
        <v>232</v>
      </c>
      <c r="E104" s="33">
        <v>1</v>
      </c>
      <c r="F104" s="37">
        <v>6</v>
      </c>
      <c r="G104" s="28">
        <f t="shared" si="35"/>
        <v>314.10000000000002</v>
      </c>
      <c r="H104" s="36">
        <v>349</v>
      </c>
      <c r="I104" s="36">
        <v>549.99</v>
      </c>
      <c r="J104" s="41">
        <v>527.99</v>
      </c>
      <c r="K104" s="227">
        <f t="shared" si="39"/>
        <v>46068</v>
      </c>
      <c r="L104" s="29">
        <f t="shared" si="36"/>
        <v>-4.000072728595061E-2</v>
      </c>
      <c r="M104" s="30">
        <f>J104</f>
        <v>527.99</v>
      </c>
      <c r="N104" s="31">
        <f t="shared" si="28"/>
        <v>411.8322</v>
      </c>
      <c r="O104" s="31">
        <f t="shared" si="29"/>
        <v>588.33171428571427</v>
      </c>
      <c r="P104" s="31">
        <f t="shared" si="30"/>
        <v>370.64897999999999</v>
      </c>
      <c r="R104" s="174">
        <v>280.82499999999999</v>
      </c>
      <c r="S104" s="207">
        <f t="shared" si="45"/>
        <v>37068.9</v>
      </c>
      <c r="T104" s="176">
        <f t="shared" si="40"/>
        <v>0.26849439958322491</v>
      </c>
      <c r="U104" s="175">
        <f t="shared" si="38"/>
        <v>549.99</v>
      </c>
      <c r="V104" s="175"/>
      <c r="W104" s="175">
        <f t="shared" si="41"/>
        <v>383.90000000000003</v>
      </c>
      <c r="X104" s="175">
        <f t="shared" si="31"/>
        <v>345.51000000000005</v>
      </c>
      <c r="Y104" s="176">
        <f t="shared" si="32"/>
        <v>0.30198730886016106</v>
      </c>
      <c r="Z104" s="184"/>
      <c r="AB104" s="4">
        <v>132</v>
      </c>
      <c r="AC104" s="205">
        <f t="shared" si="42"/>
        <v>50674.8</v>
      </c>
      <c r="AD104" s="208">
        <f t="shared" ref="AD104" si="53">AC104-K104</f>
        <v>4606.8000000000029</v>
      </c>
      <c r="AE104" s="4"/>
      <c r="AF104" s="4"/>
      <c r="AG104" s="4"/>
      <c r="AH104" s="4"/>
      <c r="AI104" s="4"/>
      <c r="AJ104" s="4"/>
    </row>
    <row r="105" spans="2:36" s="15" customFormat="1" x14ac:dyDescent="0.25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>K79+K80+K81+K90+K94+K95</f>
        <v>15742909.450000003</v>
      </c>
      <c r="L105" s="184"/>
      <c r="M105" s="42"/>
      <c r="N105" s="31"/>
      <c r="O105" s="31"/>
      <c r="P105" s="31"/>
      <c r="R105" s="206"/>
      <c r="S105" s="206">
        <f>S79+S80+S81+S90+S94+S95</f>
        <v>9304315.8630000018</v>
      </c>
      <c r="T105" s="4"/>
      <c r="U105" s="175"/>
      <c r="V105" s="175"/>
      <c r="W105" s="175"/>
      <c r="X105" s="175"/>
      <c r="Y105" s="176"/>
      <c r="Z105" s="184"/>
      <c r="AB105" s="4"/>
      <c r="AC105" s="206">
        <f>AC79+AC80+AC81+AC90+AC94+AC95</f>
        <v>17317200.395</v>
      </c>
      <c r="AD105" s="206">
        <f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 x14ac:dyDescent="0.25">
      <c r="B106" s="229"/>
      <c r="C106" s="230"/>
      <c r="D106" s="231"/>
      <c r="E106" s="231"/>
      <c r="F106" s="231"/>
      <c r="G106" s="232"/>
      <c r="H106" s="232"/>
      <c r="I106" s="233"/>
      <c r="J106" s="233"/>
      <c r="K106" s="207">
        <f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7">
        <f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7">
        <f>AC83+AC84+AC85+AC86+AC87+AC88+AC89+AC91+AC92+AC93+AC96+AC97+AC98+AC99+AC100+AC101+AC102+AC103+AC104</f>
        <v>3594776.9879999999</v>
      </c>
      <c r="AD106" s="207">
        <f>AD83+AD84+AD85+AD86+AD87+AD88+AD89+AD91+AD92+AD93+AD96+AD97+AD98+AD99+AD100+AD101+AD102+AD103+AD104</f>
        <v>326797.90800000023</v>
      </c>
      <c r="AE106" s="184"/>
      <c r="AF106" s="4"/>
      <c r="AG106" s="4"/>
      <c r="AH106" s="4"/>
      <c r="AI106" s="4"/>
      <c r="AJ106" s="4"/>
    </row>
    <row r="107" spans="2:36" s="15" customFormat="1" ht="15" customHeight="1" x14ac:dyDescent="0.25">
      <c r="B107" s="312" t="s">
        <v>233</v>
      </c>
      <c r="C107" s="313"/>
      <c r="D107" s="21"/>
      <c r="E107" s="21"/>
      <c r="F107" s="21"/>
      <c r="G107" s="22"/>
      <c r="H107" s="22"/>
      <c r="I107" s="47"/>
      <c r="J107" s="47"/>
      <c r="K107" s="234">
        <f>K105+K106</f>
        <v>19010888.530000005</v>
      </c>
      <c r="L107" s="14"/>
      <c r="M107" s="42"/>
      <c r="N107" s="31"/>
      <c r="O107" s="31"/>
      <c r="P107" s="31"/>
      <c r="R107" s="174"/>
      <c r="S107" s="234">
        <f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4">
        <f>AC105+AC106</f>
        <v>20911977.383000001</v>
      </c>
      <c r="AD107" s="234">
        <f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 x14ac:dyDescent="0.25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t="shared" ref="G108:G121" si="54">H108*0.9</f>
        <v>73.340999999999994</v>
      </c>
      <c r="H108" s="28">
        <v>81.489999999999995</v>
      </c>
      <c r="I108" s="28">
        <v>129.99</v>
      </c>
      <c r="J108" s="62">
        <v>116.99</v>
      </c>
      <c r="K108" s="215"/>
      <c r="L108" s="29">
        <f t="shared" ref="L108:L113" si="55">(J108/I108)-1</f>
        <v>-0.10000769289945388</v>
      </c>
      <c r="M108" s="38">
        <v>104.99</v>
      </c>
      <c r="N108" s="31">
        <f t="shared" si="28"/>
        <v>81.892200000000003</v>
      </c>
      <c r="O108" s="31">
        <f t="shared" si="29"/>
        <v>116.98885714285716</v>
      </c>
      <c r="P108" s="31">
        <f t="shared" si="30"/>
        <v>73.702980000000011</v>
      </c>
      <c r="R108" s="174">
        <v>29.832000000000001</v>
      </c>
      <c r="S108" s="174"/>
      <c r="T108" s="176">
        <f t="shared" ref="T108:T121" si="56">(W108-R108)/W108</f>
        <v>0.65135073541012922</v>
      </c>
      <c r="U108" s="175">
        <f t="shared" ref="U108:U121" si="57">I108</f>
        <v>129.99</v>
      </c>
      <c r="V108" s="175"/>
      <c r="W108" s="175">
        <f t="shared" ref="W108:W121" si="58">H108*1.05</f>
        <v>85.564499999999995</v>
      </c>
      <c r="X108" s="175">
        <f t="shared" si="31"/>
        <v>77.008049999999997</v>
      </c>
      <c r="Y108" s="176">
        <f t="shared" si="32"/>
        <v>0.34176090468497583</v>
      </c>
      <c r="Z108" s="184" t="e">
        <f t="shared" ref="Z108:Z165" si="59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 x14ac:dyDescent="0.25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t="shared" si="54"/>
        <v>68.50800000000001</v>
      </c>
      <c r="H109" s="36">
        <v>76.12</v>
      </c>
      <c r="I109" s="36">
        <v>139.99</v>
      </c>
      <c r="J109" s="41">
        <v>92.99</v>
      </c>
      <c r="K109" s="215"/>
      <c r="L109" s="29">
        <f t="shared" si="55"/>
        <v>-0.33573826701907283</v>
      </c>
      <c r="M109" s="38">
        <v>97.99</v>
      </c>
      <c r="N109" s="31">
        <f t="shared" si="28"/>
        <v>76.432199999999995</v>
      </c>
      <c r="O109" s="31">
        <f t="shared" si="29"/>
        <v>109.18885714285715</v>
      </c>
      <c r="P109" s="31">
        <f t="shared" si="30"/>
        <v>68.788979999999995</v>
      </c>
      <c r="R109" s="174">
        <v>31.181000000000001</v>
      </c>
      <c r="S109" s="174"/>
      <c r="T109" s="176">
        <f t="shared" si="56"/>
        <v>0.60987663588819663</v>
      </c>
      <c r="U109" s="175">
        <f t="shared" si="57"/>
        <v>139.99</v>
      </c>
      <c r="V109" s="175"/>
      <c r="W109" s="175">
        <f t="shared" si="58"/>
        <v>79.926000000000002</v>
      </c>
      <c r="X109" s="175">
        <f t="shared" si="31"/>
        <v>71.933400000000006</v>
      </c>
      <c r="Y109" s="191">
        <f t="shared" si="32"/>
        <v>0.4290592185156083</v>
      </c>
      <c r="Z109" s="184" t="e">
        <f t="shared" si="59"/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 x14ac:dyDescent="0.25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t="shared" si="54"/>
        <v>69.372</v>
      </c>
      <c r="H110" s="36">
        <v>77.08</v>
      </c>
      <c r="I110" s="36">
        <v>129.99</v>
      </c>
      <c r="J110" s="41">
        <v>114.99</v>
      </c>
      <c r="K110" s="215"/>
      <c r="L110" s="29">
        <f t="shared" si="55"/>
        <v>-0.11539349180706215</v>
      </c>
      <c r="M110" s="38">
        <v>99.99</v>
      </c>
      <c r="N110" s="31">
        <f t="shared" si="28"/>
        <v>77.992199999999997</v>
      </c>
      <c r="O110" s="31">
        <f t="shared" si="29"/>
        <v>111.41742857142857</v>
      </c>
      <c r="P110" s="31">
        <f t="shared" si="30"/>
        <v>70.192980000000006</v>
      </c>
      <c r="R110" s="174">
        <v>31.605</v>
      </c>
      <c r="S110" s="174"/>
      <c r="T110" s="176">
        <f t="shared" si="56"/>
        <v>0.60949662688116235</v>
      </c>
      <c r="U110" s="175">
        <f t="shared" si="57"/>
        <v>129.99</v>
      </c>
      <c r="V110" s="175"/>
      <c r="W110" s="175">
        <f t="shared" si="58"/>
        <v>80.933999999999997</v>
      </c>
      <c r="X110" s="175">
        <f t="shared" si="31"/>
        <v>72.840599999999995</v>
      </c>
      <c r="Y110" s="176">
        <f t="shared" si="32"/>
        <v>0.3773828756058159</v>
      </c>
      <c r="Z110" s="184" t="e">
        <f t="shared" si="59"/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 x14ac:dyDescent="0.25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t="shared" si="54"/>
        <v>99.306000000000012</v>
      </c>
      <c r="H111" s="36">
        <v>110.34</v>
      </c>
      <c r="I111" s="36">
        <v>159.99</v>
      </c>
      <c r="J111" s="41">
        <v>153.99</v>
      </c>
      <c r="K111" s="215"/>
      <c r="L111" s="29">
        <f t="shared" si="55"/>
        <v>-3.750234389649354E-2</v>
      </c>
      <c r="M111" s="38">
        <v>141.99</v>
      </c>
      <c r="N111" s="31">
        <f t="shared" si="28"/>
        <v>110.75220000000002</v>
      </c>
      <c r="O111" s="31">
        <f t="shared" si="29"/>
        <v>158.2174285714286</v>
      </c>
      <c r="P111" s="31">
        <f t="shared" si="30"/>
        <v>99.676980000000015</v>
      </c>
      <c r="R111" s="174">
        <v>41.271999999999998</v>
      </c>
      <c r="S111" s="174"/>
      <c r="T111" s="176">
        <f t="shared" si="56"/>
        <v>0.64376774817231586</v>
      </c>
      <c r="U111" s="175">
        <f t="shared" si="57"/>
        <v>159.99</v>
      </c>
      <c r="V111" s="175"/>
      <c r="W111" s="175">
        <f t="shared" si="58"/>
        <v>115.85700000000001</v>
      </c>
      <c r="X111" s="175">
        <f t="shared" si="31"/>
        <v>104.27130000000001</v>
      </c>
      <c r="Y111" s="180">
        <f t="shared" si="32"/>
        <v>0.27584849053065813</v>
      </c>
      <c r="Z111" s="184" t="e">
        <f t="shared" si="59"/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 x14ac:dyDescent="0.25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t="shared" si="54"/>
        <v>87.003</v>
      </c>
      <c r="H112" s="36">
        <v>96.67</v>
      </c>
      <c r="I112" s="36">
        <v>149.99</v>
      </c>
      <c r="J112" s="41">
        <v>131.99</v>
      </c>
      <c r="K112" s="215"/>
      <c r="L112" s="29">
        <f t="shared" si="55"/>
        <v>-0.12000800053336891</v>
      </c>
      <c r="M112" s="38">
        <v>123.99</v>
      </c>
      <c r="N112" s="31">
        <f t="shared" si="28"/>
        <v>96.712199999999996</v>
      </c>
      <c r="O112" s="31">
        <f t="shared" si="29"/>
        <v>138.16028571428572</v>
      </c>
      <c r="P112" s="31">
        <f t="shared" si="30"/>
        <v>87.040980000000005</v>
      </c>
      <c r="R112" s="174">
        <v>35.950000000000003</v>
      </c>
      <c r="S112" s="174"/>
      <c r="T112" s="176">
        <f t="shared" si="56"/>
        <v>0.64582502081209026</v>
      </c>
      <c r="U112" s="175">
        <f t="shared" si="57"/>
        <v>149.99</v>
      </c>
      <c r="V112" s="175"/>
      <c r="W112" s="175">
        <f t="shared" si="58"/>
        <v>101.5035</v>
      </c>
      <c r="X112" s="175">
        <f t="shared" si="31"/>
        <v>91.353149999999999</v>
      </c>
      <c r="Y112" s="176">
        <f t="shared" si="32"/>
        <v>0.32326488432562173</v>
      </c>
      <c r="Z112" s="184" t="e">
        <f t="shared" si="59"/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 x14ac:dyDescent="0.25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t="shared" si="54"/>
        <v>92.349000000000004</v>
      </c>
      <c r="H113" s="36">
        <v>102.61</v>
      </c>
      <c r="I113" s="36">
        <v>179.99</v>
      </c>
      <c r="J113" s="41">
        <v>144.99</v>
      </c>
      <c r="K113" s="215"/>
      <c r="L113" s="29">
        <f t="shared" si="55"/>
        <v>-0.19445524751375076</v>
      </c>
      <c r="M113" s="38">
        <v>131.99</v>
      </c>
      <c r="N113" s="31">
        <f t="shared" si="28"/>
        <v>102.9522</v>
      </c>
      <c r="O113" s="31">
        <f t="shared" si="29"/>
        <v>147.07457142857143</v>
      </c>
      <c r="P113" s="31">
        <f t="shared" si="30"/>
        <v>92.656980000000004</v>
      </c>
      <c r="R113" s="174">
        <v>37.786999999999999</v>
      </c>
      <c r="S113" s="174"/>
      <c r="T113" s="176">
        <f t="shared" si="56"/>
        <v>0.64927766253173125</v>
      </c>
      <c r="U113" s="175">
        <f t="shared" si="57"/>
        <v>179.99</v>
      </c>
      <c r="V113" s="175"/>
      <c r="W113" s="175">
        <f t="shared" si="58"/>
        <v>107.7405</v>
      </c>
      <c r="X113" s="175">
        <f t="shared" si="31"/>
        <v>96.966449999999995</v>
      </c>
      <c r="Y113" s="176">
        <f t="shared" si="32"/>
        <v>0.40140841157842105</v>
      </c>
      <c r="Z113" s="184" t="e">
        <f t="shared" si="59"/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 x14ac:dyDescent="0.25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t="shared" si="54"/>
        <v>56.457000000000001</v>
      </c>
      <c r="H114" s="41">
        <v>62.73</v>
      </c>
      <c r="I114" s="41">
        <v>79.989999999999995</v>
      </c>
      <c r="J114" s="41">
        <v>79.989999999999995</v>
      </c>
      <c r="K114" s="215"/>
      <c r="L114" s="14"/>
      <c r="M114" s="42"/>
      <c r="N114" s="31">
        <f t="shared" si="28"/>
        <v>0</v>
      </c>
      <c r="O114" s="31">
        <f t="shared" si="29"/>
        <v>0</v>
      </c>
      <c r="P114" s="31">
        <f t="shared" si="30"/>
        <v>0</v>
      </c>
      <c r="R114" s="174">
        <v>21.966999999999999</v>
      </c>
      <c r="S114" s="174"/>
      <c r="T114" s="176">
        <f t="shared" si="56"/>
        <v>0.66649207108317587</v>
      </c>
      <c r="U114" s="175">
        <f t="shared" si="57"/>
        <v>79.989999999999995</v>
      </c>
      <c r="V114" s="175"/>
      <c r="W114" s="175">
        <f t="shared" si="58"/>
        <v>65.866500000000002</v>
      </c>
      <c r="X114" s="175">
        <f t="shared" si="31"/>
        <v>59.279850000000003</v>
      </c>
      <c r="Y114" s="180">
        <f t="shared" si="32"/>
        <v>0.17656582072759086</v>
      </c>
      <c r="Z114" s="184" t="e">
        <f t="shared" si="59"/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 x14ac:dyDescent="0.2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t="shared" si="54"/>
        <v>75.590999999999994</v>
      </c>
      <c r="H115" s="36">
        <v>83.99</v>
      </c>
      <c r="I115" s="36">
        <v>139.99</v>
      </c>
      <c r="J115" s="41">
        <v>139.99</v>
      </c>
      <c r="K115" s="215"/>
      <c r="L115" s="14"/>
      <c r="M115" s="42"/>
      <c r="N115" s="31">
        <f t="shared" si="28"/>
        <v>0</v>
      </c>
      <c r="O115" s="31">
        <f t="shared" si="29"/>
        <v>0</v>
      </c>
      <c r="P115" s="31">
        <f t="shared" si="30"/>
        <v>0</v>
      </c>
      <c r="R115" s="174">
        <v>22.314</v>
      </c>
      <c r="S115" s="174"/>
      <c r="T115" s="176">
        <f t="shared" si="56"/>
        <v>0.74697668089738567</v>
      </c>
      <c r="U115" s="175">
        <f t="shared" si="57"/>
        <v>139.99</v>
      </c>
      <c r="V115" s="175"/>
      <c r="W115" s="175">
        <f t="shared" si="58"/>
        <v>88.189499999999995</v>
      </c>
      <c r="X115" s="175">
        <f t="shared" si="31"/>
        <v>79.370549999999994</v>
      </c>
      <c r="Y115" s="176">
        <f t="shared" si="32"/>
        <v>0.37003000214301029</v>
      </c>
      <c r="Z115" s="184" t="e">
        <f t="shared" si="59"/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 x14ac:dyDescent="0.25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t="shared" si="54"/>
        <v>66.33</v>
      </c>
      <c r="H116" s="36">
        <v>73.7</v>
      </c>
      <c r="I116" s="36">
        <v>119.99</v>
      </c>
      <c r="J116" s="41">
        <v>119.99</v>
      </c>
      <c r="K116" s="215"/>
      <c r="L116" s="14"/>
      <c r="M116" s="42"/>
      <c r="N116" s="31">
        <f t="shared" si="28"/>
        <v>0</v>
      </c>
      <c r="O116" s="31">
        <f t="shared" si="29"/>
        <v>0</v>
      </c>
      <c r="P116" s="31">
        <f t="shared" si="30"/>
        <v>0</v>
      </c>
      <c r="R116" s="174">
        <v>24.986999999999998</v>
      </c>
      <c r="S116" s="174"/>
      <c r="T116" s="176">
        <f t="shared" si="56"/>
        <v>0.67710796666020556</v>
      </c>
      <c r="U116" s="175">
        <f t="shared" si="57"/>
        <v>119.99</v>
      </c>
      <c r="V116" s="175"/>
      <c r="W116" s="175">
        <f t="shared" si="58"/>
        <v>77.385000000000005</v>
      </c>
      <c r="X116" s="175">
        <f t="shared" si="31"/>
        <v>69.646500000000003</v>
      </c>
      <c r="Y116" s="176">
        <f t="shared" si="32"/>
        <v>0.35507125593799477</v>
      </c>
      <c r="Z116" s="184" t="e">
        <f t="shared" si="59"/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 x14ac:dyDescent="0.25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t="shared" si="54"/>
        <v>75.590999999999994</v>
      </c>
      <c r="H117" s="36">
        <v>83.99</v>
      </c>
      <c r="I117" s="36">
        <v>139.99</v>
      </c>
      <c r="J117" s="41">
        <v>139.99</v>
      </c>
      <c r="K117" s="215"/>
      <c r="L117" s="14"/>
      <c r="M117" s="42"/>
      <c r="N117" s="31">
        <f t="shared" si="28"/>
        <v>0</v>
      </c>
      <c r="O117" s="31">
        <f t="shared" si="29"/>
        <v>0</v>
      </c>
      <c r="P117" s="31">
        <f t="shared" si="30"/>
        <v>0</v>
      </c>
      <c r="R117" s="174">
        <v>28.850999999999999</v>
      </c>
      <c r="S117" s="174"/>
      <c r="T117" s="176">
        <f t="shared" si="56"/>
        <v>0.67285221029714426</v>
      </c>
      <c r="U117" s="175">
        <f t="shared" si="57"/>
        <v>139.99</v>
      </c>
      <c r="V117" s="175"/>
      <c r="W117" s="175">
        <f t="shared" si="58"/>
        <v>88.189499999999995</v>
      </c>
      <c r="X117" s="175">
        <f t="shared" si="31"/>
        <v>79.370549999999994</v>
      </c>
      <c r="Y117" s="176">
        <f t="shared" si="32"/>
        <v>0.37003000214301029</v>
      </c>
      <c r="Z117" s="184" t="e">
        <f t="shared" si="59"/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 x14ac:dyDescent="0.25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t="shared" si="54"/>
        <v>146.29500000000002</v>
      </c>
      <c r="H118" s="36">
        <v>162.55000000000001</v>
      </c>
      <c r="I118" s="36">
        <v>249.99</v>
      </c>
      <c r="J118" s="41">
        <v>197.99</v>
      </c>
      <c r="K118" s="215"/>
      <c r="L118" s="29">
        <f t="shared" ref="L118:L120" si="60">(J118/I118)-1</f>
        <v>-0.20800832033281336</v>
      </c>
      <c r="M118" s="38">
        <v>207.99</v>
      </c>
      <c r="N118" s="31">
        <f t="shared" si="28"/>
        <v>162.23220000000001</v>
      </c>
      <c r="O118" s="31">
        <f t="shared" si="29"/>
        <v>231.76028571428574</v>
      </c>
      <c r="P118" s="31">
        <f t="shared" si="30"/>
        <v>146.00898000000001</v>
      </c>
      <c r="R118" s="174">
        <v>55.707000000000001</v>
      </c>
      <c r="S118" s="174"/>
      <c r="T118" s="176">
        <f t="shared" si="56"/>
        <v>0.67361251483060158</v>
      </c>
      <c r="U118" s="175">
        <f t="shared" si="57"/>
        <v>249.99</v>
      </c>
      <c r="V118" s="175"/>
      <c r="W118" s="175">
        <f t="shared" si="58"/>
        <v>170.67750000000001</v>
      </c>
      <c r="X118" s="175">
        <f t="shared" si="31"/>
        <v>153.60975000000002</v>
      </c>
      <c r="Y118" s="176">
        <f t="shared" si="32"/>
        <v>0.31726269050762029</v>
      </c>
      <c r="Z118" s="184" t="e">
        <f t="shared" si="59"/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 x14ac:dyDescent="0.25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t="shared" si="54"/>
        <v>149.886</v>
      </c>
      <c r="H119" s="54">
        <v>166.54</v>
      </c>
      <c r="I119" s="54">
        <v>249.99</v>
      </c>
      <c r="J119" s="182">
        <v>209.99</v>
      </c>
      <c r="K119" s="215"/>
      <c r="L119" s="29">
        <f t="shared" si="60"/>
        <v>-0.16000640025601021</v>
      </c>
      <c r="M119" s="38">
        <f>J119</f>
        <v>209.99</v>
      </c>
      <c r="N119" s="31">
        <f t="shared" si="28"/>
        <v>163.79220000000001</v>
      </c>
      <c r="O119" s="31">
        <f t="shared" si="29"/>
        <v>233.98885714285717</v>
      </c>
      <c r="P119" s="31">
        <f t="shared" si="30"/>
        <v>147.41298</v>
      </c>
      <c r="R119" s="174">
        <v>58.45</v>
      </c>
      <c r="S119" s="174"/>
      <c r="T119" s="176">
        <f t="shared" si="56"/>
        <v>0.66574596693487043</v>
      </c>
      <c r="U119" s="175">
        <f t="shared" si="57"/>
        <v>249.99</v>
      </c>
      <c r="V119" s="175"/>
      <c r="W119" s="175">
        <f t="shared" si="58"/>
        <v>174.86699999999999</v>
      </c>
      <c r="X119" s="175">
        <f t="shared" si="31"/>
        <v>157.38030000000001</v>
      </c>
      <c r="Y119" s="176">
        <f t="shared" si="32"/>
        <v>0.30050402016080652</v>
      </c>
      <c r="Z119" s="184" t="e">
        <f t="shared" si="59"/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 x14ac:dyDescent="0.25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t="shared" si="54"/>
        <v>69.975000000000009</v>
      </c>
      <c r="H120" s="54">
        <v>77.75</v>
      </c>
      <c r="I120" s="54">
        <v>139.99</v>
      </c>
      <c r="J120" s="182">
        <v>99.99</v>
      </c>
      <c r="K120" s="215"/>
      <c r="L120" s="29">
        <f t="shared" si="60"/>
        <v>-0.28573469533538121</v>
      </c>
      <c r="M120" s="38">
        <f t="shared" ref="M120" si="61">J120</f>
        <v>99.99</v>
      </c>
      <c r="N120" s="31">
        <f t="shared" si="28"/>
        <v>77.992199999999997</v>
      </c>
      <c r="O120" s="31">
        <f t="shared" si="29"/>
        <v>111.41742857142857</v>
      </c>
      <c r="P120" s="31">
        <f t="shared" si="30"/>
        <v>70.192980000000006</v>
      </c>
      <c r="R120" s="174">
        <v>35.424999999999997</v>
      </c>
      <c r="S120" s="174"/>
      <c r="T120" s="176">
        <f t="shared" si="56"/>
        <v>0.56606951462256938</v>
      </c>
      <c r="U120" s="175">
        <f t="shared" si="57"/>
        <v>139.99</v>
      </c>
      <c r="V120" s="175"/>
      <c r="W120" s="175">
        <f t="shared" si="58"/>
        <v>81.637500000000003</v>
      </c>
      <c r="X120" s="175">
        <f t="shared" si="31"/>
        <v>73.47375000000001</v>
      </c>
      <c r="Y120" s="176">
        <f t="shared" si="32"/>
        <v>0.41683334523894566</v>
      </c>
      <c r="Z120" s="184" t="e">
        <f t="shared" si="59"/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 x14ac:dyDescent="0.25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t="shared" si="54"/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t="shared" si="56"/>
        <v>0.61534429634419341</v>
      </c>
      <c r="U121" s="175">
        <f t="shared" si="57"/>
        <v>149.99</v>
      </c>
      <c r="V121" s="175"/>
      <c r="W121" s="175">
        <f t="shared" si="58"/>
        <v>102.0705</v>
      </c>
      <c r="X121" s="175">
        <f t="shared" si="31"/>
        <v>91.86345</v>
      </c>
      <c r="Y121" s="176">
        <f t="shared" si="32"/>
        <v>0.31948463230882068</v>
      </c>
      <c r="Z121" s="184" t="e">
        <f t="shared" si="59"/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ht="15" customHeight="1" x14ac:dyDescent="0.25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4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 x14ac:dyDescent="0.25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6"/>
      <c r="L123" s="14"/>
      <c r="M123" s="42"/>
      <c r="N123" s="31">
        <f t="shared" si="28"/>
        <v>0</v>
      </c>
      <c r="O123" s="31">
        <f t="shared" si="29"/>
        <v>0</v>
      </c>
      <c r="P123" s="31">
        <f t="shared" si="30"/>
        <v>0</v>
      </c>
      <c r="R123" s="174"/>
      <c r="S123" s="174"/>
      <c r="T123" s="4"/>
      <c r="U123" s="175">
        <f t="shared" ref="U123:U137" si="62">I123</f>
        <v>29.99</v>
      </c>
      <c r="V123" s="175"/>
      <c r="W123" s="175">
        <f t="shared" ref="W123:W137" si="63">H123*1.05</f>
        <v>7.266</v>
      </c>
      <c r="X123" s="175">
        <f t="shared" si="31"/>
        <v>6.5394000000000005</v>
      </c>
      <c r="Y123" s="176">
        <f t="shared" si="32"/>
        <v>0.75771923974658217</v>
      </c>
      <c r="Z123" s="184" t="e">
        <f t="shared" si="59"/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ht="15" customHeight="1" x14ac:dyDescent="0.25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7"/>
      <c r="L124" s="14"/>
      <c r="M124" s="42"/>
      <c r="N124" s="31">
        <f t="shared" si="28"/>
        <v>0</v>
      </c>
      <c r="O124" s="31">
        <f t="shared" si="29"/>
        <v>0</v>
      </c>
      <c r="P124" s="31">
        <f t="shared" si="30"/>
        <v>0</v>
      </c>
      <c r="R124" s="174"/>
      <c r="S124" s="174"/>
      <c r="T124" s="4"/>
      <c r="U124" s="175">
        <f t="shared" si="62"/>
        <v>59.99</v>
      </c>
      <c r="V124" s="175"/>
      <c r="W124" s="175">
        <f t="shared" si="63"/>
        <v>21.619500000000002</v>
      </c>
      <c r="X124" s="175">
        <f t="shared" si="31"/>
        <v>19.457550000000001</v>
      </c>
      <c r="Y124" s="176">
        <f t="shared" si="32"/>
        <v>0.63961493582263707</v>
      </c>
      <c r="Z124" s="184" t="e">
        <f t="shared" si="59"/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ht="15" customHeight="1" x14ac:dyDescent="0.25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7"/>
      <c r="L125" s="88"/>
      <c r="M125" s="89"/>
      <c r="N125" s="31">
        <f t="shared" si="28"/>
        <v>0</v>
      </c>
      <c r="O125" s="31">
        <f t="shared" si="29"/>
        <v>0</v>
      </c>
      <c r="P125" s="31">
        <f t="shared" si="30"/>
        <v>0</v>
      </c>
      <c r="R125" s="177"/>
      <c r="S125" s="177"/>
      <c r="T125" s="173"/>
      <c r="U125" s="175">
        <f t="shared" si="62"/>
        <v>34.99</v>
      </c>
      <c r="V125" s="175"/>
      <c r="W125" s="175">
        <f t="shared" si="63"/>
        <v>19.782</v>
      </c>
      <c r="X125" s="175">
        <f t="shared" si="31"/>
        <v>17.803799999999999</v>
      </c>
      <c r="Y125" s="176">
        <f t="shared" si="32"/>
        <v>0.43463846813375251</v>
      </c>
      <c r="Z125" s="184" t="e">
        <f t="shared" si="59"/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ht="15" customHeight="1" x14ac:dyDescent="0.25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7"/>
      <c r="L126" s="88"/>
      <c r="M126" s="89"/>
      <c r="N126" s="31">
        <f t="shared" si="28"/>
        <v>0</v>
      </c>
      <c r="O126" s="31">
        <f t="shared" si="29"/>
        <v>0</v>
      </c>
      <c r="P126" s="31">
        <f t="shared" si="30"/>
        <v>0</v>
      </c>
      <c r="R126" s="174"/>
      <c r="S126" s="174"/>
      <c r="T126" s="4"/>
      <c r="U126" s="175">
        <f t="shared" si="62"/>
        <v>39.99</v>
      </c>
      <c r="V126" s="175"/>
      <c r="W126" s="175">
        <f t="shared" si="63"/>
        <v>25.777500000000003</v>
      </c>
      <c r="X126" s="175">
        <f t="shared" si="31"/>
        <v>23.199750000000005</v>
      </c>
      <c r="Y126" s="176">
        <f t="shared" si="32"/>
        <v>0.35540135033758435</v>
      </c>
      <c r="Z126" s="184" t="e">
        <f t="shared" si="59"/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ht="15" customHeight="1" x14ac:dyDescent="0.25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7"/>
      <c r="L127" s="14"/>
      <c r="M127" s="42"/>
      <c r="N127" s="31">
        <f t="shared" si="28"/>
        <v>0</v>
      </c>
      <c r="O127" s="31">
        <f t="shared" si="29"/>
        <v>0</v>
      </c>
      <c r="P127" s="31">
        <f t="shared" si="30"/>
        <v>0</v>
      </c>
      <c r="R127" s="174"/>
      <c r="S127" s="174"/>
      <c r="T127" s="4"/>
      <c r="U127" s="175">
        <f t="shared" si="62"/>
        <v>44.99</v>
      </c>
      <c r="V127" s="175"/>
      <c r="W127" s="175">
        <f t="shared" si="63"/>
        <v>20.779499999999999</v>
      </c>
      <c r="X127" s="175">
        <f t="shared" si="31"/>
        <v>18.701550000000001</v>
      </c>
      <c r="Y127" s="176">
        <f t="shared" si="32"/>
        <v>0.53813069571015781</v>
      </c>
      <c r="Z127" s="184" t="e">
        <f t="shared" si="59"/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ht="15" customHeight="1" x14ac:dyDescent="0.25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74.989999999999995</v>
      </c>
      <c r="J128" s="91">
        <v>74.989999999999995</v>
      </c>
      <c r="K128" s="217"/>
      <c r="L128" s="14"/>
      <c r="M128" s="42"/>
      <c r="N128" s="31">
        <f t="shared" si="28"/>
        <v>0</v>
      </c>
      <c r="O128" s="31">
        <f t="shared" si="29"/>
        <v>0</v>
      </c>
      <c r="P128" s="31">
        <f t="shared" si="30"/>
        <v>0</v>
      </c>
      <c r="R128" s="174"/>
      <c r="S128" s="174"/>
      <c r="T128" s="4"/>
      <c r="U128" s="175">
        <f t="shared" si="62"/>
        <v>74.989999999999995</v>
      </c>
      <c r="V128" s="175"/>
      <c r="W128" s="175">
        <f t="shared" si="63"/>
        <v>39.5745</v>
      </c>
      <c r="X128" s="175">
        <f t="shared" si="31"/>
        <v>35.617049999999999</v>
      </c>
      <c r="Y128" s="176">
        <f t="shared" si="32"/>
        <v>0.47226963595146015</v>
      </c>
      <c r="Z128" s="184" t="e">
        <f t="shared" si="59"/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 x14ac:dyDescent="0.25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7"/>
      <c r="L129" s="14"/>
      <c r="M129" s="42"/>
      <c r="N129" s="31">
        <f t="shared" si="28"/>
        <v>0</v>
      </c>
      <c r="O129" s="31">
        <f t="shared" si="29"/>
        <v>0</v>
      </c>
      <c r="P129" s="31">
        <f t="shared" si="30"/>
        <v>0</v>
      </c>
      <c r="R129" s="174"/>
      <c r="S129" s="174"/>
      <c r="T129" s="4"/>
      <c r="U129" s="175">
        <f t="shared" si="62"/>
        <v>39.99</v>
      </c>
      <c r="V129" s="175"/>
      <c r="W129" s="175">
        <f t="shared" si="63"/>
        <v>16.779</v>
      </c>
      <c r="X129" s="175">
        <f t="shared" si="31"/>
        <v>15.101100000000001</v>
      </c>
      <c r="Y129" s="176">
        <f t="shared" si="32"/>
        <v>0.58042010502625663</v>
      </c>
      <c r="Z129" s="184" t="e">
        <f t="shared" si="59"/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 x14ac:dyDescent="0.25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7"/>
      <c r="L130" s="14"/>
      <c r="M130" s="42"/>
      <c r="N130" s="31">
        <f t="shared" si="28"/>
        <v>0</v>
      </c>
      <c r="O130" s="31">
        <f t="shared" si="29"/>
        <v>0</v>
      </c>
      <c r="P130" s="31">
        <f t="shared" si="30"/>
        <v>0</v>
      </c>
      <c r="R130" s="174"/>
      <c r="S130" s="174"/>
      <c r="T130" s="4"/>
      <c r="U130" s="175">
        <f t="shared" si="62"/>
        <v>46.99</v>
      </c>
      <c r="V130" s="175"/>
      <c r="W130" s="175">
        <f t="shared" si="63"/>
        <v>14.059500000000002</v>
      </c>
      <c r="X130" s="175">
        <f t="shared" si="31"/>
        <v>12.653550000000001</v>
      </c>
      <c r="Y130" s="176">
        <f t="shared" si="32"/>
        <v>0.70079804213662478</v>
      </c>
      <c r="Z130" s="184" t="e">
        <f t="shared" si="59"/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 x14ac:dyDescent="0.25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7"/>
      <c r="L131" s="88"/>
      <c r="M131" s="89"/>
      <c r="N131" s="31">
        <f t="shared" si="28"/>
        <v>0</v>
      </c>
      <c r="O131" s="31">
        <f t="shared" si="29"/>
        <v>0</v>
      </c>
      <c r="P131" s="31">
        <f t="shared" si="30"/>
        <v>0</v>
      </c>
      <c r="R131" s="174"/>
      <c r="S131" s="174"/>
      <c r="T131" s="4"/>
      <c r="U131" s="175">
        <f t="shared" si="62"/>
        <v>14.99</v>
      </c>
      <c r="V131" s="175"/>
      <c r="W131" s="175">
        <f t="shared" si="63"/>
        <v>10.489500000000001</v>
      </c>
      <c r="X131" s="175">
        <f t="shared" si="31"/>
        <v>9.4405500000000018</v>
      </c>
      <c r="Y131" s="176">
        <f t="shared" si="32"/>
        <v>0.30023348899266167</v>
      </c>
      <c r="Z131" s="184" t="e">
        <f t="shared" si="59"/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 x14ac:dyDescent="0.25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7"/>
      <c r="L132" s="14"/>
      <c r="M132" s="42"/>
      <c r="N132" s="31">
        <f t="shared" si="28"/>
        <v>0</v>
      </c>
      <c r="O132" s="31">
        <f t="shared" si="29"/>
        <v>0</v>
      </c>
      <c r="P132" s="31">
        <f t="shared" si="30"/>
        <v>0</v>
      </c>
      <c r="R132" s="174"/>
      <c r="S132" s="174"/>
      <c r="T132" s="4"/>
      <c r="U132" s="175">
        <f t="shared" si="62"/>
        <v>11.99</v>
      </c>
      <c r="V132" s="175"/>
      <c r="W132" s="175">
        <f t="shared" si="63"/>
        <v>5.4495000000000005</v>
      </c>
      <c r="X132" s="175">
        <f t="shared" si="31"/>
        <v>4.9045500000000004</v>
      </c>
      <c r="Y132" s="176">
        <f t="shared" si="32"/>
        <v>0.54549624687239362</v>
      </c>
      <c r="Z132" s="184" t="e">
        <f t="shared" si="59"/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 x14ac:dyDescent="0.25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7"/>
      <c r="L133" s="14"/>
      <c r="M133" s="42"/>
      <c r="N133" s="31">
        <f t="shared" si="28"/>
        <v>0</v>
      </c>
      <c r="O133" s="31">
        <f t="shared" si="29"/>
        <v>0</v>
      </c>
      <c r="P133" s="31">
        <f t="shared" si="30"/>
        <v>0</v>
      </c>
      <c r="R133" s="174"/>
      <c r="S133" s="174"/>
      <c r="T133" s="4"/>
      <c r="U133" s="175">
        <f t="shared" si="62"/>
        <v>34.99</v>
      </c>
      <c r="V133" s="175"/>
      <c r="W133" s="175">
        <f t="shared" si="63"/>
        <v>8.557500000000001</v>
      </c>
      <c r="X133" s="175">
        <f t="shared" si="31"/>
        <v>7.7017500000000014</v>
      </c>
      <c r="Y133" s="176">
        <f t="shared" si="32"/>
        <v>0.75543012289225486</v>
      </c>
      <c r="Z133" s="184" t="e">
        <f t="shared" si="59"/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 x14ac:dyDescent="0.25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7"/>
      <c r="L134" s="14"/>
      <c r="M134" s="42"/>
      <c r="N134" s="31">
        <f t="shared" si="28"/>
        <v>0</v>
      </c>
      <c r="O134" s="31">
        <f t="shared" si="29"/>
        <v>0</v>
      </c>
      <c r="P134" s="31">
        <f t="shared" si="30"/>
        <v>0</v>
      </c>
      <c r="R134" s="174"/>
      <c r="S134" s="174"/>
      <c r="T134" s="4"/>
      <c r="U134" s="175">
        <f t="shared" si="62"/>
        <v>14.99</v>
      </c>
      <c r="V134" s="175"/>
      <c r="W134" s="175">
        <f t="shared" si="63"/>
        <v>7.4969999999999999</v>
      </c>
      <c r="X134" s="175">
        <f t="shared" si="31"/>
        <v>6.7473000000000001</v>
      </c>
      <c r="Y134" s="176">
        <f t="shared" si="32"/>
        <v>0.49986657771847898</v>
      </c>
      <c r="Z134" s="184" t="e">
        <f t="shared" si="59"/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 x14ac:dyDescent="0.25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7"/>
      <c r="L135" s="14"/>
      <c r="M135" s="42"/>
      <c r="N135" s="31">
        <f t="shared" ref="N135:N198" si="64">M135*0.78</f>
        <v>0</v>
      </c>
      <c r="O135" s="31">
        <f t="shared" ref="O135:O172" si="65">N135/0.7</f>
        <v>0</v>
      </c>
      <c r="P135" s="31">
        <f t="shared" ref="P135:P172" si="66">N135*0.9</f>
        <v>0</v>
      </c>
      <c r="R135" s="174"/>
      <c r="S135" s="174"/>
      <c r="T135" s="4"/>
      <c r="U135" s="175">
        <f t="shared" si="62"/>
        <v>24.99</v>
      </c>
      <c r="V135" s="175"/>
      <c r="W135" s="175">
        <f t="shared" si="63"/>
        <v>9.5445000000000011</v>
      </c>
      <c r="X135" s="175">
        <f t="shared" ref="X135:X198" si="67">W135*0.9</f>
        <v>8.5900500000000015</v>
      </c>
      <c r="Y135" s="176">
        <f t="shared" ref="Y135:Y198" si="68">(U135-W135)/U135</f>
        <v>0.61806722689075622</v>
      </c>
      <c r="Z135" s="184" t="e">
        <f t="shared" si="59"/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 x14ac:dyDescent="0.25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19.989999999999998</v>
      </c>
      <c r="J136" s="87">
        <v>19.989999999999998</v>
      </c>
      <c r="K136" s="217"/>
      <c r="L136" s="14"/>
      <c r="M136" s="42"/>
      <c r="N136" s="31">
        <f t="shared" si="64"/>
        <v>0</v>
      </c>
      <c r="O136" s="31">
        <f t="shared" si="65"/>
        <v>0</v>
      </c>
      <c r="P136" s="31">
        <f t="shared" si="66"/>
        <v>0</v>
      </c>
      <c r="R136" s="174"/>
      <c r="S136" s="174"/>
      <c r="T136" s="4"/>
      <c r="U136" s="175">
        <f t="shared" si="62"/>
        <v>19.989999999999998</v>
      </c>
      <c r="V136" s="175"/>
      <c r="W136" s="175">
        <f t="shared" si="63"/>
        <v>5.859</v>
      </c>
      <c r="X136" s="175">
        <f t="shared" si="67"/>
        <v>5.2731000000000003</v>
      </c>
      <c r="Y136" s="176">
        <f t="shared" si="68"/>
        <v>0.70690345172586289</v>
      </c>
      <c r="Z136" s="184" t="e">
        <f t="shared" si="59"/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ht="15" customHeight="1" x14ac:dyDescent="0.25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7"/>
      <c r="L137" s="14"/>
      <c r="M137" s="42"/>
      <c r="N137" s="31">
        <f t="shared" si="64"/>
        <v>0</v>
      </c>
      <c r="O137" s="31">
        <f t="shared" si="65"/>
        <v>0</v>
      </c>
      <c r="P137" s="31">
        <f t="shared" si="66"/>
        <v>0</v>
      </c>
      <c r="R137" s="174"/>
      <c r="S137" s="174"/>
      <c r="T137" s="4"/>
      <c r="U137" s="175">
        <f t="shared" si="62"/>
        <v>29.99</v>
      </c>
      <c r="V137" s="175"/>
      <c r="W137" s="175">
        <f t="shared" si="63"/>
        <v>12.0015</v>
      </c>
      <c r="X137" s="175">
        <f t="shared" si="67"/>
        <v>10.801350000000001</v>
      </c>
      <c r="Y137" s="176">
        <f t="shared" si="68"/>
        <v>0.59981660553517835</v>
      </c>
      <c r="Z137" s="184" t="e">
        <f t="shared" si="59"/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 x14ac:dyDescent="0.25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ht="15" customHeight="1" x14ac:dyDescent="0.25">
      <c r="B139" s="312" t="s">
        <v>309</v>
      </c>
      <c r="C139" s="313"/>
      <c r="D139" s="21"/>
      <c r="E139" s="21"/>
      <c r="F139" s="21"/>
      <c r="G139" s="22"/>
      <c r="H139" s="22"/>
      <c r="I139" s="47"/>
      <c r="J139" s="47"/>
      <c r="K139" s="214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 x14ac:dyDescent="0.25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t="shared" ref="G140:G146" si="69">H140*0.9</f>
        <v>9.4500000000000011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t="shared" si="64"/>
        <v>0</v>
      </c>
      <c r="O140" s="31">
        <f t="shared" si="65"/>
        <v>0</v>
      </c>
      <c r="P140" s="31">
        <f t="shared" si="66"/>
        <v>0</v>
      </c>
      <c r="R140" s="174">
        <v>3.5230000000000001</v>
      </c>
      <c r="S140" s="174"/>
      <c r="T140" s="176">
        <f t="shared" ref="T140:T146" si="70">(W140-R140)/W140</f>
        <v>0.6804535147392291</v>
      </c>
      <c r="U140" s="175">
        <f t="shared" ref="U140:U146" si="71">I140</f>
        <v>14.99</v>
      </c>
      <c r="V140" s="175"/>
      <c r="W140" s="175">
        <f t="shared" ref="W140:W146" si="72">H140*1.05</f>
        <v>11.025</v>
      </c>
      <c r="X140" s="175">
        <f t="shared" si="67"/>
        <v>9.9225000000000012</v>
      </c>
      <c r="Y140" s="180">
        <f t="shared" si="68"/>
        <v>0.26450967311541024</v>
      </c>
      <c r="Z140" s="184" t="e">
        <f t="shared" si="59"/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 x14ac:dyDescent="0.25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t="shared" si="69"/>
        <v>9.4500000000000011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t="shared" si="64"/>
        <v>0</v>
      </c>
      <c r="O141" s="31">
        <f t="shared" si="65"/>
        <v>0</v>
      </c>
      <c r="P141" s="31">
        <f t="shared" si="66"/>
        <v>0</v>
      </c>
      <c r="R141" s="174">
        <v>2.5569999999999999</v>
      </c>
      <c r="S141" s="174"/>
      <c r="T141" s="176">
        <f t="shared" si="70"/>
        <v>0.76807256235827659</v>
      </c>
      <c r="U141" s="175">
        <f t="shared" si="71"/>
        <v>14.99</v>
      </c>
      <c r="V141" s="175"/>
      <c r="W141" s="175">
        <f t="shared" si="72"/>
        <v>11.025</v>
      </c>
      <c r="X141" s="175">
        <f t="shared" si="67"/>
        <v>9.9225000000000012</v>
      </c>
      <c r="Y141" s="180">
        <f t="shared" si="68"/>
        <v>0.26450967311541024</v>
      </c>
      <c r="Z141" s="184" t="e">
        <f t="shared" si="59"/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 x14ac:dyDescent="0.25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t="shared" si="69"/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t="shared" si="64"/>
        <v>0</v>
      </c>
      <c r="O142" s="31">
        <f t="shared" si="65"/>
        <v>0</v>
      </c>
      <c r="P142" s="31">
        <f t="shared" si="66"/>
        <v>0</v>
      </c>
      <c r="R142" s="174">
        <v>4.032</v>
      </c>
      <c r="S142" s="174"/>
      <c r="T142" s="176">
        <f t="shared" si="70"/>
        <v>0.70909090909090911</v>
      </c>
      <c r="U142" s="175">
        <f t="shared" si="71"/>
        <v>29.99</v>
      </c>
      <c r="V142" s="175"/>
      <c r="W142" s="175">
        <f t="shared" si="72"/>
        <v>13.86</v>
      </c>
      <c r="X142" s="175">
        <f t="shared" si="67"/>
        <v>12.474</v>
      </c>
      <c r="Y142" s="191">
        <f t="shared" si="68"/>
        <v>0.53784594864954982</v>
      </c>
      <c r="Z142" s="184" t="e">
        <f t="shared" si="59"/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 x14ac:dyDescent="0.25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t="shared" si="69"/>
        <v>9.5850000000000009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t="shared" si="64"/>
        <v>0</v>
      </c>
      <c r="O143" s="31">
        <f t="shared" si="65"/>
        <v>0</v>
      </c>
      <c r="P143" s="31">
        <f t="shared" si="66"/>
        <v>0</v>
      </c>
      <c r="R143" s="174">
        <v>3.9369999999999998</v>
      </c>
      <c r="S143" s="174"/>
      <c r="T143" s="176">
        <f t="shared" si="70"/>
        <v>0.64793203666443111</v>
      </c>
      <c r="U143" s="175">
        <f t="shared" si="71"/>
        <v>15.99</v>
      </c>
      <c r="V143" s="175"/>
      <c r="W143" s="175">
        <f t="shared" si="72"/>
        <v>11.182500000000001</v>
      </c>
      <c r="X143" s="175">
        <f t="shared" si="67"/>
        <v>10.064250000000001</v>
      </c>
      <c r="Y143" s="176">
        <f t="shared" si="68"/>
        <v>0.3006566604127579</v>
      </c>
      <c r="Z143" s="184" t="e">
        <f t="shared" si="59"/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 x14ac:dyDescent="0.25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t="shared" si="69"/>
        <v>17.532</v>
      </c>
      <c r="H144" s="36">
        <v>19.48</v>
      </c>
      <c r="I144" s="36">
        <v>39.99</v>
      </c>
      <c r="J144" s="41">
        <v>30.99</v>
      </c>
      <c r="K144" s="215"/>
      <c r="L144" s="29">
        <f t="shared" ref="L144:L146" si="73">(J144/I144)-1</f>
        <v>-0.22505626406601653</v>
      </c>
      <c r="M144" s="38">
        <v>24.99</v>
      </c>
      <c r="N144" s="31">
        <f t="shared" si="64"/>
        <v>19.4922</v>
      </c>
      <c r="O144" s="31">
        <f t="shared" si="65"/>
        <v>27.846000000000004</v>
      </c>
      <c r="P144" s="31">
        <f t="shared" si="66"/>
        <v>17.54298</v>
      </c>
      <c r="R144" s="174">
        <v>6.0069999999999997</v>
      </c>
      <c r="S144" s="174"/>
      <c r="T144" s="176">
        <f t="shared" si="70"/>
        <v>0.70631661288745484</v>
      </c>
      <c r="U144" s="175">
        <f t="shared" si="71"/>
        <v>39.99</v>
      </c>
      <c r="V144" s="175"/>
      <c r="W144" s="175">
        <f t="shared" si="72"/>
        <v>20.454000000000001</v>
      </c>
      <c r="X144" s="175">
        <f t="shared" si="67"/>
        <v>18.4086</v>
      </c>
      <c r="Y144" s="191">
        <f t="shared" si="68"/>
        <v>0.48852213053263316</v>
      </c>
      <c r="Z144" s="184" t="e">
        <f t="shared" si="59"/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 x14ac:dyDescent="0.25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t="shared" si="69"/>
        <v>15.993</v>
      </c>
      <c r="H145" s="36">
        <v>17.77</v>
      </c>
      <c r="I145" s="36">
        <v>34.99</v>
      </c>
      <c r="J145" s="41">
        <v>28.99</v>
      </c>
      <c r="K145" s="215"/>
      <c r="L145" s="29">
        <f t="shared" si="73"/>
        <v>-0.17147756501857681</v>
      </c>
      <c r="M145" s="38">
        <v>22.99</v>
      </c>
      <c r="N145" s="31">
        <f t="shared" si="64"/>
        <v>17.932199999999998</v>
      </c>
      <c r="O145" s="31">
        <f t="shared" si="65"/>
        <v>25.617428571428569</v>
      </c>
      <c r="P145" s="31">
        <f t="shared" si="66"/>
        <v>16.13898</v>
      </c>
      <c r="R145" s="174">
        <v>6.01</v>
      </c>
      <c r="S145" s="174"/>
      <c r="T145" s="176">
        <f t="shared" si="70"/>
        <v>0.67789479325776458</v>
      </c>
      <c r="U145" s="175">
        <f t="shared" si="71"/>
        <v>34.99</v>
      </c>
      <c r="V145" s="175"/>
      <c r="W145" s="175">
        <f t="shared" si="72"/>
        <v>18.6585</v>
      </c>
      <c r="X145" s="175">
        <f t="shared" si="67"/>
        <v>16.792650000000002</v>
      </c>
      <c r="Y145" s="191">
        <f t="shared" si="68"/>
        <v>0.46674764218348103</v>
      </c>
      <c r="Z145" s="184" t="e">
        <f t="shared" si="59"/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 x14ac:dyDescent="0.25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t="shared" si="69"/>
        <v>19.701000000000001</v>
      </c>
      <c r="H146" s="41">
        <v>21.89</v>
      </c>
      <c r="I146" s="41">
        <v>29.99</v>
      </c>
      <c r="J146" s="41">
        <v>28.99</v>
      </c>
      <c r="K146" s="215"/>
      <c r="L146" s="29">
        <f t="shared" si="73"/>
        <v>-3.3344448149383088E-2</v>
      </c>
      <c r="M146" s="38">
        <v>27.99</v>
      </c>
      <c r="N146" s="31">
        <f t="shared" si="64"/>
        <v>21.8322</v>
      </c>
      <c r="O146" s="31">
        <f t="shared" si="65"/>
        <v>31.188857142857145</v>
      </c>
      <c r="P146" s="31">
        <f t="shared" si="66"/>
        <v>19.648980000000002</v>
      </c>
      <c r="R146" s="174">
        <v>3.8330000000000002</v>
      </c>
      <c r="S146" s="174"/>
      <c r="T146" s="176">
        <f t="shared" si="70"/>
        <v>0.8332354412756422</v>
      </c>
      <c r="U146" s="175">
        <f t="shared" si="71"/>
        <v>29.99</v>
      </c>
      <c r="V146" s="175"/>
      <c r="W146" s="175">
        <f t="shared" si="72"/>
        <v>22.984500000000001</v>
      </c>
      <c r="X146" s="175">
        <f t="shared" si="67"/>
        <v>20.686050000000002</v>
      </c>
      <c r="Y146" s="180">
        <f t="shared" si="68"/>
        <v>0.23359453151050344</v>
      </c>
      <c r="Z146" s="184" t="e">
        <f t="shared" si="59"/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 x14ac:dyDescent="0.25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ht="15" customHeight="1" x14ac:dyDescent="0.25">
      <c r="B148" s="312" t="s">
        <v>324</v>
      </c>
      <c r="C148" s="313"/>
      <c r="D148" s="21"/>
      <c r="E148" s="21"/>
      <c r="F148" s="21"/>
      <c r="G148" s="22"/>
      <c r="H148" s="22"/>
      <c r="I148" s="47"/>
      <c r="J148" s="47"/>
      <c r="K148" s="214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 x14ac:dyDescent="0.25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t="shared" ref="G149:G151" si="74">H149*0.9</f>
        <v>3.9600000000000004</v>
      </c>
      <c r="H149" s="28">
        <v>4.4000000000000004</v>
      </c>
      <c r="I149" s="28">
        <v>6.99</v>
      </c>
      <c r="J149" s="28">
        <v>6.99</v>
      </c>
      <c r="K149" s="118"/>
      <c r="L149" s="14"/>
      <c r="M149" s="42"/>
      <c r="N149" s="31">
        <f t="shared" si="64"/>
        <v>0</v>
      </c>
      <c r="O149" s="31">
        <f t="shared" si="65"/>
        <v>0</v>
      </c>
      <c r="P149" s="31">
        <f t="shared" si="66"/>
        <v>0</v>
      </c>
      <c r="R149" s="174">
        <v>1.5149999999999999</v>
      </c>
      <c r="S149" s="174"/>
      <c r="T149" s="176">
        <f t="shared" ref="T149:T151" si="75">(W149-R149)/W149</f>
        <v>0.67207792207792216</v>
      </c>
      <c r="U149" s="175">
        <f>I149</f>
        <v>6.99</v>
      </c>
      <c r="V149" s="175"/>
      <c r="W149" s="175">
        <f>H149*1.05</f>
        <v>4.620000000000001</v>
      </c>
      <c r="X149" s="175">
        <f t="shared" si="67"/>
        <v>4.1580000000000013</v>
      </c>
      <c r="Y149" s="176">
        <f t="shared" si="68"/>
        <v>0.33905579399141617</v>
      </c>
      <c r="Z149" s="184" t="e">
        <f t="shared" si="59"/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 x14ac:dyDescent="0.25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t="shared" si="74"/>
        <v>3.7710000000000004</v>
      </c>
      <c r="H150" s="36">
        <v>4.1900000000000004</v>
      </c>
      <c r="I150" s="36">
        <v>6.99</v>
      </c>
      <c r="J150" s="36">
        <v>6.99</v>
      </c>
      <c r="K150" s="118"/>
      <c r="L150" s="14"/>
      <c r="M150" s="42"/>
      <c r="N150" s="31">
        <f t="shared" si="64"/>
        <v>0</v>
      </c>
      <c r="O150" s="31">
        <f t="shared" si="65"/>
        <v>0</v>
      </c>
      <c r="P150" s="31">
        <f t="shared" si="66"/>
        <v>0</v>
      </c>
      <c r="R150" s="174">
        <v>1.4570000000000001</v>
      </c>
      <c r="S150" s="174"/>
      <c r="T150" s="176">
        <f t="shared" si="75"/>
        <v>0.66882600295488137</v>
      </c>
      <c r="U150" s="175">
        <f>I150</f>
        <v>6.99</v>
      </c>
      <c r="V150" s="175"/>
      <c r="W150" s="175">
        <f>H150*1.05</f>
        <v>4.3995000000000006</v>
      </c>
      <c r="X150" s="175">
        <f t="shared" si="67"/>
        <v>3.9595500000000006</v>
      </c>
      <c r="Y150" s="176">
        <f t="shared" si="68"/>
        <v>0.37060085836909862</v>
      </c>
      <c r="Z150" s="184" t="e">
        <f t="shared" si="59"/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 x14ac:dyDescent="0.25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t="shared" si="74"/>
        <v>6.1289999999999996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t="shared" si="64"/>
        <v>0</v>
      </c>
      <c r="O151" s="31">
        <f t="shared" si="65"/>
        <v>0</v>
      </c>
      <c r="P151" s="31">
        <f t="shared" si="66"/>
        <v>0</v>
      </c>
      <c r="R151" s="174">
        <v>1.835</v>
      </c>
      <c r="S151" s="174"/>
      <c r="T151" s="176">
        <f t="shared" si="75"/>
        <v>0.74337458918956723</v>
      </c>
      <c r="U151" s="175">
        <f>I151</f>
        <v>11.99</v>
      </c>
      <c r="V151" s="175"/>
      <c r="W151" s="175">
        <f>H151*1.05</f>
        <v>7.1505000000000001</v>
      </c>
      <c r="X151" s="175">
        <f t="shared" si="67"/>
        <v>6.4354500000000003</v>
      </c>
      <c r="Y151" s="176">
        <f t="shared" si="68"/>
        <v>0.40362802335279402</v>
      </c>
      <c r="Z151" s="184" t="e">
        <f t="shared" si="59"/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 x14ac:dyDescent="0.25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ht="15" customHeight="1" x14ac:dyDescent="0.25">
      <c r="B153" s="312" t="s">
        <v>332</v>
      </c>
      <c r="C153" s="313"/>
      <c r="D153" s="21"/>
      <c r="E153" s="21"/>
      <c r="F153" s="21"/>
      <c r="G153" s="22"/>
      <c r="H153" s="22"/>
      <c r="I153" s="47"/>
      <c r="J153" s="47"/>
      <c r="K153" s="214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 x14ac:dyDescent="0.25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t="shared" ref="G154:G161" si="76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t="shared" si="64"/>
        <v>0</v>
      </c>
      <c r="O154" s="31">
        <f t="shared" si="65"/>
        <v>0</v>
      </c>
      <c r="P154" s="31">
        <f t="shared" si="66"/>
        <v>0</v>
      </c>
      <c r="R154" s="174">
        <v>14.02</v>
      </c>
      <c r="S154" s="174"/>
      <c r="T154" s="176">
        <f t="shared" ref="T154:T161" si="77">(W154-R154)/W154</f>
        <v>0.44687734248629035</v>
      </c>
      <c r="U154" s="175">
        <f t="shared" ref="U154:U161" si="78">I154</f>
        <v>44.99</v>
      </c>
      <c r="V154" s="175"/>
      <c r="W154" s="175">
        <f>H154*1.05</f>
        <v>25.347000000000001</v>
      </c>
      <c r="X154" s="175">
        <f t="shared" si="67"/>
        <v>22.8123</v>
      </c>
      <c r="Y154" s="191">
        <f t="shared" si="68"/>
        <v>0.43660813514114249</v>
      </c>
      <c r="Z154" s="184" t="e">
        <f t="shared" si="59"/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 x14ac:dyDescent="0.25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t="shared" si="76"/>
        <v>19.835999999999999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t="shared" si="64"/>
        <v>0</v>
      </c>
      <c r="O155" s="31">
        <f t="shared" si="65"/>
        <v>0</v>
      </c>
      <c r="P155" s="31">
        <f t="shared" si="66"/>
        <v>0</v>
      </c>
      <c r="R155" s="174">
        <v>13.148</v>
      </c>
      <c r="S155" s="174"/>
      <c r="T155" s="176">
        <f t="shared" si="77"/>
        <v>0.43185550082101809</v>
      </c>
      <c r="U155" s="175">
        <f t="shared" si="78"/>
        <v>39.99</v>
      </c>
      <c r="V155" s="175"/>
      <c r="W155" s="175">
        <f>H155*1.05</f>
        <v>23.141999999999999</v>
      </c>
      <c r="X155" s="175">
        <f t="shared" si="67"/>
        <v>20.8278</v>
      </c>
      <c r="Y155" s="191">
        <f t="shared" si="68"/>
        <v>0.42130532633158296</v>
      </c>
      <c r="Z155" s="184" t="e">
        <f t="shared" si="59"/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 x14ac:dyDescent="0.25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t="shared" si="76"/>
        <v>11.331</v>
      </c>
      <c r="H156" s="36">
        <v>12.59</v>
      </c>
      <c r="I156" s="36">
        <v>19.989999999999998</v>
      </c>
      <c r="J156" s="36">
        <v>19.989999999999998</v>
      </c>
      <c r="K156" s="118"/>
      <c r="L156" s="14"/>
      <c r="M156" s="42"/>
      <c r="N156" s="31">
        <f t="shared" si="64"/>
        <v>0</v>
      </c>
      <c r="O156" s="31">
        <f t="shared" si="65"/>
        <v>0</v>
      </c>
      <c r="P156" s="31">
        <f t="shared" si="66"/>
        <v>0</v>
      </c>
      <c r="R156" s="174">
        <v>4.09</v>
      </c>
      <c r="S156" s="174"/>
      <c r="T156" s="176">
        <f t="shared" si="77"/>
        <v>0.69060857067211323</v>
      </c>
      <c r="U156" s="175">
        <f t="shared" si="78"/>
        <v>19.989999999999998</v>
      </c>
      <c r="V156" s="175"/>
      <c r="W156" s="175">
        <f>H156*1.05</f>
        <v>13.2195</v>
      </c>
      <c r="X156" s="175">
        <f t="shared" si="67"/>
        <v>11.897550000000001</v>
      </c>
      <c r="Y156" s="176">
        <f t="shared" si="68"/>
        <v>0.33869434717358676</v>
      </c>
      <c r="Z156" s="184" t="e">
        <f t="shared" si="59"/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 x14ac:dyDescent="0.25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t="shared" si="76"/>
        <v>11.547000000000001</v>
      </c>
      <c r="H157" s="41">
        <v>12.83</v>
      </c>
      <c r="I157" s="41">
        <v>12.99</v>
      </c>
      <c r="J157" s="41">
        <v>12.99</v>
      </c>
      <c r="K157" s="215"/>
      <c r="L157" s="14"/>
      <c r="M157" s="42"/>
      <c r="N157" s="31">
        <f t="shared" si="64"/>
        <v>0</v>
      </c>
      <c r="O157" s="31">
        <f t="shared" si="65"/>
        <v>0</v>
      </c>
      <c r="P157" s="31">
        <f t="shared" si="66"/>
        <v>0</v>
      </c>
      <c r="R157" s="174">
        <v>3.056</v>
      </c>
      <c r="S157" s="174"/>
      <c r="T157" s="176">
        <f t="shared" si="77"/>
        <v>0.67334722890278453</v>
      </c>
      <c r="U157" s="175">
        <f t="shared" si="78"/>
        <v>12.99</v>
      </c>
      <c r="V157" s="175"/>
      <c r="W157" s="175">
        <f>8.91*1.05</f>
        <v>9.355500000000001</v>
      </c>
      <c r="X157" s="175">
        <f t="shared" si="67"/>
        <v>8.4199500000000018</v>
      </c>
      <c r="Y157" s="180">
        <f t="shared" si="68"/>
        <v>0.27979214780600453</v>
      </c>
      <c r="Z157" s="184" t="e">
        <f t="shared" si="59"/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 x14ac:dyDescent="0.25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t="shared" si="76"/>
        <v>10.278</v>
      </c>
      <c r="H158" s="41">
        <v>11.42</v>
      </c>
      <c r="I158" s="41">
        <v>14.99</v>
      </c>
      <c r="J158" s="41">
        <v>14.99</v>
      </c>
      <c r="K158" s="215"/>
      <c r="L158" s="14"/>
      <c r="M158" s="42"/>
      <c r="N158" s="31">
        <f t="shared" si="64"/>
        <v>0</v>
      </c>
      <c r="O158" s="31">
        <f t="shared" si="65"/>
        <v>0</v>
      </c>
      <c r="P158" s="31">
        <f t="shared" si="66"/>
        <v>0</v>
      </c>
      <c r="R158" s="174">
        <v>4.2699999999999996</v>
      </c>
      <c r="S158" s="174"/>
      <c r="T158" s="176">
        <f t="shared" si="77"/>
        <v>0.64389959136018682</v>
      </c>
      <c r="U158" s="175">
        <f t="shared" si="78"/>
        <v>14.99</v>
      </c>
      <c r="V158" s="175"/>
      <c r="W158" s="175">
        <f>H158*1.05</f>
        <v>11.991</v>
      </c>
      <c r="X158" s="175">
        <f t="shared" si="67"/>
        <v>10.7919</v>
      </c>
      <c r="Y158" s="180">
        <f t="shared" si="68"/>
        <v>0.20006671114076055</v>
      </c>
      <c r="Z158" s="184" t="e">
        <f t="shared" si="59"/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 x14ac:dyDescent="0.25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t="shared" si="76"/>
        <v>3.7890000000000001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t="shared" si="64"/>
        <v>0</v>
      </c>
      <c r="O159" s="31">
        <f t="shared" si="65"/>
        <v>0</v>
      </c>
      <c r="P159" s="31">
        <f t="shared" si="66"/>
        <v>0</v>
      </c>
      <c r="R159" s="174">
        <v>1.958</v>
      </c>
      <c r="S159" s="174"/>
      <c r="T159" s="176">
        <f t="shared" si="77"/>
        <v>0.55706368057912004</v>
      </c>
      <c r="U159" s="175">
        <f t="shared" si="78"/>
        <v>9.99</v>
      </c>
      <c r="V159" s="175"/>
      <c r="W159" s="175">
        <f>H159*1.05</f>
        <v>4.4205000000000005</v>
      </c>
      <c r="X159" s="175">
        <f t="shared" si="67"/>
        <v>3.9784500000000005</v>
      </c>
      <c r="Y159" s="191">
        <f t="shared" si="68"/>
        <v>0.55750750750750744</v>
      </c>
      <c r="Z159" s="184" t="e">
        <f t="shared" si="59"/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 x14ac:dyDescent="0.25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t="shared" si="76"/>
        <v>3.7890000000000001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t="shared" si="64"/>
        <v>0</v>
      </c>
      <c r="O160" s="31">
        <f t="shared" si="65"/>
        <v>0</v>
      </c>
      <c r="P160" s="31">
        <f t="shared" si="66"/>
        <v>0</v>
      </c>
      <c r="R160" s="174">
        <v>1.9850000000000001</v>
      </c>
      <c r="S160" s="174"/>
      <c r="T160" s="176">
        <f t="shared" si="77"/>
        <v>0.55095577423368391</v>
      </c>
      <c r="U160" s="175">
        <f t="shared" si="78"/>
        <v>9.99</v>
      </c>
      <c r="V160" s="175"/>
      <c r="W160" s="175">
        <f>H160*1.05</f>
        <v>4.4205000000000005</v>
      </c>
      <c r="X160" s="175">
        <f t="shared" si="67"/>
        <v>3.9784500000000005</v>
      </c>
      <c r="Y160" s="191">
        <f t="shared" si="68"/>
        <v>0.55750750750750744</v>
      </c>
      <c r="Z160" s="184" t="e">
        <f t="shared" si="59"/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 x14ac:dyDescent="0.25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t="shared" si="76"/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t="shared" si="64"/>
        <v>0</v>
      </c>
      <c r="O161" s="31">
        <f t="shared" si="65"/>
        <v>0</v>
      </c>
      <c r="P161" s="31">
        <f t="shared" si="66"/>
        <v>0</v>
      </c>
      <c r="R161" s="174">
        <v>10.632999999999999</v>
      </c>
      <c r="S161" s="174"/>
      <c r="T161" s="176">
        <f t="shared" si="77"/>
        <v>0.6472773714153025</v>
      </c>
      <c r="U161" s="175">
        <f t="shared" si="78"/>
        <v>49.99</v>
      </c>
      <c r="V161" s="175"/>
      <c r="W161" s="175">
        <f>H161*1.05</f>
        <v>30.145500000000002</v>
      </c>
      <c r="X161" s="175">
        <f t="shared" si="67"/>
        <v>27.130950000000002</v>
      </c>
      <c r="Y161" s="176">
        <f t="shared" si="68"/>
        <v>0.39696939387877572</v>
      </c>
      <c r="Z161" s="184" t="e">
        <f t="shared" si="59"/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 x14ac:dyDescent="0.25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ht="15" customHeight="1" x14ac:dyDescent="0.25">
      <c r="B163" s="312" t="s">
        <v>357</v>
      </c>
      <c r="C163" s="313"/>
      <c r="D163" s="21"/>
      <c r="E163" s="21"/>
      <c r="F163" s="21"/>
      <c r="G163" s="22"/>
      <c r="H163" s="22"/>
      <c r="I163" s="47"/>
      <c r="J163" s="47"/>
      <c r="K163" s="214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 x14ac:dyDescent="0.25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t="shared" ref="G164:G179" si="79">H164*0.9</f>
        <v>161.703</v>
      </c>
      <c r="H164" s="28">
        <v>179.67</v>
      </c>
      <c r="I164" s="28">
        <v>299.99</v>
      </c>
      <c r="J164" s="62">
        <v>290.99</v>
      </c>
      <c r="K164" s="215"/>
      <c r="L164" s="29">
        <f t="shared" ref="L164" si="80">(J164/I164)-1</f>
        <v>-3.0001000033334391E-2</v>
      </c>
      <c r="M164" s="38">
        <v>229.99</v>
      </c>
      <c r="N164" s="31">
        <f t="shared" si="64"/>
        <v>179.3922</v>
      </c>
      <c r="O164" s="31">
        <f t="shared" si="65"/>
        <v>256.27457142857145</v>
      </c>
      <c r="P164" s="31">
        <f t="shared" si="66"/>
        <v>161.45298</v>
      </c>
      <c r="R164" s="174">
        <v>100.276</v>
      </c>
      <c r="S164" s="174"/>
      <c r="T164" s="176">
        <f t="shared" ref="T164:T172" si="81">(W164-R164)/W164</f>
        <v>0.46846467200449504</v>
      </c>
      <c r="U164" s="175">
        <f t="shared" ref="U164:U172" si="82">I164</f>
        <v>299.99</v>
      </c>
      <c r="V164" s="175"/>
      <c r="W164" s="175">
        <f t="shared" ref="W164:W172" si="83">H164*1.05</f>
        <v>188.65350000000001</v>
      </c>
      <c r="X164" s="175">
        <f t="shared" si="67"/>
        <v>169.78815</v>
      </c>
      <c r="Y164" s="176">
        <f t="shared" si="68"/>
        <v>0.37113403780126003</v>
      </c>
      <c r="Z164" s="184" t="e">
        <f t="shared" si="59"/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 x14ac:dyDescent="0.25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t="shared" si="79"/>
        <v>141.75</v>
      </c>
      <c r="H165" s="36">
        <v>157.5</v>
      </c>
      <c r="I165" s="36">
        <v>224.99</v>
      </c>
      <c r="J165" s="41">
        <v>224.99</v>
      </c>
      <c r="K165" s="215"/>
      <c r="L165" s="14"/>
      <c r="M165" s="42"/>
      <c r="N165" s="31">
        <f t="shared" si="64"/>
        <v>0</v>
      </c>
      <c r="O165" s="31">
        <f t="shared" si="65"/>
        <v>0</v>
      </c>
      <c r="P165" s="31">
        <f t="shared" si="66"/>
        <v>0</v>
      </c>
      <c r="R165" s="174">
        <v>65.581000000000003</v>
      </c>
      <c r="S165" s="174"/>
      <c r="T165" s="176">
        <f t="shared" si="81"/>
        <v>0.60344066515495087</v>
      </c>
      <c r="U165" s="175">
        <f t="shared" si="82"/>
        <v>224.99</v>
      </c>
      <c r="V165" s="175"/>
      <c r="W165" s="175">
        <f t="shared" si="83"/>
        <v>165.375</v>
      </c>
      <c r="X165" s="175">
        <f t="shared" si="67"/>
        <v>148.83750000000001</v>
      </c>
      <c r="Y165" s="180">
        <f t="shared" si="68"/>
        <v>0.26496733188141697</v>
      </c>
      <c r="Z165" s="184" t="e">
        <f t="shared" si="59"/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 x14ac:dyDescent="0.25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t="shared" si="79"/>
        <v>156.411</v>
      </c>
      <c r="H166" s="36">
        <v>173.79</v>
      </c>
      <c r="I166" s="36">
        <v>299.99</v>
      </c>
      <c r="J166" s="41">
        <v>259.99</v>
      </c>
      <c r="K166" s="215"/>
      <c r="L166" s="29">
        <f t="shared" ref="L166" si="84">(J166/I166)-1</f>
        <v>-0.13333777792593082</v>
      </c>
      <c r="M166" s="38">
        <v>222.99</v>
      </c>
      <c r="N166" s="31">
        <f t="shared" si="64"/>
        <v>173.93220000000002</v>
      </c>
      <c r="O166" s="31">
        <f t="shared" si="65"/>
        <v>248.47457142857147</v>
      </c>
      <c r="P166" s="31">
        <f t="shared" si="66"/>
        <v>156.53898000000004</v>
      </c>
      <c r="R166" s="174">
        <v>100.208</v>
      </c>
      <c r="S166" s="174"/>
      <c r="T166" s="176">
        <f t="shared" si="81"/>
        <v>0.45085338353075277</v>
      </c>
      <c r="U166" s="175">
        <f t="shared" si="82"/>
        <v>299.99</v>
      </c>
      <c r="V166" s="175"/>
      <c r="W166" s="175">
        <f t="shared" si="83"/>
        <v>182.4795</v>
      </c>
      <c r="X166" s="175">
        <f t="shared" si="67"/>
        <v>164.23155</v>
      </c>
      <c r="Y166" s="176">
        <f t="shared" si="68"/>
        <v>0.39171472382412748</v>
      </c>
      <c r="Z166" s="184" t="e">
        <f t="shared" ref="Z166:Z229" si="85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 x14ac:dyDescent="0.25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t="shared" si="79"/>
        <v>86.733000000000004</v>
      </c>
      <c r="H167" s="36">
        <v>96.37</v>
      </c>
      <c r="I167" s="36">
        <v>199.99</v>
      </c>
      <c r="J167" s="41">
        <v>199.99</v>
      </c>
      <c r="K167" s="215"/>
      <c r="L167" s="14"/>
      <c r="M167" s="42"/>
      <c r="N167" s="31">
        <f t="shared" si="64"/>
        <v>0</v>
      </c>
      <c r="O167" s="31">
        <f t="shared" si="65"/>
        <v>0</v>
      </c>
      <c r="P167" s="31">
        <f t="shared" si="66"/>
        <v>0</v>
      </c>
      <c r="R167" s="174">
        <v>47.356000000000002</v>
      </c>
      <c r="S167" s="174"/>
      <c r="T167" s="176">
        <f t="shared" si="81"/>
        <v>0.5320021543950153</v>
      </c>
      <c r="U167" s="175">
        <f t="shared" si="82"/>
        <v>199.99</v>
      </c>
      <c r="V167" s="175"/>
      <c r="W167" s="175">
        <f t="shared" si="83"/>
        <v>101.1885</v>
      </c>
      <c r="X167" s="175">
        <f t="shared" si="67"/>
        <v>91.06965000000001</v>
      </c>
      <c r="Y167" s="191">
        <f t="shared" si="68"/>
        <v>0.49403220161008049</v>
      </c>
      <c r="Z167" s="184" t="e">
        <f t="shared" si="85"/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 x14ac:dyDescent="0.25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t="shared" si="79"/>
        <v>288.36900000000003</v>
      </c>
      <c r="H168" s="36">
        <v>320.41000000000003</v>
      </c>
      <c r="I168" s="36">
        <v>499.99</v>
      </c>
      <c r="J168" s="41">
        <v>499.99</v>
      </c>
      <c r="K168" s="215"/>
      <c r="L168" s="14"/>
      <c r="M168" s="42"/>
      <c r="N168" s="31">
        <f t="shared" si="64"/>
        <v>0</v>
      </c>
      <c r="O168" s="31">
        <f t="shared" si="65"/>
        <v>0</v>
      </c>
      <c r="P168" s="31">
        <f t="shared" si="66"/>
        <v>0</v>
      </c>
      <c r="R168" s="174">
        <v>168.233</v>
      </c>
      <c r="S168" s="174"/>
      <c r="T168" s="176">
        <f t="shared" si="81"/>
        <v>0.49994724021751896</v>
      </c>
      <c r="U168" s="175">
        <f t="shared" si="82"/>
        <v>499.99</v>
      </c>
      <c r="V168" s="175"/>
      <c r="W168" s="175">
        <f t="shared" si="83"/>
        <v>336.43050000000005</v>
      </c>
      <c r="X168" s="175">
        <f t="shared" si="67"/>
        <v>302.78745000000004</v>
      </c>
      <c r="Y168" s="176">
        <f t="shared" si="68"/>
        <v>0.32712554251085013</v>
      </c>
      <c r="Z168" s="184" t="e">
        <f t="shared" si="85"/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 x14ac:dyDescent="0.25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t="shared" si="79"/>
        <v>175.608</v>
      </c>
      <c r="H169" s="36">
        <v>195.12</v>
      </c>
      <c r="I169" s="36">
        <v>299.99</v>
      </c>
      <c r="J169" s="41">
        <v>272.99</v>
      </c>
      <c r="K169" s="215"/>
      <c r="L169" s="29">
        <f t="shared" ref="L169:L172" si="86">(J169/I169)-1</f>
        <v>-9.0003000100003283E-2</v>
      </c>
      <c r="M169" s="30">
        <v>272.99</v>
      </c>
      <c r="N169" s="31">
        <f t="shared" si="64"/>
        <v>212.93220000000002</v>
      </c>
      <c r="O169" s="31">
        <f t="shared" si="65"/>
        <v>304.18885714285722</v>
      </c>
      <c r="P169" s="31">
        <f t="shared" si="66"/>
        <v>191.63898000000003</v>
      </c>
      <c r="R169" s="174">
        <v>92.069000000000003</v>
      </c>
      <c r="S169" s="174"/>
      <c r="T169" s="176">
        <f t="shared" si="81"/>
        <v>0.55061110134910873</v>
      </c>
      <c r="U169" s="175">
        <f t="shared" si="82"/>
        <v>299.99</v>
      </c>
      <c r="V169" s="175"/>
      <c r="W169" s="175">
        <f t="shared" si="83"/>
        <v>204.876</v>
      </c>
      <c r="X169" s="175">
        <f t="shared" si="67"/>
        <v>184.38840000000002</v>
      </c>
      <c r="Y169" s="176">
        <f t="shared" si="68"/>
        <v>0.31705723524117468</v>
      </c>
      <c r="Z169" s="184" t="e">
        <f t="shared" si="85"/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 x14ac:dyDescent="0.25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t="shared" si="79"/>
        <v>212.65200000000002</v>
      </c>
      <c r="H170" s="36">
        <v>236.28</v>
      </c>
      <c r="I170" s="36">
        <v>349.99</v>
      </c>
      <c r="J170" s="41">
        <v>299.99</v>
      </c>
      <c r="K170" s="215"/>
      <c r="L170" s="29">
        <f t="shared" si="86"/>
        <v>-0.14286122460641737</v>
      </c>
      <c r="M170" s="30">
        <v>299.99</v>
      </c>
      <c r="N170" s="31">
        <f t="shared" si="64"/>
        <v>233.99220000000003</v>
      </c>
      <c r="O170" s="31">
        <f t="shared" si="65"/>
        <v>334.27457142857151</v>
      </c>
      <c r="P170" s="31">
        <f t="shared" si="66"/>
        <v>210.59298000000004</v>
      </c>
      <c r="R170" s="174">
        <v>119.79</v>
      </c>
      <c r="S170" s="174"/>
      <c r="T170" s="176">
        <f t="shared" si="81"/>
        <v>0.51715881883479653</v>
      </c>
      <c r="U170" s="175">
        <f t="shared" si="82"/>
        <v>349.99</v>
      </c>
      <c r="V170" s="175"/>
      <c r="W170" s="175">
        <f t="shared" si="83"/>
        <v>248.09400000000002</v>
      </c>
      <c r="X170" s="175">
        <f t="shared" si="67"/>
        <v>223.28460000000001</v>
      </c>
      <c r="Y170" s="176">
        <f t="shared" si="68"/>
        <v>0.29113974684990995</v>
      </c>
      <c r="Z170" s="184" t="e">
        <f t="shared" si="85"/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 x14ac:dyDescent="0.25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t="shared" si="79"/>
        <v>302.517</v>
      </c>
      <c r="H171" s="36">
        <v>336.13</v>
      </c>
      <c r="I171" s="36">
        <v>479.99</v>
      </c>
      <c r="J171" s="41">
        <v>430.99</v>
      </c>
      <c r="K171" s="215"/>
      <c r="L171" s="29">
        <f t="shared" si="86"/>
        <v>-0.10208546011375241</v>
      </c>
      <c r="M171" s="30">
        <v>430.99</v>
      </c>
      <c r="N171" s="31">
        <f t="shared" si="64"/>
        <v>336.17220000000003</v>
      </c>
      <c r="O171" s="31">
        <f t="shared" si="65"/>
        <v>480.24600000000009</v>
      </c>
      <c r="P171" s="31">
        <f t="shared" si="66"/>
        <v>302.55498000000006</v>
      </c>
      <c r="R171" s="174">
        <v>171.578</v>
      </c>
      <c r="S171" s="174"/>
      <c r="T171" s="176">
        <f t="shared" si="81"/>
        <v>0.51385589192390135</v>
      </c>
      <c r="U171" s="175">
        <f t="shared" si="82"/>
        <v>479.99</v>
      </c>
      <c r="V171" s="175"/>
      <c r="W171" s="175">
        <f t="shared" si="83"/>
        <v>352.93650000000002</v>
      </c>
      <c r="X171" s="175">
        <f t="shared" si="67"/>
        <v>317.64285000000001</v>
      </c>
      <c r="Y171" s="180">
        <f t="shared" si="68"/>
        <v>0.2647003062563803</v>
      </c>
      <c r="Z171" s="184" t="e">
        <f t="shared" si="85"/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 x14ac:dyDescent="0.25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t="shared" si="79"/>
        <v>306.16200000000003</v>
      </c>
      <c r="H172" s="54">
        <v>340.18</v>
      </c>
      <c r="I172" s="54">
        <v>499.99</v>
      </c>
      <c r="J172" s="182">
        <v>464.99</v>
      </c>
      <c r="K172" s="215"/>
      <c r="L172" s="29">
        <f t="shared" si="86"/>
        <v>-7.0001400028000593E-2</v>
      </c>
      <c r="M172" s="30">
        <v>464.99</v>
      </c>
      <c r="N172" s="31">
        <f t="shared" si="64"/>
        <v>362.69220000000001</v>
      </c>
      <c r="O172" s="31">
        <f t="shared" si="65"/>
        <v>518.13171428571434</v>
      </c>
      <c r="P172" s="31">
        <f t="shared" si="66"/>
        <v>326.42298</v>
      </c>
      <c r="R172" s="174">
        <v>193.36799999999999</v>
      </c>
      <c r="S172" s="174"/>
      <c r="T172" s="176">
        <f t="shared" si="81"/>
        <v>0.45863954377094485</v>
      </c>
      <c r="U172" s="175">
        <f t="shared" si="82"/>
        <v>499.99</v>
      </c>
      <c r="V172" s="175"/>
      <c r="W172" s="175">
        <f t="shared" si="83"/>
        <v>357.18900000000002</v>
      </c>
      <c r="X172" s="175">
        <f t="shared" si="67"/>
        <v>321.4701</v>
      </c>
      <c r="Y172" s="180">
        <f t="shared" si="68"/>
        <v>0.28560771215424308</v>
      </c>
      <c r="Z172" s="184" t="e">
        <f t="shared" si="85"/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ht="15" customHeight="1" x14ac:dyDescent="0.25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4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ht="15" customHeight="1" x14ac:dyDescent="0.25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t="shared" si="79"/>
        <v>30.672000000000001</v>
      </c>
      <c r="H174" s="28">
        <v>34.08</v>
      </c>
      <c r="I174" s="28">
        <v>74.989999999999995</v>
      </c>
      <c r="J174" s="28">
        <v>74.989999999999995</v>
      </c>
      <c r="K174" s="118"/>
      <c r="L174" s="14"/>
      <c r="M174" s="42"/>
      <c r="N174" s="31">
        <f t="shared" si="64"/>
        <v>0</v>
      </c>
      <c r="O174" s="31">
        <f t="shared" ref="O174:O237" si="87">N174/0.7</f>
        <v>0</v>
      </c>
      <c r="P174" s="31">
        <f t="shared" ref="P174:P237" si="88">N174*0.9</f>
        <v>0</v>
      </c>
      <c r="R174" s="174"/>
      <c r="S174" s="174"/>
      <c r="T174" s="4"/>
      <c r="U174" s="175">
        <f t="shared" ref="U174:U179" si="89">I174</f>
        <v>74.989999999999995</v>
      </c>
      <c r="V174" s="175"/>
      <c r="W174" s="175">
        <f t="shared" ref="W174:W179" si="90">H174*1.05</f>
        <v>35.783999999999999</v>
      </c>
      <c r="X174" s="175">
        <f t="shared" si="67"/>
        <v>32.205599999999997</v>
      </c>
      <c r="Y174" s="191">
        <f t="shared" si="68"/>
        <v>0.52281637551673554</v>
      </c>
      <c r="Z174" s="184" t="e">
        <f t="shared" si="85"/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ht="15" customHeight="1" x14ac:dyDescent="0.25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t="shared" si="79"/>
        <v>38.655000000000001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t="shared" si="64"/>
        <v>0</v>
      </c>
      <c r="O175" s="31">
        <f t="shared" si="87"/>
        <v>0</v>
      </c>
      <c r="P175" s="31">
        <f t="shared" si="88"/>
        <v>0</v>
      </c>
      <c r="R175" s="174"/>
      <c r="S175" s="174"/>
      <c r="T175" s="4"/>
      <c r="U175" s="175">
        <f t="shared" si="89"/>
        <v>81.99</v>
      </c>
      <c r="V175" s="175"/>
      <c r="W175" s="175">
        <f t="shared" si="90"/>
        <v>45.097500000000004</v>
      </c>
      <c r="X175" s="175">
        <f t="shared" si="67"/>
        <v>40.587750000000007</v>
      </c>
      <c r="Y175" s="191">
        <f t="shared" si="68"/>
        <v>0.44996341017197211</v>
      </c>
      <c r="Z175" s="184" t="e">
        <f t="shared" si="85"/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ht="15" customHeight="1" x14ac:dyDescent="0.25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t="shared" si="79"/>
        <v>15.534000000000002</v>
      </c>
      <c r="H176" s="36">
        <v>17.260000000000002</v>
      </c>
      <c r="I176" s="36">
        <v>29.99</v>
      </c>
      <c r="J176" s="36">
        <v>29.99</v>
      </c>
      <c r="K176" s="118"/>
      <c r="L176" s="14"/>
      <c r="M176" s="42"/>
      <c r="N176" s="31">
        <f t="shared" si="64"/>
        <v>0</v>
      </c>
      <c r="O176" s="31">
        <f t="shared" si="87"/>
        <v>0</v>
      </c>
      <c r="P176" s="31">
        <f t="shared" si="88"/>
        <v>0</v>
      </c>
      <c r="R176" s="174"/>
      <c r="S176" s="174"/>
      <c r="T176" s="4"/>
      <c r="U176" s="175">
        <f t="shared" si="89"/>
        <v>29.99</v>
      </c>
      <c r="V176" s="175"/>
      <c r="W176" s="175">
        <f t="shared" si="90"/>
        <v>18.123000000000001</v>
      </c>
      <c r="X176" s="175">
        <f t="shared" si="67"/>
        <v>16.310700000000001</v>
      </c>
      <c r="Y176" s="176">
        <f t="shared" si="68"/>
        <v>0.39569856618872951</v>
      </c>
      <c r="Z176" s="184" t="e">
        <f t="shared" si="85"/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ht="15" customHeight="1" x14ac:dyDescent="0.25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t="shared" si="79"/>
        <v>11.331</v>
      </c>
      <c r="H177" s="36">
        <v>12.59</v>
      </c>
      <c r="I177" s="36">
        <v>19.989999999999998</v>
      </c>
      <c r="J177" s="36">
        <v>19.989999999999998</v>
      </c>
      <c r="K177" s="118"/>
      <c r="L177" s="14"/>
      <c r="M177" s="42"/>
      <c r="N177" s="31">
        <f t="shared" si="64"/>
        <v>0</v>
      </c>
      <c r="O177" s="31">
        <f t="shared" si="87"/>
        <v>0</v>
      </c>
      <c r="P177" s="31">
        <f t="shared" si="88"/>
        <v>0</v>
      </c>
      <c r="R177" s="174"/>
      <c r="S177" s="174"/>
      <c r="T177" s="4"/>
      <c r="U177" s="175">
        <f t="shared" si="89"/>
        <v>19.989999999999998</v>
      </c>
      <c r="V177" s="175"/>
      <c r="W177" s="175">
        <f t="shared" si="90"/>
        <v>13.2195</v>
      </c>
      <c r="X177" s="175">
        <f t="shared" si="67"/>
        <v>11.897550000000001</v>
      </c>
      <c r="Y177" s="176">
        <f t="shared" si="68"/>
        <v>0.33869434717358676</v>
      </c>
      <c r="Z177" s="184" t="e">
        <f t="shared" si="85"/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ht="15" customHeight="1" x14ac:dyDescent="0.25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t="shared" si="79"/>
        <v>20.376000000000001</v>
      </c>
      <c r="H178" s="36">
        <v>22.64</v>
      </c>
      <c r="I178" s="36">
        <v>39.99</v>
      </c>
      <c r="J178" s="41">
        <v>41.99</v>
      </c>
      <c r="K178" s="215"/>
      <c r="L178" s="29">
        <f t="shared" ref="L178:L179" si="91">(J178/I178)-1</f>
        <v>5.0012503125781427E-2</v>
      </c>
      <c r="M178" s="30">
        <v>41.99</v>
      </c>
      <c r="N178" s="31">
        <f t="shared" si="64"/>
        <v>32.752200000000002</v>
      </c>
      <c r="O178" s="31">
        <f t="shared" si="87"/>
        <v>46.788857142857147</v>
      </c>
      <c r="P178" s="31">
        <f t="shared" si="88"/>
        <v>29.476980000000001</v>
      </c>
      <c r="R178" s="174"/>
      <c r="S178" s="174"/>
      <c r="T178" s="4"/>
      <c r="U178" s="175">
        <f t="shared" si="89"/>
        <v>39.99</v>
      </c>
      <c r="V178" s="175"/>
      <c r="W178" s="175">
        <f t="shared" si="90"/>
        <v>23.772000000000002</v>
      </c>
      <c r="X178" s="175">
        <f t="shared" si="67"/>
        <v>21.394800000000004</v>
      </c>
      <c r="Y178" s="176">
        <f t="shared" si="68"/>
        <v>0.40555138784696171</v>
      </c>
      <c r="Z178" s="184" t="e">
        <f t="shared" si="85"/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ht="15" customHeight="1" x14ac:dyDescent="0.25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t="shared" si="79"/>
        <v>15.858000000000001</v>
      </c>
      <c r="H179" s="36">
        <v>17.62</v>
      </c>
      <c r="I179" s="36">
        <v>29.99</v>
      </c>
      <c r="J179" s="41">
        <v>36.99</v>
      </c>
      <c r="K179" s="215"/>
      <c r="L179" s="29">
        <f t="shared" si="91"/>
        <v>0.23341113704568195</v>
      </c>
      <c r="M179" s="30">
        <v>36.99</v>
      </c>
      <c r="N179" s="31">
        <f t="shared" si="64"/>
        <v>28.852200000000003</v>
      </c>
      <c r="O179" s="31">
        <f t="shared" si="87"/>
        <v>41.217428571428577</v>
      </c>
      <c r="P179" s="31">
        <f t="shared" si="88"/>
        <v>25.966980000000003</v>
      </c>
      <c r="R179" s="174"/>
      <c r="S179" s="174"/>
      <c r="T179" s="4"/>
      <c r="U179" s="175">
        <f t="shared" si="89"/>
        <v>29.99</v>
      </c>
      <c r="V179" s="175"/>
      <c r="W179" s="175">
        <f t="shared" si="90"/>
        <v>18.501000000000001</v>
      </c>
      <c r="X179" s="175">
        <f t="shared" si="67"/>
        <v>16.6509</v>
      </c>
      <c r="Y179" s="176">
        <f t="shared" si="68"/>
        <v>0.3830943647882627</v>
      </c>
      <c r="Z179" s="184" t="e">
        <f t="shared" si="85"/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ht="15" customHeight="1" x14ac:dyDescent="0.25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ht="15" customHeight="1" x14ac:dyDescent="0.25">
      <c r="B181" s="312" t="s">
        <v>399</v>
      </c>
      <c r="C181" s="313"/>
      <c r="D181" s="21"/>
      <c r="E181" s="21"/>
      <c r="F181" s="21"/>
      <c r="G181" s="22"/>
      <c r="H181" s="22"/>
      <c r="I181" s="47"/>
      <c r="J181" s="47"/>
      <c r="K181" s="214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ht="15" customHeight="1" x14ac:dyDescent="0.25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t="shared" ref="G182:G185" si="92">H182*0.9</f>
        <v>3.7530000000000001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t="shared" si="64"/>
        <v>0</v>
      </c>
      <c r="O182" s="31">
        <f t="shared" si="87"/>
        <v>0</v>
      </c>
      <c r="P182" s="31">
        <f t="shared" si="88"/>
        <v>0</v>
      </c>
      <c r="R182" s="174">
        <v>1.46</v>
      </c>
      <c r="S182" s="174"/>
      <c r="T182" s="176">
        <f t="shared" ref="T182:T185" si="93">(W182-R182)/W182</f>
        <v>0.66655247230786796</v>
      </c>
      <c r="U182" s="175">
        <f>I182</f>
        <v>9.99</v>
      </c>
      <c r="V182" s="175"/>
      <c r="W182" s="175">
        <f>H182*1.05</f>
        <v>4.3784999999999998</v>
      </c>
      <c r="X182" s="175">
        <f t="shared" si="67"/>
        <v>3.9406499999999998</v>
      </c>
      <c r="Y182" s="191">
        <f t="shared" si="68"/>
        <v>0.56171171171171175</v>
      </c>
      <c r="Z182" s="184" t="e">
        <f t="shared" si="85"/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ht="15" customHeight="1" x14ac:dyDescent="0.25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t="shared" si="92"/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t="shared" si="64"/>
        <v>0</v>
      </c>
      <c r="O183" s="31">
        <f t="shared" si="87"/>
        <v>0</v>
      </c>
      <c r="P183" s="31">
        <f t="shared" si="88"/>
        <v>0</v>
      </c>
      <c r="R183" s="174">
        <v>1.24</v>
      </c>
      <c r="S183" s="174"/>
      <c r="T183" s="176">
        <f t="shared" si="93"/>
        <v>0.67195767195767198</v>
      </c>
      <c r="U183" s="175">
        <f>I183</f>
        <v>8.99</v>
      </c>
      <c r="V183" s="175"/>
      <c r="W183" s="175">
        <f>H183*1.05</f>
        <v>3.7800000000000002</v>
      </c>
      <c r="X183" s="175">
        <f t="shared" si="67"/>
        <v>3.4020000000000001</v>
      </c>
      <c r="Y183" s="191">
        <f t="shared" si="68"/>
        <v>0.57953281423804226</v>
      </c>
      <c r="Z183" s="184" t="e">
        <f t="shared" si="85"/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ht="15" customHeight="1" x14ac:dyDescent="0.25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t="shared" si="92"/>
        <v>6.6059999999999999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t="shared" si="64"/>
        <v>0</v>
      </c>
      <c r="O184" s="31">
        <f t="shared" si="87"/>
        <v>0</v>
      </c>
      <c r="P184" s="31">
        <f t="shared" si="88"/>
        <v>0</v>
      </c>
      <c r="R184" s="174">
        <v>2.8740000000000001</v>
      </c>
      <c r="S184" s="174"/>
      <c r="T184" s="176">
        <f t="shared" si="93"/>
        <v>0.62709225379525113</v>
      </c>
      <c r="U184" s="175">
        <f>I184</f>
        <v>13.99</v>
      </c>
      <c r="V184" s="175"/>
      <c r="W184" s="175">
        <f>H184*1.05</f>
        <v>7.7069999999999999</v>
      </c>
      <c r="X184" s="175">
        <f t="shared" si="67"/>
        <v>6.9363000000000001</v>
      </c>
      <c r="Y184" s="191">
        <f t="shared" si="68"/>
        <v>0.44910650464617585</v>
      </c>
      <c r="Z184" s="184" t="e">
        <f t="shared" si="85"/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ht="15" customHeight="1" x14ac:dyDescent="0.25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t="shared" si="92"/>
        <v>283.54500000000002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t="shared" si="64"/>
        <v>0</v>
      </c>
      <c r="O185" s="31">
        <f t="shared" si="87"/>
        <v>0</v>
      </c>
      <c r="P185" s="31">
        <f t="shared" si="88"/>
        <v>0</v>
      </c>
      <c r="R185" s="174">
        <v>159.93299999999999</v>
      </c>
      <c r="S185" s="174"/>
      <c r="T185" s="176">
        <f t="shared" si="93"/>
        <v>0.51653025596844038</v>
      </c>
      <c r="U185" s="175">
        <f>I185</f>
        <v>599.99</v>
      </c>
      <c r="V185" s="175"/>
      <c r="W185" s="175">
        <f>H185*1.05</f>
        <v>330.80250000000001</v>
      </c>
      <c r="X185" s="175">
        <f t="shared" si="67"/>
        <v>297.72225000000003</v>
      </c>
      <c r="Y185" s="191">
        <f t="shared" si="68"/>
        <v>0.44865331088851479</v>
      </c>
      <c r="Z185" s="184" t="e">
        <f t="shared" si="85"/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ht="15" customHeight="1" x14ac:dyDescent="0.25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 x14ac:dyDescent="0.25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8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ht="15" customHeight="1" x14ac:dyDescent="0.25">
      <c r="B188" s="316" t="s">
        <v>409</v>
      </c>
      <c r="C188" s="314"/>
      <c r="D188" s="109"/>
      <c r="E188" s="109"/>
      <c r="F188" s="109"/>
      <c r="G188" s="110"/>
      <c r="H188" s="110"/>
      <c r="I188" s="23"/>
      <c r="J188" s="23"/>
      <c r="K188" s="214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 x14ac:dyDescent="0.25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t="shared" ref="G189:G200" si="94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t="shared" si="64"/>
        <v>0</v>
      </c>
      <c r="O189" s="31">
        <f t="shared" si="87"/>
        <v>0</v>
      </c>
      <c r="P189" s="31">
        <f t="shared" si="88"/>
        <v>0</v>
      </c>
      <c r="R189" s="174">
        <v>257.41300000000001</v>
      </c>
      <c r="S189" s="174"/>
      <c r="T189" s="176">
        <f t="shared" ref="T189:T200" si="95">(W189-R189)/W189</f>
        <v>0.47084990698200285</v>
      </c>
      <c r="U189" s="175">
        <f t="shared" ref="U189:U200" si="96">I189</f>
        <v>964.99</v>
      </c>
      <c r="V189" s="175"/>
      <c r="W189" s="175">
        <f t="shared" ref="W189:W200" si="97">H189*1.05</f>
        <v>486.46500000000003</v>
      </c>
      <c r="X189" s="175">
        <f t="shared" si="67"/>
        <v>437.81850000000003</v>
      </c>
      <c r="Y189" s="191">
        <f t="shared" si="68"/>
        <v>0.49588596773023552</v>
      </c>
      <c r="Z189" s="184" t="e">
        <f t="shared" si="85"/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 x14ac:dyDescent="0.25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t="shared" si="94"/>
        <v>488.84399999999999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t="shared" si="64"/>
        <v>0</v>
      </c>
      <c r="O190" s="31">
        <f t="shared" si="87"/>
        <v>0</v>
      </c>
      <c r="P190" s="31">
        <f t="shared" si="88"/>
        <v>0</v>
      </c>
      <c r="R190" s="174">
        <v>287.77300000000002</v>
      </c>
      <c r="S190" s="174"/>
      <c r="T190" s="176">
        <f t="shared" si="95"/>
        <v>0.49541659214683731</v>
      </c>
      <c r="U190" s="175">
        <f t="shared" si="96"/>
        <v>1099.99</v>
      </c>
      <c r="V190" s="175"/>
      <c r="W190" s="175">
        <f t="shared" si="97"/>
        <v>570.31799999999998</v>
      </c>
      <c r="X190" s="175">
        <f t="shared" si="67"/>
        <v>513.28620000000001</v>
      </c>
      <c r="Y190" s="191">
        <f t="shared" si="68"/>
        <v>0.48152437749434085</v>
      </c>
      <c r="Z190" s="184" t="e">
        <f t="shared" si="85"/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 x14ac:dyDescent="0.25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t="shared" si="94"/>
        <v>229.077</v>
      </c>
      <c r="H191" s="36">
        <v>254.53</v>
      </c>
      <c r="I191" s="36">
        <v>374.99</v>
      </c>
      <c r="J191" s="41">
        <v>313.99</v>
      </c>
      <c r="K191" s="215"/>
      <c r="L191" s="29">
        <f t="shared" ref="L191:L199" si="98">(J191/I191)-1</f>
        <v>-0.16267100456012162</v>
      </c>
      <c r="M191" s="30">
        <f t="shared" ref="M191:M199" si="99">J191</f>
        <v>313.99</v>
      </c>
      <c r="N191" s="31">
        <f t="shared" si="64"/>
        <v>244.91220000000001</v>
      </c>
      <c r="O191" s="31">
        <f t="shared" si="87"/>
        <v>349.87457142857147</v>
      </c>
      <c r="P191" s="31">
        <f t="shared" si="88"/>
        <v>220.42098000000001</v>
      </c>
      <c r="R191" s="174">
        <v>126.28100000000001</v>
      </c>
      <c r="S191" s="174"/>
      <c r="T191" s="176">
        <f t="shared" si="95"/>
        <v>0.52749138000385398</v>
      </c>
      <c r="U191" s="175">
        <f t="shared" si="96"/>
        <v>374.99</v>
      </c>
      <c r="V191" s="175"/>
      <c r="W191" s="175">
        <f t="shared" si="97"/>
        <v>267.25650000000002</v>
      </c>
      <c r="X191" s="175">
        <f t="shared" si="67"/>
        <v>240.53085000000002</v>
      </c>
      <c r="Y191" s="180">
        <f t="shared" si="68"/>
        <v>0.2872969945865223</v>
      </c>
      <c r="Z191" s="184" t="e">
        <f t="shared" si="85"/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 x14ac:dyDescent="0.25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t="shared" si="94"/>
        <v>281.79900000000004</v>
      </c>
      <c r="H192" s="41">
        <v>313.11</v>
      </c>
      <c r="I192" s="36">
        <v>499.99</v>
      </c>
      <c r="J192" s="41">
        <v>434.99</v>
      </c>
      <c r="K192" s="215"/>
      <c r="L192" s="29">
        <f t="shared" si="98"/>
        <v>-0.13000260005200104</v>
      </c>
      <c r="M192" s="30">
        <f t="shared" si="99"/>
        <v>434.99</v>
      </c>
      <c r="N192" s="31">
        <f t="shared" si="64"/>
        <v>339.29220000000004</v>
      </c>
      <c r="O192" s="31">
        <f t="shared" si="87"/>
        <v>484.70314285714295</v>
      </c>
      <c r="P192" s="31">
        <f t="shared" si="88"/>
        <v>305.36298000000005</v>
      </c>
      <c r="R192" s="174">
        <v>147.327</v>
      </c>
      <c r="S192" s="174"/>
      <c r="T192" s="176">
        <f t="shared" si="95"/>
        <v>0.55187816239842691</v>
      </c>
      <c r="U192" s="175">
        <f t="shared" si="96"/>
        <v>499.99</v>
      </c>
      <c r="V192" s="175"/>
      <c r="W192" s="175">
        <f t="shared" si="97"/>
        <v>328.76550000000003</v>
      </c>
      <c r="X192" s="175">
        <f t="shared" si="67"/>
        <v>295.88895000000002</v>
      </c>
      <c r="Y192" s="176">
        <f t="shared" si="68"/>
        <v>0.34245584911698229</v>
      </c>
      <c r="Z192" s="184" t="e">
        <f t="shared" si="85"/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 x14ac:dyDescent="0.25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t="shared" si="94"/>
        <v>262.70999999999998</v>
      </c>
      <c r="H193" s="36">
        <v>291.89999999999998</v>
      </c>
      <c r="I193" s="36">
        <v>479.99</v>
      </c>
      <c r="J193" s="41">
        <v>417.99</v>
      </c>
      <c r="K193" s="215"/>
      <c r="L193" s="29">
        <f t="shared" si="98"/>
        <v>-0.12916935769495197</v>
      </c>
      <c r="M193" s="30">
        <f t="shared" si="99"/>
        <v>417.99</v>
      </c>
      <c r="N193" s="31">
        <f t="shared" si="64"/>
        <v>326.03220000000005</v>
      </c>
      <c r="O193" s="31">
        <f t="shared" si="87"/>
        <v>465.76028571428583</v>
      </c>
      <c r="P193" s="31">
        <f t="shared" si="88"/>
        <v>293.42898000000002</v>
      </c>
      <c r="R193" s="174">
        <v>147.58099999999999</v>
      </c>
      <c r="S193" s="174"/>
      <c r="T193" s="176">
        <f t="shared" si="95"/>
        <v>0.51848806668950553</v>
      </c>
      <c r="U193" s="175">
        <f t="shared" si="96"/>
        <v>479.99</v>
      </c>
      <c r="V193" s="175"/>
      <c r="W193" s="175">
        <f t="shared" si="97"/>
        <v>306.495</v>
      </c>
      <c r="X193" s="175">
        <f t="shared" si="67"/>
        <v>275.84550000000002</v>
      </c>
      <c r="Y193" s="176">
        <f t="shared" si="68"/>
        <v>0.36145544698847892</v>
      </c>
      <c r="Z193" s="184" t="e">
        <f t="shared" si="85"/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 x14ac:dyDescent="0.25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t="shared" si="94"/>
        <v>198.92699999999999</v>
      </c>
      <c r="H194" s="36">
        <v>221.03</v>
      </c>
      <c r="I194" s="36">
        <v>324.99</v>
      </c>
      <c r="J194" s="41">
        <v>261.99</v>
      </c>
      <c r="K194" s="215"/>
      <c r="L194" s="29">
        <f t="shared" si="98"/>
        <v>-0.1938521185267239</v>
      </c>
      <c r="M194" s="30">
        <f t="shared" si="99"/>
        <v>261.99</v>
      </c>
      <c r="N194" s="31">
        <f t="shared" si="64"/>
        <v>204.35220000000001</v>
      </c>
      <c r="O194" s="31">
        <f t="shared" si="87"/>
        <v>291.93171428571429</v>
      </c>
      <c r="P194" s="31">
        <f t="shared" si="88"/>
        <v>183.91698000000002</v>
      </c>
      <c r="R194" s="174">
        <v>97.524000000000001</v>
      </c>
      <c r="S194" s="174"/>
      <c r="T194" s="176">
        <f t="shared" si="95"/>
        <v>0.57978554947292227</v>
      </c>
      <c r="U194" s="175">
        <f t="shared" si="96"/>
        <v>324.99</v>
      </c>
      <c r="V194" s="175"/>
      <c r="W194" s="175">
        <f t="shared" si="97"/>
        <v>232.08150000000001</v>
      </c>
      <c r="X194" s="175">
        <f t="shared" si="67"/>
        <v>208.87335000000002</v>
      </c>
      <c r="Y194" s="180">
        <f t="shared" si="68"/>
        <v>0.28588110403397027</v>
      </c>
      <c r="Z194" s="184" t="e">
        <f t="shared" si="85"/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 x14ac:dyDescent="0.25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t="shared" si="94"/>
        <v>174.267</v>
      </c>
      <c r="H195" s="36">
        <v>193.63</v>
      </c>
      <c r="I195" s="36">
        <v>299.99</v>
      </c>
      <c r="J195" s="41">
        <v>211.99</v>
      </c>
      <c r="K195" s="215"/>
      <c r="L195" s="29">
        <f t="shared" si="98"/>
        <v>-0.29334311143704794</v>
      </c>
      <c r="M195" s="30">
        <f t="shared" si="99"/>
        <v>211.99</v>
      </c>
      <c r="N195" s="31">
        <f t="shared" si="64"/>
        <v>165.35220000000001</v>
      </c>
      <c r="O195" s="31">
        <f t="shared" si="87"/>
        <v>236.2174285714286</v>
      </c>
      <c r="P195" s="31">
        <f t="shared" si="88"/>
        <v>148.81698</v>
      </c>
      <c r="R195" s="174">
        <v>97.364999999999995</v>
      </c>
      <c r="S195" s="174"/>
      <c r="T195" s="176">
        <f t="shared" si="95"/>
        <v>0.52110431529942969</v>
      </c>
      <c r="U195" s="175">
        <f t="shared" si="96"/>
        <v>299.99</v>
      </c>
      <c r="V195" s="175"/>
      <c r="W195" s="175">
        <f t="shared" si="97"/>
        <v>203.3115</v>
      </c>
      <c r="X195" s="175">
        <f t="shared" si="67"/>
        <v>182.98034999999999</v>
      </c>
      <c r="Y195" s="176">
        <f t="shared" si="68"/>
        <v>0.32227240908030269</v>
      </c>
      <c r="Z195" s="184" t="e">
        <f t="shared" si="85"/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 x14ac:dyDescent="0.25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t="shared" si="94"/>
        <v>154.215</v>
      </c>
      <c r="H196" s="36">
        <v>171.35</v>
      </c>
      <c r="I196" s="36">
        <v>249.99</v>
      </c>
      <c r="J196" s="41">
        <v>284.99</v>
      </c>
      <c r="K196" s="215"/>
      <c r="L196" s="29">
        <f t="shared" si="98"/>
        <v>0.14000560022400887</v>
      </c>
      <c r="M196" s="30">
        <f t="shared" si="99"/>
        <v>284.99</v>
      </c>
      <c r="N196" s="31">
        <f t="shared" si="64"/>
        <v>222.29220000000001</v>
      </c>
      <c r="O196" s="31">
        <f t="shared" si="87"/>
        <v>317.56028571428573</v>
      </c>
      <c r="P196" s="31">
        <f t="shared" si="88"/>
        <v>200.06298000000001</v>
      </c>
      <c r="R196" s="174">
        <v>82.867000000000004</v>
      </c>
      <c r="S196" s="174"/>
      <c r="T196" s="176">
        <f t="shared" si="95"/>
        <v>0.53941667708810981</v>
      </c>
      <c r="U196" s="175">
        <f t="shared" si="96"/>
        <v>249.99</v>
      </c>
      <c r="V196" s="175"/>
      <c r="W196" s="175">
        <f t="shared" si="97"/>
        <v>179.91749999999999</v>
      </c>
      <c r="X196" s="175">
        <f t="shared" si="67"/>
        <v>161.92574999999999</v>
      </c>
      <c r="Y196" s="180">
        <f t="shared" si="68"/>
        <v>0.28030121204848202</v>
      </c>
      <c r="Z196" s="184" t="e">
        <f t="shared" si="85"/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 x14ac:dyDescent="0.25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t="shared" si="94"/>
        <v>149.82300000000001</v>
      </c>
      <c r="H197" s="36">
        <v>166.47</v>
      </c>
      <c r="I197" s="36">
        <v>239.99</v>
      </c>
      <c r="J197" s="41">
        <v>178.99</v>
      </c>
      <c r="K197" s="215"/>
      <c r="L197" s="29">
        <f t="shared" si="98"/>
        <v>-0.25417725738572439</v>
      </c>
      <c r="M197" s="30">
        <f t="shared" si="99"/>
        <v>178.99</v>
      </c>
      <c r="N197" s="31">
        <f t="shared" si="64"/>
        <v>139.6122</v>
      </c>
      <c r="O197" s="31">
        <f t="shared" si="87"/>
        <v>199.44600000000003</v>
      </c>
      <c r="P197" s="31">
        <f t="shared" si="88"/>
        <v>125.65098</v>
      </c>
      <c r="R197" s="174">
        <v>86.475999999999999</v>
      </c>
      <c r="S197" s="174"/>
      <c r="T197" s="176">
        <f t="shared" si="95"/>
        <v>0.50526764439181093</v>
      </c>
      <c r="U197" s="175">
        <f t="shared" si="96"/>
        <v>239.99</v>
      </c>
      <c r="V197" s="175"/>
      <c r="W197" s="175">
        <f t="shared" si="97"/>
        <v>174.79349999999999</v>
      </c>
      <c r="X197" s="175">
        <f t="shared" si="67"/>
        <v>157.31415000000001</v>
      </c>
      <c r="Y197" s="180">
        <f t="shared" si="68"/>
        <v>0.2716634026417768</v>
      </c>
      <c r="Z197" s="184" t="e">
        <f t="shared" si="85"/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 x14ac:dyDescent="0.25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t="shared" si="94"/>
        <v>113.4</v>
      </c>
      <c r="H198" s="36">
        <v>126</v>
      </c>
      <c r="I198" s="36">
        <v>179.99</v>
      </c>
      <c r="J198" s="41">
        <v>182.99</v>
      </c>
      <c r="K198" s="215"/>
      <c r="L198" s="29">
        <f t="shared" si="98"/>
        <v>1.6667592644035834E-2</v>
      </c>
      <c r="M198" s="30">
        <f t="shared" si="99"/>
        <v>182.99</v>
      </c>
      <c r="N198" s="31">
        <f t="shared" si="64"/>
        <v>142.73220000000001</v>
      </c>
      <c r="O198" s="31">
        <f t="shared" si="87"/>
        <v>203.90314285714288</v>
      </c>
      <c r="P198" s="31">
        <f t="shared" si="88"/>
        <v>128.45898</v>
      </c>
      <c r="R198" s="174">
        <v>69.129000000000005</v>
      </c>
      <c r="S198" s="174"/>
      <c r="T198" s="176">
        <f t="shared" si="95"/>
        <v>0.47748299319727894</v>
      </c>
      <c r="U198" s="175">
        <f t="shared" si="96"/>
        <v>179.99</v>
      </c>
      <c r="V198" s="175"/>
      <c r="W198" s="175">
        <f t="shared" si="97"/>
        <v>132.30000000000001</v>
      </c>
      <c r="X198" s="175">
        <f t="shared" si="67"/>
        <v>119.07000000000001</v>
      </c>
      <c r="Y198" s="180">
        <f t="shared" si="68"/>
        <v>0.26495916439802208</v>
      </c>
      <c r="Z198" s="184" t="e">
        <f t="shared" si="85"/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 x14ac:dyDescent="0.25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t="shared" si="94"/>
        <v>62.685000000000009</v>
      </c>
      <c r="H199" s="36">
        <v>69.650000000000006</v>
      </c>
      <c r="I199" s="36">
        <v>99.99</v>
      </c>
      <c r="J199" s="41">
        <v>100.99</v>
      </c>
      <c r="K199" s="215"/>
      <c r="L199" s="29">
        <f t="shared" si="98"/>
        <v>1.0001000100009927E-2</v>
      </c>
      <c r="M199" s="30">
        <f t="shared" si="99"/>
        <v>100.99</v>
      </c>
      <c r="N199" s="31">
        <f t="shared" ref="N199:N261" si="100">M199*0.78</f>
        <v>78.772199999999998</v>
      </c>
      <c r="O199" s="31">
        <f t="shared" si="87"/>
        <v>112.53171428571429</v>
      </c>
      <c r="P199" s="31">
        <f t="shared" si="88"/>
        <v>70.894980000000004</v>
      </c>
      <c r="R199" s="174">
        <v>38.715000000000003</v>
      </c>
      <c r="S199" s="174"/>
      <c r="T199" s="176">
        <f t="shared" si="95"/>
        <v>0.47061839811301404</v>
      </c>
      <c r="U199" s="175">
        <f t="shared" si="96"/>
        <v>99.99</v>
      </c>
      <c r="V199" s="175"/>
      <c r="W199" s="175">
        <f t="shared" si="97"/>
        <v>73.132500000000007</v>
      </c>
      <c r="X199" s="175">
        <f t="shared" ref="X199:X261" si="101">W199*0.9</f>
        <v>65.819250000000011</v>
      </c>
      <c r="Y199" s="180">
        <f>(U199-W199)/U199</f>
        <v>0.2686018601860185</v>
      </c>
      <c r="Z199" s="184" t="e">
        <f t="shared" si="85"/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 x14ac:dyDescent="0.25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t="shared" si="94"/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t="shared" si="100"/>
        <v>0</v>
      </c>
      <c r="O200" s="31">
        <f t="shared" si="87"/>
        <v>0</v>
      </c>
      <c r="P200" s="31">
        <f t="shared" si="88"/>
        <v>0</v>
      </c>
      <c r="R200" s="174">
        <v>33.335000000000001</v>
      </c>
      <c r="S200" s="174"/>
      <c r="T200" s="176">
        <f t="shared" si="95"/>
        <v>0.45073323447025865</v>
      </c>
      <c r="U200" s="175">
        <f t="shared" si="96"/>
        <v>84.99</v>
      </c>
      <c r="V200" s="175"/>
      <c r="W200" s="175">
        <f t="shared" si="97"/>
        <v>60.69</v>
      </c>
      <c r="X200" s="175">
        <f t="shared" si="101"/>
        <v>54.621000000000002</v>
      </c>
      <c r="Y200" s="180">
        <f>(U200-W200)/U200</f>
        <v>0.28591599011648428</v>
      </c>
      <c r="Z200" s="184" t="e">
        <f t="shared" si="85"/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 x14ac:dyDescent="0.25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ht="15" customHeight="1" x14ac:dyDescent="0.25">
      <c r="B202" s="312" t="s">
        <v>446</v>
      </c>
      <c r="C202" s="313"/>
      <c r="D202" s="21"/>
      <c r="E202" s="21"/>
      <c r="F202" s="21"/>
      <c r="G202" s="22"/>
      <c r="H202" s="22"/>
      <c r="I202" s="47"/>
      <c r="J202" s="47"/>
      <c r="K202" s="214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 x14ac:dyDescent="0.25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t="shared" ref="G203:G205" si="102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t="shared" si="100"/>
        <v>0</v>
      </c>
      <c r="O203" s="31">
        <f t="shared" si="87"/>
        <v>0</v>
      </c>
      <c r="P203" s="31">
        <f t="shared" si="88"/>
        <v>0</v>
      </c>
      <c r="R203" s="174">
        <v>14.252000000000001</v>
      </c>
      <c r="S203" s="174"/>
      <c r="T203" s="176">
        <f>(W203-R203)/W203</f>
        <v>0.48272357723577231</v>
      </c>
      <c r="U203" s="175">
        <f>I203</f>
        <v>49.99</v>
      </c>
      <c r="V203" s="175"/>
      <c r="W203" s="175">
        <f>H203*1.05</f>
        <v>27.552</v>
      </c>
      <c r="X203" s="175">
        <f t="shared" si="101"/>
        <v>24.796800000000001</v>
      </c>
      <c r="Y203" s="191">
        <f>(U203-W203)/U203</f>
        <v>0.44884976995399084</v>
      </c>
      <c r="Z203" s="184" t="e">
        <f t="shared" si="85"/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 x14ac:dyDescent="0.25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t="shared" si="102"/>
        <v>45.342000000000006</v>
      </c>
      <c r="H204" s="36">
        <v>50.38</v>
      </c>
      <c r="I204" s="36">
        <v>99.99</v>
      </c>
      <c r="J204" s="41">
        <v>81.99</v>
      </c>
      <c r="K204" s="215"/>
      <c r="L204" s="29">
        <f t="shared" ref="L204" si="103">(J204/I204)-1</f>
        <v>-0.18001800180018002</v>
      </c>
      <c r="M204" s="30">
        <f t="shared" ref="M204" si="104">J204</f>
        <v>81.99</v>
      </c>
      <c r="N204" s="31">
        <f t="shared" si="100"/>
        <v>63.952199999999998</v>
      </c>
      <c r="O204" s="31">
        <f t="shared" si="87"/>
        <v>91.360285714285723</v>
      </c>
      <c r="P204" s="31">
        <f t="shared" si="88"/>
        <v>57.556979999999996</v>
      </c>
      <c r="R204" s="174">
        <v>28.363</v>
      </c>
      <c r="S204" s="174"/>
      <c r="T204" s="176">
        <f>(W204-R204)/W204</f>
        <v>0.46382729352161678</v>
      </c>
      <c r="U204" s="175">
        <f>I204</f>
        <v>99.99</v>
      </c>
      <c r="V204" s="175"/>
      <c r="W204" s="175">
        <f>H204*1.05</f>
        <v>52.899000000000008</v>
      </c>
      <c r="X204" s="175">
        <f t="shared" si="101"/>
        <v>47.609100000000005</v>
      </c>
      <c r="Y204" s="191">
        <f>(U204-W204)/U204</f>
        <v>0.47095709570957084</v>
      </c>
      <c r="Z204" s="184" t="e">
        <f t="shared" si="85"/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 x14ac:dyDescent="0.25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t="shared" si="102"/>
        <v>9.9090000000000007</v>
      </c>
      <c r="H205" s="36">
        <v>11.01</v>
      </c>
      <c r="I205" s="36">
        <v>19.989999999999998</v>
      </c>
      <c r="J205" s="36">
        <v>19.989999999999998</v>
      </c>
      <c r="K205" s="118"/>
      <c r="L205" s="14"/>
      <c r="M205" s="42"/>
      <c r="N205" s="31">
        <f t="shared" si="100"/>
        <v>0</v>
      </c>
      <c r="O205" s="31">
        <f t="shared" si="87"/>
        <v>0</v>
      </c>
      <c r="P205" s="31">
        <f t="shared" si="88"/>
        <v>0</v>
      </c>
      <c r="R205" s="174">
        <v>5.9950000000000001</v>
      </c>
      <c r="S205" s="174"/>
      <c r="T205" s="176">
        <f>(W205-R205)/W205</f>
        <v>0.481423813848882</v>
      </c>
      <c r="U205" s="175">
        <f>I205</f>
        <v>19.989999999999998</v>
      </c>
      <c r="V205" s="175"/>
      <c r="W205" s="175">
        <f>H205*1.05</f>
        <v>11.560500000000001</v>
      </c>
      <c r="X205" s="175">
        <f t="shared" si="101"/>
        <v>10.404450000000001</v>
      </c>
      <c r="Y205" s="191">
        <f>(U205-W205)/U205</f>
        <v>0.42168584292146061</v>
      </c>
      <c r="Z205" s="184" t="e">
        <f t="shared" si="85"/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 x14ac:dyDescent="0.25">
      <c r="B206" s="112"/>
      <c r="C206" s="113"/>
      <c r="D206" s="112"/>
      <c r="E206" s="112"/>
      <c r="F206" s="114"/>
      <c r="G206" s="114"/>
      <c r="H206" s="114"/>
      <c r="I206" s="114"/>
      <c r="J206" s="114"/>
      <c r="K206" s="219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ht="15" customHeight="1" x14ac:dyDescent="0.25">
      <c r="B207" s="312" t="s">
        <v>456</v>
      </c>
      <c r="C207" s="313"/>
      <c r="D207" s="21"/>
      <c r="E207" s="21"/>
      <c r="F207" s="21"/>
      <c r="G207" s="22"/>
      <c r="H207" s="22"/>
      <c r="I207" s="47"/>
      <c r="J207" s="47"/>
      <c r="K207" s="214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 x14ac:dyDescent="0.25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t="shared" ref="G208" si="105">H208*0.9</f>
        <v>83.646000000000001</v>
      </c>
      <c r="H208" s="28">
        <v>92.94</v>
      </c>
      <c r="I208" s="28">
        <v>164.99</v>
      </c>
      <c r="J208" s="62">
        <v>130.99</v>
      </c>
      <c r="K208" s="215"/>
      <c r="L208" s="29">
        <f t="shared" ref="L208" si="106">(J208/I208)-1</f>
        <v>-0.20607309533911145</v>
      </c>
      <c r="M208" s="30">
        <f t="shared" ref="M208" si="107">J208</f>
        <v>130.99</v>
      </c>
      <c r="N208" s="31">
        <f t="shared" si="100"/>
        <v>102.1722</v>
      </c>
      <c r="O208" s="31">
        <f t="shared" si="87"/>
        <v>145.96028571428573</v>
      </c>
      <c r="P208" s="31">
        <f t="shared" si="88"/>
        <v>91.954980000000006</v>
      </c>
      <c r="R208" s="174">
        <v>44.152999999999999</v>
      </c>
      <c r="S208" s="174"/>
      <c r="T208" s="176">
        <f>(W208-R208)/W208</f>
        <v>0.54755244038652695</v>
      </c>
      <c r="U208" s="175">
        <f>I208</f>
        <v>164.99</v>
      </c>
      <c r="V208" s="175"/>
      <c r="W208" s="175">
        <f>H208*1.05</f>
        <v>97.587000000000003</v>
      </c>
      <c r="X208" s="175">
        <f t="shared" si="101"/>
        <v>87.828299999999999</v>
      </c>
      <c r="Y208" s="176">
        <f>(U208-W208)/U208</f>
        <v>0.40852778956300384</v>
      </c>
      <c r="Z208" s="184" t="e">
        <f t="shared" si="85"/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 x14ac:dyDescent="0.25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ht="15" customHeight="1" x14ac:dyDescent="0.25">
      <c r="B210" s="312" t="s">
        <v>460</v>
      </c>
      <c r="C210" s="313"/>
      <c r="D210" s="21"/>
      <c r="E210" s="21"/>
      <c r="F210" s="21"/>
      <c r="G210" s="22"/>
      <c r="H210" s="22"/>
      <c r="I210" s="47"/>
      <c r="J210" s="47"/>
      <c r="K210" s="214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 x14ac:dyDescent="0.25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t="shared" ref="G211:G217" si="108">H211*0.9</f>
        <v>537.34500000000003</v>
      </c>
      <c r="H211" s="28">
        <v>597.04999999999995</v>
      </c>
      <c r="I211" s="28">
        <v>1099.99</v>
      </c>
      <c r="J211" s="28">
        <v>799.99</v>
      </c>
      <c r="K211" s="118"/>
      <c r="L211" s="29">
        <f t="shared" ref="L211:L222" si="109">(J211/I211)-1</f>
        <v>-0.27272975208865535</v>
      </c>
      <c r="M211" s="38">
        <f t="shared" ref="M211:M222" si="110">J211</f>
        <v>799.99</v>
      </c>
      <c r="N211" s="31">
        <f t="shared" si="100"/>
        <v>623.99220000000003</v>
      </c>
      <c r="O211" s="31">
        <f t="shared" si="87"/>
        <v>891.41742857142867</v>
      </c>
      <c r="P211" s="31">
        <f t="shared" si="88"/>
        <v>561.59298000000001</v>
      </c>
      <c r="R211" s="174">
        <v>253.60300000000001</v>
      </c>
      <c r="S211" s="174"/>
      <c r="T211" s="176">
        <f t="shared" ref="T211:T217" si="111">(W211-R211)/W211</f>
        <v>0.59546659967060267</v>
      </c>
      <c r="U211" s="175">
        <f t="shared" ref="U211:U217" si="112">I211</f>
        <v>1099.99</v>
      </c>
      <c r="V211" s="175"/>
      <c r="W211" s="175">
        <f t="shared" ref="W211:W217" si="113">H211*1.05</f>
        <v>626.90250000000003</v>
      </c>
      <c r="X211" s="175">
        <f t="shared" si="101"/>
        <v>564.21225000000004</v>
      </c>
      <c r="Y211" s="176">
        <f t="shared" ref="Y211:Y217" si="114">(U211-W211)/U211</f>
        <v>0.43008345530413911</v>
      </c>
      <c r="Z211" s="184" t="e">
        <f t="shared" si="85"/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 x14ac:dyDescent="0.25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t="shared" si="108"/>
        <v>305.38799999999998</v>
      </c>
      <c r="H212" s="36">
        <v>339.32</v>
      </c>
      <c r="I212" s="36">
        <v>624.99</v>
      </c>
      <c r="J212" s="36">
        <v>449.99</v>
      </c>
      <c r="K212" s="118"/>
      <c r="L212" s="29">
        <f t="shared" si="109"/>
        <v>-0.28000448007168111</v>
      </c>
      <c r="M212" s="38">
        <f t="shared" si="110"/>
        <v>449.99</v>
      </c>
      <c r="N212" s="31">
        <f t="shared" si="100"/>
        <v>350.99220000000003</v>
      </c>
      <c r="O212" s="31">
        <f t="shared" si="87"/>
        <v>501.41742857142862</v>
      </c>
      <c r="P212" s="31">
        <f t="shared" si="88"/>
        <v>315.89298000000002</v>
      </c>
      <c r="R212" s="174">
        <v>146.01599999999999</v>
      </c>
      <c r="S212" s="174"/>
      <c r="T212" s="176">
        <f t="shared" si="111"/>
        <v>0.5901719405196949</v>
      </c>
      <c r="U212" s="175">
        <f t="shared" si="112"/>
        <v>624.99</v>
      </c>
      <c r="V212" s="175"/>
      <c r="W212" s="175">
        <f t="shared" si="113"/>
        <v>356.286</v>
      </c>
      <c r="X212" s="175">
        <f t="shared" si="101"/>
        <v>320.6574</v>
      </c>
      <c r="Y212" s="176">
        <f t="shared" si="114"/>
        <v>0.42993327893246291</v>
      </c>
      <c r="Z212" s="184" t="e">
        <f t="shared" si="85"/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 x14ac:dyDescent="0.25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t="shared" si="108"/>
        <v>291.654</v>
      </c>
      <c r="H213" s="36">
        <v>324.06</v>
      </c>
      <c r="I213" s="36">
        <v>499.99</v>
      </c>
      <c r="J213" s="36">
        <v>429.99</v>
      </c>
      <c r="K213" s="118"/>
      <c r="L213" s="29">
        <f t="shared" si="109"/>
        <v>-0.14000280005600108</v>
      </c>
      <c r="M213" s="38">
        <f t="shared" si="110"/>
        <v>429.99</v>
      </c>
      <c r="N213" s="31">
        <f t="shared" si="100"/>
        <v>335.3922</v>
      </c>
      <c r="O213" s="31">
        <f t="shared" si="87"/>
        <v>479.13171428571434</v>
      </c>
      <c r="P213" s="31">
        <f t="shared" si="88"/>
        <v>301.85298</v>
      </c>
      <c r="R213" s="174">
        <v>147.208</v>
      </c>
      <c r="S213" s="174"/>
      <c r="T213" s="176">
        <f t="shared" si="111"/>
        <v>0.56736994618868353</v>
      </c>
      <c r="U213" s="175">
        <f t="shared" si="112"/>
        <v>499.99</v>
      </c>
      <c r="V213" s="175"/>
      <c r="W213" s="175">
        <f t="shared" si="113"/>
        <v>340.26300000000003</v>
      </c>
      <c r="X213" s="175">
        <f t="shared" si="101"/>
        <v>306.23670000000004</v>
      </c>
      <c r="Y213" s="176">
        <f t="shared" si="114"/>
        <v>0.31946038920778408</v>
      </c>
      <c r="Z213" s="184" t="e">
        <f t="shared" si="85"/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 x14ac:dyDescent="0.25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t="shared" si="108"/>
        <v>188.05500000000001</v>
      </c>
      <c r="H214" s="36">
        <v>208.95</v>
      </c>
      <c r="I214" s="36">
        <v>299.99</v>
      </c>
      <c r="J214" s="36">
        <v>269.99</v>
      </c>
      <c r="K214" s="118"/>
      <c r="L214" s="29">
        <f t="shared" si="109"/>
        <v>-0.10000333344444812</v>
      </c>
      <c r="M214" s="38">
        <f t="shared" si="110"/>
        <v>269.99</v>
      </c>
      <c r="N214" s="31">
        <f t="shared" si="100"/>
        <v>210.59220000000002</v>
      </c>
      <c r="O214" s="31">
        <f t="shared" si="87"/>
        <v>300.84600000000006</v>
      </c>
      <c r="P214" s="31">
        <f t="shared" si="88"/>
        <v>189.53298000000001</v>
      </c>
      <c r="R214" s="174">
        <v>94.031000000000006</v>
      </c>
      <c r="S214" s="174"/>
      <c r="T214" s="176">
        <f t="shared" si="111"/>
        <v>0.57141261864879955</v>
      </c>
      <c r="U214" s="175">
        <f t="shared" si="112"/>
        <v>299.99</v>
      </c>
      <c r="V214" s="175"/>
      <c r="W214" s="175">
        <f t="shared" si="113"/>
        <v>219.39750000000001</v>
      </c>
      <c r="X214" s="175">
        <f t="shared" si="101"/>
        <v>197.45775</v>
      </c>
      <c r="Y214" s="180">
        <f t="shared" si="114"/>
        <v>0.26865062168738957</v>
      </c>
      <c r="Z214" s="184" t="e">
        <f t="shared" si="85"/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 x14ac:dyDescent="0.25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t="shared" si="108"/>
        <v>156.87</v>
      </c>
      <c r="H215" s="36">
        <v>174.3</v>
      </c>
      <c r="I215" s="36">
        <v>249.99</v>
      </c>
      <c r="J215" s="36">
        <v>229.99</v>
      </c>
      <c r="K215" s="118"/>
      <c r="L215" s="29">
        <f t="shared" si="109"/>
        <v>-8.0003200128005103E-2</v>
      </c>
      <c r="M215" s="38">
        <f t="shared" si="110"/>
        <v>229.99</v>
      </c>
      <c r="N215" s="31">
        <f t="shared" si="100"/>
        <v>179.3922</v>
      </c>
      <c r="O215" s="31">
        <f t="shared" si="87"/>
        <v>256.27457142857145</v>
      </c>
      <c r="P215" s="31">
        <f t="shared" si="88"/>
        <v>161.45298</v>
      </c>
      <c r="R215" s="174">
        <v>88.510999999999996</v>
      </c>
      <c r="S215" s="174"/>
      <c r="T215" s="176">
        <f t="shared" si="111"/>
        <v>0.51637297489276845</v>
      </c>
      <c r="U215" s="175">
        <f t="shared" si="112"/>
        <v>249.99</v>
      </c>
      <c r="V215" s="175"/>
      <c r="W215" s="175">
        <f t="shared" si="113"/>
        <v>183.01500000000001</v>
      </c>
      <c r="X215" s="175">
        <f t="shared" si="101"/>
        <v>164.71350000000001</v>
      </c>
      <c r="Y215" s="180">
        <f t="shared" si="114"/>
        <v>0.2679107164286571</v>
      </c>
      <c r="Z215" s="184" t="e">
        <f t="shared" si="85"/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 x14ac:dyDescent="0.25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t="shared" si="108"/>
        <v>119.62799999999999</v>
      </c>
      <c r="H216" s="36">
        <v>132.91999999999999</v>
      </c>
      <c r="I216" s="36">
        <v>189.99</v>
      </c>
      <c r="J216" s="36">
        <v>169.99</v>
      </c>
      <c r="K216" s="118"/>
      <c r="L216" s="29">
        <f t="shared" si="109"/>
        <v>-0.10526869835254482</v>
      </c>
      <c r="M216" s="38">
        <f t="shared" si="110"/>
        <v>169.99</v>
      </c>
      <c r="N216" s="31">
        <f t="shared" si="100"/>
        <v>132.59220000000002</v>
      </c>
      <c r="O216" s="31">
        <f t="shared" si="87"/>
        <v>189.41742857142862</v>
      </c>
      <c r="P216" s="31">
        <f t="shared" si="88"/>
        <v>119.33298000000002</v>
      </c>
      <c r="R216" s="174">
        <v>74.036000000000001</v>
      </c>
      <c r="S216" s="174"/>
      <c r="T216" s="176">
        <f t="shared" si="111"/>
        <v>0.46952696215410628</v>
      </c>
      <c r="U216" s="175">
        <f t="shared" si="112"/>
        <v>189.99</v>
      </c>
      <c r="V216" s="175"/>
      <c r="W216" s="175">
        <f t="shared" si="113"/>
        <v>139.566</v>
      </c>
      <c r="X216" s="175">
        <f t="shared" si="101"/>
        <v>125.60940000000001</v>
      </c>
      <c r="Y216" s="180">
        <f t="shared" si="114"/>
        <v>0.26540344228643614</v>
      </c>
      <c r="Z216" s="184" t="e">
        <f t="shared" si="85"/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 x14ac:dyDescent="0.25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t="shared" si="108"/>
        <v>78.704999999999998</v>
      </c>
      <c r="H217" s="36">
        <v>87.45</v>
      </c>
      <c r="I217" s="36">
        <v>124.99</v>
      </c>
      <c r="J217" s="36">
        <v>114.99</v>
      </c>
      <c r="K217" s="118"/>
      <c r="L217" s="29">
        <f t="shared" si="109"/>
        <v>-8.0006400512040998E-2</v>
      </c>
      <c r="M217" s="38">
        <f t="shared" si="110"/>
        <v>114.99</v>
      </c>
      <c r="N217" s="31">
        <f t="shared" si="100"/>
        <v>89.6922</v>
      </c>
      <c r="O217" s="31">
        <f t="shared" si="87"/>
        <v>128.13171428571428</v>
      </c>
      <c r="P217" s="31">
        <f t="shared" si="88"/>
        <v>80.722980000000007</v>
      </c>
      <c r="R217" s="174">
        <v>40.164999999999999</v>
      </c>
      <c r="S217" s="174"/>
      <c r="T217" s="176">
        <f t="shared" si="111"/>
        <v>0.56257997767431733</v>
      </c>
      <c r="U217" s="175">
        <f t="shared" si="112"/>
        <v>124.99</v>
      </c>
      <c r="V217" s="175"/>
      <c r="W217" s="175">
        <f t="shared" si="113"/>
        <v>91.822500000000005</v>
      </c>
      <c r="X217" s="175">
        <f t="shared" si="101"/>
        <v>82.640250000000009</v>
      </c>
      <c r="Y217" s="180">
        <f t="shared" si="114"/>
        <v>0.26536122889831182</v>
      </c>
      <c r="Z217" s="184" t="e">
        <f t="shared" si="85"/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 x14ac:dyDescent="0.25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ht="15" customHeight="1" x14ac:dyDescent="0.25">
      <c r="B219" s="312" t="s">
        <v>482</v>
      </c>
      <c r="C219" s="313"/>
      <c r="D219" s="21"/>
      <c r="E219" s="21"/>
      <c r="F219" s="21"/>
      <c r="G219" s="22"/>
      <c r="H219" s="22"/>
      <c r="I219" s="47"/>
      <c r="J219" s="47"/>
      <c r="K219" s="214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 x14ac:dyDescent="0.25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t="shared" ref="G220:G222" si="115">H220*0.9</f>
        <v>4.9050000000000002</v>
      </c>
      <c r="H220" s="28">
        <v>5.45</v>
      </c>
      <c r="I220" s="28">
        <v>14.99</v>
      </c>
      <c r="J220" s="28">
        <v>14.99</v>
      </c>
      <c r="K220" s="118"/>
      <c r="L220" s="29">
        <f t="shared" si="109"/>
        <v>0</v>
      </c>
      <c r="M220" s="38">
        <f t="shared" si="110"/>
        <v>14.99</v>
      </c>
      <c r="N220" s="31">
        <f t="shared" si="100"/>
        <v>11.6922</v>
      </c>
      <c r="O220" s="31">
        <f t="shared" si="87"/>
        <v>16.703142857142858</v>
      </c>
      <c r="P220" s="31">
        <f t="shared" si="88"/>
        <v>10.52298</v>
      </c>
      <c r="R220" s="174">
        <v>2.6869999999999998</v>
      </c>
      <c r="S220" s="174"/>
      <c r="T220" s="176">
        <f>(W220-R220)/W220</f>
        <v>0.53044997815640027</v>
      </c>
      <c r="U220" s="175">
        <f>I220</f>
        <v>14.99</v>
      </c>
      <c r="V220" s="175"/>
      <c r="W220" s="175">
        <f>H220*1.05</f>
        <v>5.7225000000000001</v>
      </c>
      <c r="X220" s="175">
        <f t="shared" si="101"/>
        <v>5.1502500000000007</v>
      </c>
      <c r="Y220" s="176">
        <f>(U220-W220)/U220</f>
        <v>0.61824549699799869</v>
      </c>
      <c r="Z220" s="184" t="e">
        <f t="shared" si="85"/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 x14ac:dyDescent="0.25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t="shared" si="115"/>
        <v>5.6610000000000005</v>
      </c>
      <c r="H221" s="36">
        <v>6.29</v>
      </c>
      <c r="I221" s="36">
        <v>19.989999999999998</v>
      </c>
      <c r="J221" s="36">
        <v>19.989999999999998</v>
      </c>
      <c r="K221" s="118"/>
      <c r="L221" s="29">
        <f t="shared" si="109"/>
        <v>0</v>
      </c>
      <c r="M221" s="38">
        <f t="shared" si="110"/>
        <v>19.989999999999998</v>
      </c>
      <c r="N221" s="31">
        <f t="shared" si="100"/>
        <v>15.5922</v>
      </c>
      <c r="O221" s="31">
        <f t="shared" si="87"/>
        <v>22.274571428571431</v>
      </c>
      <c r="P221" s="31">
        <f t="shared" si="88"/>
        <v>14.03298</v>
      </c>
      <c r="R221" s="174">
        <v>2.9740000000000002</v>
      </c>
      <c r="S221" s="174"/>
      <c r="T221" s="176">
        <f>(W221-R221)/W221</f>
        <v>0.54970096146566738</v>
      </c>
      <c r="U221" s="175">
        <f>I221</f>
        <v>19.989999999999998</v>
      </c>
      <c r="V221" s="175"/>
      <c r="W221" s="175">
        <f>H221*1.05</f>
        <v>6.6045000000000007</v>
      </c>
      <c r="X221" s="175">
        <f t="shared" si="101"/>
        <v>5.9440500000000007</v>
      </c>
      <c r="Y221" s="176">
        <f>(U221-W221)/U221</f>
        <v>0.66960980490245114</v>
      </c>
      <c r="Z221" s="184" t="e">
        <f t="shared" si="85"/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 x14ac:dyDescent="0.25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t="shared" si="115"/>
        <v>14.166</v>
      </c>
      <c r="H222" s="36">
        <v>15.74</v>
      </c>
      <c r="I222" s="36">
        <v>22.99</v>
      </c>
      <c r="J222" s="36">
        <v>19.989999999999998</v>
      </c>
      <c r="K222" s="118"/>
      <c r="L222" s="29">
        <f t="shared" si="109"/>
        <v>-0.13049151805132664</v>
      </c>
      <c r="M222" s="38">
        <f t="shared" si="110"/>
        <v>19.989999999999998</v>
      </c>
      <c r="N222" s="31">
        <f t="shared" si="100"/>
        <v>15.5922</v>
      </c>
      <c r="O222" s="31">
        <f t="shared" si="87"/>
        <v>22.274571428571431</v>
      </c>
      <c r="P222" s="31">
        <f t="shared" si="88"/>
        <v>14.03298</v>
      </c>
      <c r="R222" s="174">
        <v>6.0389999999999997</v>
      </c>
      <c r="S222" s="174"/>
      <c r="T222" s="176">
        <f>(W222-R222)/W222</f>
        <v>0.63459793065892178</v>
      </c>
      <c r="U222" s="175">
        <f>I222</f>
        <v>22.99</v>
      </c>
      <c r="V222" s="175"/>
      <c r="W222" s="175">
        <f>H222*1.05</f>
        <v>16.527000000000001</v>
      </c>
      <c r="X222" s="175">
        <f t="shared" si="101"/>
        <v>14.874300000000002</v>
      </c>
      <c r="Y222" s="180">
        <f>(U222-W222)/U222</f>
        <v>0.28112222705524131</v>
      </c>
      <c r="Z222" s="184" t="e">
        <f t="shared" si="85"/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 x14ac:dyDescent="0.25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 x14ac:dyDescent="0.25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 x14ac:dyDescent="0.25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3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ht="15" customHeight="1" x14ac:dyDescent="0.25">
      <c r="B226" s="316" t="s">
        <v>492</v>
      </c>
      <c r="C226" s="314"/>
      <c r="D226" s="109"/>
      <c r="E226" s="109"/>
      <c r="F226" s="109"/>
      <c r="G226" s="110"/>
      <c r="H226" s="110"/>
      <c r="I226" s="23"/>
      <c r="J226" s="23"/>
      <c r="K226" s="214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ht="15" customHeight="1" x14ac:dyDescent="0.25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t="shared" ref="G227:G233" si="116">H227*0.9</f>
        <v>64.817999999999998</v>
      </c>
      <c r="H227" s="28">
        <v>72.02</v>
      </c>
      <c r="I227" s="28">
        <v>119.99</v>
      </c>
      <c r="J227" s="62">
        <v>72.989999999999995</v>
      </c>
      <c r="K227" s="215"/>
      <c r="L227" s="29">
        <f t="shared" ref="L227:L231" si="117">(J227/I227)-1</f>
        <v>-0.39169930827568966</v>
      </c>
      <c r="M227" s="30">
        <v>72.989999999999995</v>
      </c>
      <c r="N227" s="31">
        <f t="shared" si="100"/>
        <v>56.932199999999995</v>
      </c>
      <c r="O227" s="31">
        <f t="shared" si="87"/>
        <v>81.331714285714284</v>
      </c>
      <c r="P227" s="31">
        <f t="shared" si="88"/>
        <v>51.238979999999998</v>
      </c>
      <c r="R227" s="174"/>
      <c r="S227" s="174"/>
      <c r="T227" s="4"/>
      <c r="U227" s="175">
        <f t="shared" ref="U227:U233" si="118">I227</f>
        <v>119.99</v>
      </c>
      <c r="V227" s="175"/>
      <c r="W227" s="175">
        <f t="shared" ref="W227:W233" si="119">H227*1.05</f>
        <v>75.620999999999995</v>
      </c>
      <c r="X227" s="175">
        <f t="shared" si="101"/>
        <v>68.058899999999994</v>
      </c>
      <c r="Y227" s="176">
        <f t="shared" ref="Y227:Y233" si="120">(U227-W227)/U227</f>
        <v>0.3697724810400867</v>
      </c>
      <c r="Z227" s="184" t="e">
        <f t="shared" si="85"/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ht="15" customHeight="1" x14ac:dyDescent="0.25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t="shared" si="116"/>
        <v>53.955000000000005</v>
      </c>
      <c r="H228" s="36">
        <v>59.95</v>
      </c>
      <c r="I228" s="36">
        <v>99.99</v>
      </c>
      <c r="J228" s="41">
        <v>64.989999999999995</v>
      </c>
      <c r="K228" s="215"/>
      <c r="L228" s="29">
        <f t="shared" si="117"/>
        <v>-0.35003500350035011</v>
      </c>
      <c r="M228" s="30">
        <v>64.989999999999995</v>
      </c>
      <c r="N228" s="31">
        <f t="shared" si="100"/>
        <v>50.6922</v>
      </c>
      <c r="O228" s="31">
        <f t="shared" si="87"/>
        <v>72.417428571428573</v>
      </c>
      <c r="P228" s="31">
        <f t="shared" si="88"/>
        <v>45.622979999999998</v>
      </c>
      <c r="R228" s="174"/>
      <c r="S228" s="174"/>
      <c r="T228" s="4"/>
      <c r="U228" s="175">
        <f t="shared" si="118"/>
        <v>99.99</v>
      </c>
      <c r="V228" s="175"/>
      <c r="W228" s="175">
        <f t="shared" si="119"/>
        <v>62.947500000000005</v>
      </c>
      <c r="X228" s="175">
        <f t="shared" si="101"/>
        <v>56.652750000000005</v>
      </c>
      <c r="Y228" s="176">
        <f t="shared" si="120"/>
        <v>0.37046204620462037</v>
      </c>
      <c r="Z228" s="184" t="e">
        <f t="shared" si="85"/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ht="15" customHeight="1" x14ac:dyDescent="0.25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t="shared" si="116"/>
        <v>51.255000000000003</v>
      </c>
      <c r="H229" s="36">
        <v>56.95</v>
      </c>
      <c r="I229" s="36">
        <v>94.99</v>
      </c>
      <c r="J229" s="41">
        <v>62.99</v>
      </c>
      <c r="K229" s="215"/>
      <c r="L229" s="29">
        <f t="shared" si="117"/>
        <v>-0.33687756605958519</v>
      </c>
      <c r="M229" s="30">
        <f>J229</f>
        <v>62.99</v>
      </c>
      <c r="N229" s="31">
        <f t="shared" si="100"/>
        <v>49.132200000000005</v>
      </c>
      <c r="O229" s="31">
        <f t="shared" si="87"/>
        <v>70.188857142857159</v>
      </c>
      <c r="P229" s="31">
        <f t="shared" si="88"/>
        <v>44.218980000000002</v>
      </c>
      <c r="R229" s="174"/>
      <c r="S229" s="174"/>
      <c r="T229" s="4"/>
      <c r="U229" s="175">
        <f t="shared" si="118"/>
        <v>94.99</v>
      </c>
      <c r="V229" s="175"/>
      <c r="W229" s="175">
        <f t="shared" si="119"/>
        <v>59.797500000000007</v>
      </c>
      <c r="X229" s="175">
        <f t="shared" si="101"/>
        <v>53.817750000000004</v>
      </c>
      <c r="Y229" s="176">
        <f t="shared" si="120"/>
        <v>0.37048636698599841</v>
      </c>
      <c r="Z229" s="184" t="e">
        <f t="shared" si="85"/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ht="15" customHeight="1" x14ac:dyDescent="0.25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t="shared" si="116"/>
        <v>45.891000000000005</v>
      </c>
      <c r="H230" s="36">
        <v>50.99</v>
      </c>
      <c r="I230" s="36">
        <v>84.99</v>
      </c>
      <c r="J230" s="41">
        <v>65.989999999999995</v>
      </c>
      <c r="K230" s="215"/>
      <c r="L230" s="29">
        <f t="shared" si="117"/>
        <v>-0.22355571243675731</v>
      </c>
      <c r="M230" s="30">
        <f t="shared" ref="M230:M231" si="121">J230</f>
        <v>65.989999999999995</v>
      </c>
      <c r="N230" s="31">
        <f t="shared" si="100"/>
        <v>51.472200000000001</v>
      </c>
      <c r="O230" s="31">
        <f t="shared" si="87"/>
        <v>73.531714285714287</v>
      </c>
      <c r="P230" s="31">
        <f t="shared" si="88"/>
        <v>46.324980000000004</v>
      </c>
      <c r="R230" s="174"/>
      <c r="S230" s="174"/>
      <c r="T230" s="4"/>
      <c r="U230" s="175">
        <f t="shared" si="118"/>
        <v>84.99</v>
      </c>
      <c r="V230" s="175"/>
      <c r="W230" s="175">
        <f t="shared" si="119"/>
        <v>53.539500000000004</v>
      </c>
      <c r="X230" s="175">
        <f t="shared" si="101"/>
        <v>48.185550000000006</v>
      </c>
      <c r="Y230" s="176">
        <f t="shared" si="120"/>
        <v>0.37004941757853854</v>
      </c>
      <c r="Z230" s="184" t="e">
        <f t="shared" ref="Z230:Z293" si="122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ht="15" customHeight="1" x14ac:dyDescent="0.25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t="shared" si="116"/>
        <v>32.381999999999998</v>
      </c>
      <c r="H231" s="36">
        <v>35.979999999999997</v>
      </c>
      <c r="I231" s="36">
        <v>59.99</v>
      </c>
      <c r="J231" s="41">
        <v>33.99</v>
      </c>
      <c r="K231" s="215"/>
      <c r="L231" s="29">
        <f t="shared" si="117"/>
        <v>-0.43340556759459914</v>
      </c>
      <c r="M231" s="30">
        <f t="shared" si="121"/>
        <v>33.99</v>
      </c>
      <c r="N231" s="31">
        <f t="shared" si="100"/>
        <v>26.512200000000004</v>
      </c>
      <c r="O231" s="31">
        <f t="shared" si="87"/>
        <v>37.874571428571436</v>
      </c>
      <c r="P231" s="31">
        <f t="shared" si="88"/>
        <v>23.860980000000005</v>
      </c>
      <c r="R231" s="174"/>
      <c r="S231" s="174"/>
      <c r="T231" s="4"/>
      <c r="U231" s="175">
        <f t="shared" si="118"/>
        <v>59.99</v>
      </c>
      <c r="V231" s="175"/>
      <c r="W231" s="175">
        <f t="shared" si="119"/>
        <v>37.778999999999996</v>
      </c>
      <c r="X231" s="175">
        <f t="shared" si="101"/>
        <v>34.001100000000001</v>
      </c>
      <c r="Y231" s="176">
        <f t="shared" si="120"/>
        <v>0.37024504084014009</v>
      </c>
      <c r="Z231" s="184" t="e">
        <f t="shared" si="122"/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ht="15" customHeight="1" x14ac:dyDescent="0.25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t="shared" si="116"/>
        <v>14.427000000000001</v>
      </c>
      <c r="H232" s="36">
        <v>16.03</v>
      </c>
      <c r="I232" s="36">
        <v>49.99</v>
      </c>
      <c r="J232" s="41">
        <v>49.99</v>
      </c>
      <c r="K232" s="215"/>
      <c r="L232" s="14"/>
      <c r="M232" s="42"/>
      <c r="N232" s="31">
        <f t="shared" si="100"/>
        <v>0</v>
      </c>
      <c r="O232" s="31">
        <f t="shared" si="87"/>
        <v>0</v>
      </c>
      <c r="P232" s="31">
        <f t="shared" si="88"/>
        <v>0</v>
      </c>
      <c r="R232" s="174"/>
      <c r="S232" s="174"/>
      <c r="T232" s="4"/>
      <c r="U232" s="175">
        <f t="shared" si="118"/>
        <v>49.99</v>
      </c>
      <c r="V232" s="175"/>
      <c r="W232" s="175">
        <f t="shared" si="119"/>
        <v>16.831500000000002</v>
      </c>
      <c r="X232" s="175">
        <f t="shared" si="101"/>
        <v>15.148350000000002</v>
      </c>
      <c r="Y232" s="176">
        <f t="shared" si="120"/>
        <v>0.66330266053210651</v>
      </c>
      <c r="Z232" s="184" t="e">
        <f t="shared" si="122"/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ht="15" customHeight="1" x14ac:dyDescent="0.25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t="shared" si="116"/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t="shared" si="100"/>
        <v>0</v>
      </c>
      <c r="O233" s="31">
        <f t="shared" si="87"/>
        <v>0</v>
      </c>
      <c r="P233" s="31">
        <f t="shared" si="88"/>
        <v>0</v>
      </c>
      <c r="R233" s="174"/>
      <c r="S233" s="174"/>
      <c r="T233" s="4"/>
      <c r="U233" s="175">
        <f t="shared" si="118"/>
        <v>9.99</v>
      </c>
      <c r="V233" s="175"/>
      <c r="W233" s="175">
        <f t="shared" si="119"/>
        <v>3.444</v>
      </c>
      <c r="X233" s="175">
        <f t="shared" si="101"/>
        <v>3.0996000000000001</v>
      </c>
      <c r="Y233" s="176">
        <f t="shared" si="120"/>
        <v>0.6552552552552553</v>
      </c>
      <c r="Z233" s="184" t="e">
        <f t="shared" si="122"/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ht="15" customHeight="1" x14ac:dyDescent="0.25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ht="15" customHeight="1" x14ac:dyDescent="0.25">
      <c r="B235" s="312" t="s">
        <v>506</v>
      </c>
      <c r="C235" s="313"/>
      <c r="D235" s="21"/>
      <c r="E235" s="21"/>
      <c r="F235" s="21"/>
      <c r="G235" s="22"/>
      <c r="H235" s="22"/>
      <c r="I235" s="47"/>
      <c r="J235" s="47"/>
      <c r="K235" s="214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ht="15" customHeight="1" x14ac:dyDescent="0.25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t="shared" ref="G236:G239" si="123">H236*0.9</f>
        <v>38.600999999999999</v>
      </c>
      <c r="H236" s="28">
        <v>42.89</v>
      </c>
      <c r="I236" s="28">
        <v>64.989999999999995</v>
      </c>
      <c r="J236" s="28">
        <v>64.989999999999995</v>
      </c>
      <c r="K236" s="118"/>
      <c r="L236" s="14"/>
      <c r="M236" s="42"/>
      <c r="N236" s="31">
        <f t="shared" si="100"/>
        <v>0</v>
      </c>
      <c r="O236" s="31">
        <f t="shared" si="87"/>
        <v>0</v>
      </c>
      <c r="P236" s="31">
        <f t="shared" si="88"/>
        <v>0</v>
      </c>
      <c r="R236" s="174"/>
      <c r="S236" s="174"/>
      <c r="T236" s="4"/>
      <c r="U236" s="175">
        <f>I236</f>
        <v>64.989999999999995</v>
      </c>
      <c r="V236" s="175"/>
      <c r="W236" s="175">
        <f>H236*1.05</f>
        <v>45.034500000000001</v>
      </c>
      <c r="X236" s="175">
        <f t="shared" si="101"/>
        <v>40.53105</v>
      </c>
      <c r="Y236" s="176">
        <f>(U236-W236)/U236</f>
        <v>0.30705493152792729</v>
      </c>
      <c r="Z236" s="184" t="e">
        <f t="shared" si="122"/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ht="15" customHeight="1" x14ac:dyDescent="0.25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t="shared" si="123"/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t="shared" si="100"/>
        <v>0</v>
      </c>
      <c r="O237" s="31">
        <f t="shared" si="87"/>
        <v>0</v>
      </c>
      <c r="P237" s="31">
        <f t="shared" si="88"/>
        <v>0</v>
      </c>
      <c r="R237" s="174"/>
      <c r="S237" s="174"/>
      <c r="T237" s="4"/>
      <c r="U237" s="175">
        <f>I237</f>
        <v>49.99</v>
      </c>
      <c r="V237" s="175"/>
      <c r="W237" s="175">
        <f>H237*1.05</f>
        <v>32.907000000000004</v>
      </c>
      <c r="X237" s="175">
        <f t="shared" si="101"/>
        <v>29.616300000000003</v>
      </c>
      <c r="Y237" s="176">
        <f>(U237-W237)/U237</f>
        <v>0.34172834566913379</v>
      </c>
      <c r="Z237" s="184" t="e">
        <f t="shared" si="122"/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ht="15" customHeight="1" x14ac:dyDescent="0.25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t="shared" si="123"/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t="shared" si="100"/>
        <v>0</v>
      </c>
      <c r="O238" s="31">
        <f t="shared" ref="O238:O301" si="124">N238/0.7</f>
        <v>0</v>
      </c>
      <c r="P238" s="31">
        <f t="shared" ref="P238:P301" si="125">N238*0.9</f>
        <v>0</v>
      </c>
      <c r="R238" s="174"/>
      <c r="S238" s="174"/>
      <c r="T238" s="4"/>
      <c r="U238" s="175">
        <f>I238</f>
        <v>39.99</v>
      </c>
      <c r="V238" s="175"/>
      <c r="W238" s="175">
        <f>H238*1.05</f>
        <v>23.089500000000001</v>
      </c>
      <c r="X238" s="175">
        <f t="shared" si="101"/>
        <v>20.780550000000002</v>
      </c>
      <c r="Y238" s="176">
        <f>(U238-W238)/U238</f>
        <v>0.42261815453863466</v>
      </c>
      <c r="Z238" s="184" t="e">
        <f t="shared" si="122"/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ht="15" customHeight="1" x14ac:dyDescent="0.25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t="shared" si="123"/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t="shared" si="100"/>
        <v>0</v>
      </c>
      <c r="O239" s="31">
        <f t="shared" si="124"/>
        <v>0</v>
      </c>
      <c r="P239" s="31">
        <f t="shared" si="125"/>
        <v>0</v>
      </c>
      <c r="R239" s="174"/>
      <c r="S239" s="174"/>
      <c r="T239" s="4"/>
      <c r="U239" s="175">
        <f>I239</f>
        <v>14.99</v>
      </c>
      <c r="V239" s="175"/>
      <c r="W239" s="175">
        <f>H239*1.05</f>
        <v>7.8645000000000005</v>
      </c>
      <c r="X239" s="175">
        <f t="shared" si="101"/>
        <v>7.0780500000000002</v>
      </c>
      <c r="Y239" s="176">
        <f>(U239-W239)/U239</f>
        <v>0.47535023348899264</v>
      </c>
      <c r="Z239" s="184" t="e">
        <f t="shared" si="122"/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ht="15" customHeight="1" x14ac:dyDescent="0.25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ht="15" customHeight="1" x14ac:dyDescent="0.25">
      <c r="B241" s="312" t="s">
        <v>516</v>
      </c>
      <c r="C241" s="313"/>
      <c r="D241" s="21"/>
      <c r="E241" s="21"/>
      <c r="F241" s="21"/>
      <c r="G241" s="22"/>
      <c r="H241" s="22"/>
      <c r="I241" s="47"/>
      <c r="J241" s="47"/>
      <c r="K241" s="214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ht="15" customHeight="1" x14ac:dyDescent="0.25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t="shared" ref="G242:G261" si="126">H242*0.9</f>
        <v>9.891</v>
      </c>
      <c r="H242" s="28">
        <v>10.99</v>
      </c>
      <c r="I242" s="28">
        <v>19.989999999999998</v>
      </c>
      <c r="J242" s="28">
        <v>19.989999999999998</v>
      </c>
      <c r="K242" s="118"/>
      <c r="L242" s="14"/>
      <c r="M242" s="42"/>
      <c r="N242" s="31">
        <f t="shared" si="100"/>
        <v>0</v>
      </c>
      <c r="O242" s="31">
        <f t="shared" si="124"/>
        <v>0</v>
      </c>
      <c r="P242" s="31">
        <f t="shared" si="125"/>
        <v>0</v>
      </c>
      <c r="R242" s="174"/>
      <c r="S242" s="174"/>
      <c r="T242" s="4"/>
      <c r="U242" s="175">
        <f t="shared" ref="U242:U261" si="127">I242</f>
        <v>19.989999999999998</v>
      </c>
      <c r="V242" s="175"/>
      <c r="W242" s="175">
        <f t="shared" ref="W242:W261" si="128">H242*1.05</f>
        <v>11.5395</v>
      </c>
      <c r="X242" s="175">
        <f t="shared" si="101"/>
        <v>10.38555</v>
      </c>
      <c r="Y242" s="176">
        <f t="shared" ref="Y242:Y261" si="129">(U242-W242)/U242</f>
        <v>0.42273636818409199</v>
      </c>
      <c r="Z242" s="184" t="e">
        <f t="shared" si="122"/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ht="15" customHeight="1" x14ac:dyDescent="0.25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t="shared" si="126"/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t="shared" si="100"/>
        <v>0</v>
      </c>
      <c r="O243" s="31">
        <f t="shared" si="124"/>
        <v>0</v>
      </c>
      <c r="P243" s="31">
        <f t="shared" si="125"/>
        <v>0</v>
      </c>
      <c r="R243" s="174"/>
      <c r="S243" s="174"/>
      <c r="T243" s="4"/>
      <c r="U243" s="175">
        <f t="shared" si="127"/>
        <v>24.99</v>
      </c>
      <c r="V243" s="175"/>
      <c r="W243" s="175">
        <f t="shared" si="128"/>
        <v>11.5395</v>
      </c>
      <c r="X243" s="175">
        <f t="shared" si="101"/>
        <v>10.38555</v>
      </c>
      <c r="Y243" s="176">
        <f t="shared" si="129"/>
        <v>0.53823529411764703</v>
      </c>
      <c r="Z243" s="184" t="e">
        <f t="shared" si="122"/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ht="15" customHeight="1" x14ac:dyDescent="0.25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t="shared" si="126"/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t="shared" si="100"/>
        <v>0</v>
      </c>
      <c r="O244" s="31">
        <f t="shared" si="124"/>
        <v>0</v>
      </c>
      <c r="P244" s="31">
        <f t="shared" si="125"/>
        <v>0</v>
      </c>
      <c r="R244" s="174"/>
      <c r="S244" s="174"/>
      <c r="T244" s="4"/>
      <c r="U244" s="175">
        <f t="shared" si="127"/>
        <v>29.99</v>
      </c>
      <c r="V244" s="175"/>
      <c r="W244" s="175">
        <f t="shared" si="128"/>
        <v>12.589500000000001</v>
      </c>
      <c r="X244" s="175">
        <f t="shared" si="101"/>
        <v>11.330550000000001</v>
      </c>
      <c r="Y244" s="176">
        <f t="shared" si="129"/>
        <v>0.58021007002334102</v>
      </c>
      <c r="Z244" s="184" t="e">
        <f t="shared" si="122"/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ht="15" customHeight="1" x14ac:dyDescent="0.25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t="shared" si="126"/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t="shared" si="100"/>
        <v>0</v>
      </c>
      <c r="O245" s="31">
        <f t="shared" si="124"/>
        <v>0</v>
      </c>
      <c r="P245" s="31">
        <f t="shared" si="125"/>
        <v>0</v>
      </c>
      <c r="R245" s="174"/>
      <c r="S245" s="174"/>
      <c r="T245" s="4"/>
      <c r="U245" s="175">
        <f t="shared" si="127"/>
        <v>10.99</v>
      </c>
      <c r="V245" s="175"/>
      <c r="W245" s="175">
        <f t="shared" si="128"/>
        <v>5.88</v>
      </c>
      <c r="X245" s="175">
        <f t="shared" si="101"/>
        <v>5.2919999999999998</v>
      </c>
      <c r="Y245" s="176">
        <f t="shared" si="129"/>
        <v>0.46496815286624205</v>
      </c>
      <c r="Z245" s="184" t="e">
        <f t="shared" si="122"/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ht="15" customHeight="1" x14ac:dyDescent="0.25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t="shared" si="126"/>
        <v>9.2160000000000011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t="shared" si="100"/>
        <v>0</v>
      </c>
      <c r="O246" s="31">
        <f t="shared" si="124"/>
        <v>0</v>
      </c>
      <c r="P246" s="31">
        <f t="shared" si="125"/>
        <v>0</v>
      </c>
      <c r="R246" s="174"/>
      <c r="S246" s="174"/>
      <c r="T246" s="4"/>
      <c r="U246" s="175">
        <f t="shared" si="127"/>
        <v>24.99</v>
      </c>
      <c r="V246" s="175"/>
      <c r="W246" s="175">
        <f t="shared" si="128"/>
        <v>10.752000000000001</v>
      </c>
      <c r="X246" s="175">
        <f t="shared" si="101"/>
        <v>9.6768000000000001</v>
      </c>
      <c r="Y246" s="176">
        <f t="shared" si="129"/>
        <v>0.56974789915966384</v>
      </c>
      <c r="Z246" s="184" t="e">
        <f t="shared" si="122"/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ht="15" customHeight="1" x14ac:dyDescent="0.25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t="shared" si="126"/>
        <v>9.5220000000000002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t="shared" si="100"/>
        <v>0</v>
      </c>
      <c r="O247" s="31">
        <f t="shared" si="124"/>
        <v>0</v>
      </c>
      <c r="P247" s="31">
        <f t="shared" si="125"/>
        <v>0</v>
      </c>
      <c r="R247" s="174"/>
      <c r="S247" s="174"/>
      <c r="T247" s="4"/>
      <c r="U247" s="175">
        <f t="shared" si="127"/>
        <v>23.99</v>
      </c>
      <c r="V247" s="175"/>
      <c r="W247" s="175">
        <f t="shared" si="128"/>
        <v>11.109</v>
      </c>
      <c r="X247" s="175">
        <f t="shared" si="101"/>
        <v>9.9981000000000009</v>
      </c>
      <c r="Y247" s="176">
        <f t="shared" si="129"/>
        <v>0.53693205502292618</v>
      </c>
      <c r="Z247" s="184" t="e">
        <f t="shared" si="122"/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ht="15" customHeight="1" x14ac:dyDescent="0.25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t="shared" si="126"/>
        <v>9.5220000000000002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t="shared" si="100"/>
        <v>0</v>
      </c>
      <c r="O248" s="31">
        <f t="shared" si="124"/>
        <v>0</v>
      </c>
      <c r="P248" s="31">
        <f t="shared" si="125"/>
        <v>0</v>
      </c>
      <c r="R248" s="174"/>
      <c r="S248" s="174"/>
      <c r="T248" s="4"/>
      <c r="U248" s="175">
        <f t="shared" si="127"/>
        <v>21.99</v>
      </c>
      <c r="V248" s="175"/>
      <c r="W248" s="175">
        <f t="shared" si="128"/>
        <v>11.109</v>
      </c>
      <c r="X248" s="175">
        <f t="shared" si="101"/>
        <v>9.9981000000000009</v>
      </c>
      <c r="Y248" s="176">
        <f t="shared" si="129"/>
        <v>0.49481582537517049</v>
      </c>
      <c r="Z248" s="184" t="e">
        <f t="shared" si="122"/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ht="15" customHeight="1" x14ac:dyDescent="0.25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t="shared" si="126"/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t="shared" si="100"/>
        <v>0</v>
      </c>
      <c r="O249" s="31">
        <f t="shared" si="124"/>
        <v>0</v>
      </c>
      <c r="P249" s="31">
        <f t="shared" si="125"/>
        <v>0</v>
      </c>
      <c r="R249" s="174"/>
      <c r="S249" s="174"/>
      <c r="T249" s="4"/>
      <c r="U249" s="175">
        <f t="shared" si="127"/>
        <v>3.99</v>
      </c>
      <c r="V249" s="175"/>
      <c r="W249" s="175">
        <f t="shared" si="128"/>
        <v>2.0369999999999999</v>
      </c>
      <c r="X249" s="175">
        <f t="shared" si="101"/>
        <v>1.8332999999999999</v>
      </c>
      <c r="Y249" s="176">
        <f t="shared" si="129"/>
        <v>0.48947368421052634</v>
      </c>
      <c r="Z249" s="184" t="e">
        <f t="shared" si="122"/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ht="15" customHeight="1" x14ac:dyDescent="0.25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t="shared" si="126"/>
        <v>3.8610000000000002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t="shared" si="100"/>
        <v>0</v>
      </c>
      <c r="O250" s="31">
        <f t="shared" si="124"/>
        <v>0</v>
      </c>
      <c r="P250" s="31">
        <f t="shared" si="125"/>
        <v>0</v>
      </c>
      <c r="R250" s="174"/>
      <c r="S250" s="174"/>
      <c r="T250" s="4"/>
      <c r="U250" s="175">
        <f t="shared" si="127"/>
        <v>8.99</v>
      </c>
      <c r="V250" s="175"/>
      <c r="W250" s="175">
        <f t="shared" si="128"/>
        <v>4.5045000000000002</v>
      </c>
      <c r="X250" s="175">
        <f t="shared" si="101"/>
        <v>4.0540500000000002</v>
      </c>
      <c r="Y250" s="176">
        <f t="shared" si="129"/>
        <v>0.4989432703003337</v>
      </c>
      <c r="Z250" s="184" t="e">
        <f t="shared" si="122"/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ht="15" customHeight="1" x14ac:dyDescent="0.25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t="shared" si="126"/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t="shared" si="100"/>
        <v>0</v>
      </c>
      <c r="O251" s="31">
        <f t="shared" si="124"/>
        <v>0</v>
      </c>
      <c r="P251" s="31">
        <f t="shared" si="125"/>
        <v>0</v>
      </c>
      <c r="R251" s="174"/>
      <c r="S251" s="174"/>
      <c r="T251" s="4"/>
      <c r="U251" s="175">
        <f t="shared" si="127"/>
        <v>12.99</v>
      </c>
      <c r="V251" s="175"/>
      <c r="W251" s="175">
        <f t="shared" si="128"/>
        <v>6.8250000000000002</v>
      </c>
      <c r="X251" s="175">
        <f t="shared" si="101"/>
        <v>6.1425000000000001</v>
      </c>
      <c r="Y251" s="176">
        <f t="shared" si="129"/>
        <v>0.47459584295612006</v>
      </c>
      <c r="Z251" s="184" t="e">
        <f t="shared" si="122"/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ht="15" customHeight="1" x14ac:dyDescent="0.25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t="shared" si="126"/>
        <v>3.375</v>
      </c>
      <c r="H252" s="133">
        <v>3.75</v>
      </c>
      <c r="I252" s="133">
        <v>7.49</v>
      </c>
      <c r="J252" s="133">
        <v>7.49</v>
      </c>
      <c r="K252" s="220"/>
      <c r="L252" s="14"/>
      <c r="M252" s="42"/>
      <c r="N252" s="31">
        <f t="shared" si="100"/>
        <v>0</v>
      </c>
      <c r="O252" s="31">
        <f t="shared" si="124"/>
        <v>0</v>
      </c>
      <c r="P252" s="31">
        <f t="shared" si="125"/>
        <v>0</v>
      </c>
      <c r="R252" s="174"/>
      <c r="S252" s="174"/>
      <c r="T252" s="4"/>
      <c r="U252" s="175">
        <f t="shared" si="127"/>
        <v>7.49</v>
      </c>
      <c r="V252" s="175"/>
      <c r="W252" s="175">
        <f t="shared" si="128"/>
        <v>3.9375</v>
      </c>
      <c r="X252" s="175">
        <f t="shared" si="101"/>
        <v>3.5437500000000002</v>
      </c>
      <c r="Y252" s="176">
        <f t="shared" si="129"/>
        <v>0.47429906542056077</v>
      </c>
      <c r="Z252" s="184" t="e">
        <f t="shared" si="122"/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ht="15" customHeight="1" x14ac:dyDescent="0.25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t="shared" si="126"/>
        <v>3.375</v>
      </c>
      <c r="H253" s="133">
        <v>3.75</v>
      </c>
      <c r="I253" s="133">
        <v>7.49</v>
      </c>
      <c r="J253" s="133">
        <v>7.49</v>
      </c>
      <c r="K253" s="220"/>
      <c r="L253" s="14"/>
      <c r="M253" s="42"/>
      <c r="N253" s="31">
        <f t="shared" si="100"/>
        <v>0</v>
      </c>
      <c r="O253" s="31">
        <f t="shared" si="124"/>
        <v>0</v>
      </c>
      <c r="P253" s="31">
        <f t="shared" si="125"/>
        <v>0</v>
      </c>
      <c r="R253" s="174"/>
      <c r="S253" s="174"/>
      <c r="T253" s="4"/>
      <c r="U253" s="175">
        <f t="shared" si="127"/>
        <v>7.49</v>
      </c>
      <c r="V253" s="175"/>
      <c r="W253" s="175">
        <f t="shared" si="128"/>
        <v>3.9375</v>
      </c>
      <c r="X253" s="175">
        <f t="shared" si="101"/>
        <v>3.5437500000000002</v>
      </c>
      <c r="Y253" s="176">
        <f t="shared" si="129"/>
        <v>0.47429906542056077</v>
      </c>
      <c r="Z253" s="184" t="e">
        <f t="shared" si="122"/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ht="15" customHeight="1" x14ac:dyDescent="0.25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t="shared" si="126"/>
        <v>6.3</v>
      </c>
      <c r="H254" s="133">
        <v>7</v>
      </c>
      <c r="I254" s="133">
        <v>13.99</v>
      </c>
      <c r="J254" s="133">
        <v>13.99</v>
      </c>
      <c r="K254" s="220"/>
      <c r="L254" s="14"/>
      <c r="M254" s="42"/>
      <c r="N254" s="31">
        <f t="shared" si="100"/>
        <v>0</v>
      </c>
      <c r="O254" s="31">
        <f t="shared" si="124"/>
        <v>0</v>
      </c>
      <c r="P254" s="31">
        <f t="shared" si="125"/>
        <v>0</v>
      </c>
      <c r="R254" s="174"/>
      <c r="S254" s="174"/>
      <c r="T254" s="4"/>
      <c r="U254" s="175">
        <f t="shared" si="127"/>
        <v>13.99</v>
      </c>
      <c r="V254" s="175"/>
      <c r="W254" s="175">
        <f t="shared" si="128"/>
        <v>7.3500000000000005</v>
      </c>
      <c r="X254" s="175">
        <f t="shared" si="101"/>
        <v>6.6150000000000002</v>
      </c>
      <c r="Y254" s="176">
        <f t="shared" si="129"/>
        <v>0.47462473195139382</v>
      </c>
      <c r="Z254" s="184" t="e">
        <f t="shared" si="122"/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ht="15" customHeight="1" x14ac:dyDescent="0.25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t="shared" si="126"/>
        <v>7.2</v>
      </c>
      <c r="H255" s="133">
        <v>8</v>
      </c>
      <c r="I255" s="133">
        <v>15.99</v>
      </c>
      <c r="J255" s="133">
        <v>15.99</v>
      </c>
      <c r="K255" s="220"/>
      <c r="L255" s="14"/>
      <c r="M255" s="42"/>
      <c r="N255" s="31">
        <f t="shared" si="100"/>
        <v>0</v>
      </c>
      <c r="O255" s="31">
        <f t="shared" si="124"/>
        <v>0</v>
      </c>
      <c r="P255" s="31">
        <f t="shared" si="125"/>
        <v>0</v>
      </c>
      <c r="R255" s="174"/>
      <c r="S255" s="174"/>
      <c r="T255" s="4"/>
      <c r="U255" s="175">
        <f t="shared" si="127"/>
        <v>15.99</v>
      </c>
      <c r="V255" s="175"/>
      <c r="W255" s="175">
        <f t="shared" si="128"/>
        <v>8.4</v>
      </c>
      <c r="X255" s="175">
        <f t="shared" si="101"/>
        <v>7.5600000000000005</v>
      </c>
      <c r="Y255" s="176">
        <f t="shared" si="129"/>
        <v>0.47467166979362102</v>
      </c>
      <c r="Z255" s="184" t="e">
        <f t="shared" si="122"/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ht="15" customHeight="1" x14ac:dyDescent="0.25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t="shared" si="126"/>
        <v>5.8500000000000005</v>
      </c>
      <c r="H256" s="133">
        <v>6.5</v>
      </c>
      <c r="I256" s="133">
        <v>12.99</v>
      </c>
      <c r="J256" s="133">
        <v>12.99</v>
      </c>
      <c r="K256" s="220"/>
      <c r="L256" s="14"/>
      <c r="M256" s="42"/>
      <c r="N256" s="31">
        <f t="shared" si="100"/>
        <v>0</v>
      </c>
      <c r="O256" s="31">
        <f t="shared" si="124"/>
        <v>0</v>
      </c>
      <c r="P256" s="31">
        <f t="shared" si="125"/>
        <v>0</v>
      </c>
      <c r="R256" s="174"/>
      <c r="S256" s="174"/>
      <c r="T256" s="4"/>
      <c r="U256" s="175">
        <f t="shared" si="127"/>
        <v>12.99</v>
      </c>
      <c r="V256" s="175"/>
      <c r="W256" s="175">
        <f t="shared" si="128"/>
        <v>6.8250000000000002</v>
      </c>
      <c r="X256" s="175">
        <f t="shared" si="101"/>
        <v>6.1425000000000001</v>
      </c>
      <c r="Y256" s="176">
        <f t="shared" si="129"/>
        <v>0.47459584295612006</v>
      </c>
      <c r="Z256" s="184" t="e">
        <f t="shared" si="122"/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ht="15" customHeight="1" x14ac:dyDescent="0.25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t="shared" si="126"/>
        <v>9.4500000000000011</v>
      </c>
      <c r="H257" s="133">
        <v>10.5</v>
      </c>
      <c r="I257" s="133">
        <v>20.99</v>
      </c>
      <c r="J257" s="133">
        <v>20.99</v>
      </c>
      <c r="K257" s="220"/>
      <c r="L257" s="14"/>
      <c r="M257" s="42"/>
      <c r="N257" s="31">
        <f t="shared" si="100"/>
        <v>0</v>
      </c>
      <c r="O257" s="31">
        <f t="shared" si="124"/>
        <v>0</v>
      </c>
      <c r="P257" s="31">
        <f t="shared" si="125"/>
        <v>0</v>
      </c>
      <c r="R257" s="174"/>
      <c r="S257" s="174"/>
      <c r="T257" s="4"/>
      <c r="U257" s="175">
        <f t="shared" si="127"/>
        <v>20.99</v>
      </c>
      <c r="V257" s="175"/>
      <c r="W257" s="175">
        <f t="shared" si="128"/>
        <v>11.025</v>
      </c>
      <c r="X257" s="175">
        <f t="shared" si="101"/>
        <v>9.9225000000000012</v>
      </c>
      <c r="Y257" s="176">
        <f t="shared" si="129"/>
        <v>0.47474988089566456</v>
      </c>
      <c r="Z257" s="184" t="e">
        <f t="shared" si="122"/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ht="15" customHeight="1" x14ac:dyDescent="0.25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t="shared" si="126"/>
        <v>8.5500000000000007</v>
      </c>
      <c r="H258" s="133">
        <v>9.5</v>
      </c>
      <c r="I258" s="133">
        <v>18.989999999999998</v>
      </c>
      <c r="J258" s="133">
        <v>18.989999999999998</v>
      </c>
      <c r="K258" s="220"/>
      <c r="L258" s="14"/>
      <c r="M258" s="42"/>
      <c r="N258" s="31">
        <f t="shared" si="100"/>
        <v>0</v>
      </c>
      <c r="O258" s="31">
        <f t="shared" si="124"/>
        <v>0</v>
      </c>
      <c r="P258" s="31">
        <f t="shared" si="125"/>
        <v>0</v>
      </c>
      <c r="R258" s="174"/>
      <c r="S258" s="174"/>
      <c r="T258" s="4"/>
      <c r="U258" s="175">
        <f t="shared" si="127"/>
        <v>18.989999999999998</v>
      </c>
      <c r="V258" s="175"/>
      <c r="W258" s="175">
        <f t="shared" si="128"/>
        <v>9.9749999999999996</v>
      </c>
      <c r="X258" s="175">
        <f t="shared" si="101"/>
        <v>8.9774999999999991</v>
      </c>
      <c r="Y258" s="176">
        <f t="shared" si="129"/>
        <v>0.47472353870458134</v>
      </c>
      <c r="Z258" s="184" t="e">
        <f t="shared" si="122"/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ht="15" customHeight="1" x14ac:dyDescent="0.25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t="shared" si="126"/>
        <v>2.9250000000000003</v>
      </c>
      <c r="H259" s="133">
        <v>3.25</v>
      </c>
      <c r="I259" s="133">
        <v>6.49</v>
      </c>
      <c r="J259" s="133">
        <v>6.49</v>
      </c>
      <c r="K259" s="220"/>
      <c r="L259" s="14"/>
      <c r="M259" s="42"/>
      <c r="N259" s="31">
        <f t="shared" si="100"/>
        <v>0</v>
      </c>
      <c r="O259" s="31">
        <f t="shared" si="124"/>
        <v>0</v>
      </c>
      <c r="P259" s="31">
        <f t="shared" si="125"/>
        <v>0</v>
      </c>
      <c r="R259" s="174"/>
      <c r="S259" s="174"/>
      <c r="T259" s="4"/>
      <c r="U259" s="175">
        <f t="shared" si="127"/>
        <v>6.49</v>
      </c>
      <c r="V259" s="175"/>
      <c r="W259" s="175">
        <f t="shared" si="128"/>
        <v>3.4125000000000001</v>
      </c>
      <c r="X259" s="175">
        <f t="shared" si="101"/>
        <v>3.07125</v>
      </c>
      <c r="Y259" s="176">
        <f t="shared" si="129"/>
        <v>0.47419106317411402</v>
      </c>
      <c r="Z259" s="184" t="e">
        <f t="shared" si="122"/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ht="15" customHeight="1" x14ac:dyDescent="0.25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t="shared" si="126"/>
        <v>2.9250000000000003</v>
      </c>
      <c r="H260" s="133">
        <v>3.25</v>
      </c>
      <c r="I260" s="133">
        <v>6.49</v>
      </c>
      <c r="J260" s="133">
        <v>6.49</v>
      </c>
      <c r="K260" s="220"/>
      <c r="L260" s="14"/>
      <c r="M260" s="42"/>
      <c r="N260" s="31">
        <f t="shared" si="100"/>
        <v>0</v>
      </c>
      <c r="O260" s="31">
        <f t="shared" si="124"/>
        <v>0</v>
      </c>
      <c r="P260" s="31">
        <f t="shared" si="125"/>
        <v>0</v>
      </c>
      <c r="R260" s="174"/>
      <c r="S260" s="174"/>
      <c r="T260" s="4"/>
      <c r="U260" s="175">
        <f t="shared" si="127"/>
        <v>6.49</v>
      </c>
      <c r="V260" s="175"/>
      <c r="W260" s="175">
        <f t="shared" si="128"/>
        <v>3.4125000000000001</v>
      </c>
      <c r="X260" s="175">
        <f t="shared" si="101"/>
        <v>3.07125</v>
      </c>
      <c r="Y260" s="176">
        <f t="shared" si="129"/>
        <v>0.47419106317411402</v>
      </c>
      <c r="Z260" s="184" t="e">
        <f t="shared" si="122"/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ht="15" customHeight="1" x14ac:dyDescent="0.25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t="shared" si="126"/>
        <v>6.3</v>
      </c>
      <c r="H261" s="133">
        <v>7</v>
      </c>
      <c r="I261" s="133">
        <v>13.99</v>
      </c>
      <c r="J261" s="133">
        <v>13.99</v>
      </c>
      <c r="K261" s="220"/>
      <c r="L261" s="14"/>
      <c r="M261" s="42"/>
      <c r="N261" s="31">
        <f t="shared" si="100"/>
        <v>0</v>
      </c>
      <c r="O261" s="31">
        <f t="shared" si="124"/>
        <v>0</v>
      </c>
      <c r="P261" s="31">
        <f t="shared" si="125"/>
        <v>0</v>
      </c>
      <c r="R261" s="174"/>
      <c r="S261" s="174"/>
      <c r="T261" s="4"/>
      <c r="U261" s="175">
        <f t="shared" si="127"/>
        <v>13.99</v>
      </c>
      <c r="V261" s="175"/>
      <c r="W261" s="175">
        <f t="shared" si="128"/>
        <v>7.3500000000000005</v>
      </c>
      <c r="X261" s="175">
        <f t="shared" si="101"/>
        <v>6.6150000000000002</v>
      </c>
      <c r="Y261" s="176">
        <f t="shared" si="129"/>
        <v>0.47462473195139382</v>
      </c>
      <c r="Z261" s="184" t="e">
        <f t="shared" si="122"/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ht="15" customHeight="1" x14ac:dyDescent="0.25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ht="15" customHeight="1" x14ac:dyDescent="0.25">
      <c r="B263" s="312" t="s">
        <v>570</v>
      </c>
      <c r="C263" s="313"/>
      <c r="D263" s="140"/>
      <c r="E263" s="21"/>
      <c r="F263" s="141"/>
      <c r="G263" s="22"/>
      <c r="H263" s="22"/>
      <c r="I263" s="47"/>
      <c r="J263" s="47"/>
      <c r="K263" s="214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ht="15" customHeight="1" x14ac:dyDescent="0.25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t="shared" ref="G264:G267" si="130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t="shared" ref="N264:N327" si="131">M264*0.78</f>
        <v>0</v>
      </c>
      <c r="O264" s="31">
        <f t="shared" si="124"/>
        <v>0</v>
      </c>
      <c r="P264" s="31">
        <f t="shared" si="125"/>
        <v>0</v>
      </c>
      <c r="R264" s="174"/>
      <c r="S264" s="174"/>
      <c r="T264" s="4"/>
      <c r="U264" s="175">
        <f>I264</f>
        <v>24.99</v>
      </c>
      <c r="V264" s="175"/>
      <c r="W264" s="175">
        <f>H264*1.05</f>
        <v>11.8545</v>
      </c>
      <c r="X264" s="175">
        <f t="shared" ref="X264:X326" si="132">W264*0.9</f>
        <v>10.66905</v>
      </c>
      <c r="Y264" s="176">
        <f t="shared" ref="Y264:Y326" si="133">(U264-W264)/U264</f>
        <v>0.52563025210084036</v>
      </c>
      <c r="Z264" s="184" t="e">
        <f t="shared" si="122"/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ht="15" customHeight="1" x14ac:dyDescent="0.25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t="shared" si="130"/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t="shared" si="131"/>
        <v>0</v>
      </c>
      <c r="O265" s="31">
        <f t="shared" si="124"/>
        <v>0</v>
      </c>
      <c r="P265" s="31">
        <f t="shared" si="125"/>
        <v>0</v>
      </c>
      <c r="R265" s="174"/>
      <c r="S265" s="174"/>
      <c r="T265" s="4"/>
      <c r="U265" s="175">
        <f>I265</f>
        <v>29.99</v>
      </c>
      <c r="V265" s="175"/>
      <c r="W265" s="175">
        <f>H265*1.05</f>
        <v>13.114500000000001</v>
      </c>
      <c r="X265" s="175">
        <f t="shared" si="132"/>
        <v>11.803050000000001</v>
      </c>
      <c r="Y265" s="176">
        <f t="shared" si="133"/>
        <v>0.56270423474491482</v>
      </c>
      <c r="Z265" s="184" t="e">
        <f t="shared" si="122"/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ht="15" customHeight="1" x14ac:dyDescent="0.25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t="shared" si="130"/>
        <v>16.190999999999999</v>
      </c>
      <c r="H266" s="36">
        <v>17.989999999999998</v>
      </c>
      <c r="I266" s="36">
        <v>29.99</v>
      </c>
      <c r="J266" s="36">
        <v>29.99</v>
      </c>
      <c r="K266" s="118"/>
      <c r="L266" s="14"/>
      <c r="M266" s="42"/>
      <c r="N266" s="31">
        <f t="shared" si="131"/>
        <v>0</v>
      </c>
      <c r="O266" s="31">
        <f t="shared" si="124"/>
        <v>0</v>
      </c>
      <c r="P266" s="31">
        <f t="shared" si="125"/>
        <v>0</v>
      </c>
      <c r="R266" s="174"/>
      <c r="S266" s="174"/>
      <c r="T266" s="4"/>
      <c r="U266" s="175">
        <f>I266</f>
        <v>29.99</v>
      </c>
      <c r="V266" s="175"/>
      <c r="W266" s="175">
        <f>H266*1.05</f>
        <v>18.889499999999998</v>
      </c>
      <c r="X266" s="175">
        <f t="shared" si="132"/>
        <v>17.00055</v>
      </c>
      <c r="Y266" s="176">
        <f t="shared" si="133"/>
        <v>0.37014004668222744</v>
      </c>
      <c r="Z266" s="184" t="e">
        <f t="shared" si="122"/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ht="15" customHeight="1" x14ac:dyDescent="0.25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t="shared" si="130"/>
        <v>6.3</v>
      </c>
      <c r="H267" s="133">
        <v>7</v>
      </c>
      <c r="I267" s="133">
        <v>13.99</v>
      </c>
      <c r="J267" s="133">
        <v>13.99</v>
      </c>
      <c r="K267" s="220"/>
      <c r="L267" s="14"/>
      <c r="M267" s="42"/>
      <c r="N267" s="31">
        <f t="shared" si="131"/>
        <v>0</v>
      </c>
      <c r="O267" s="31">
        <f t="shared" si="124"/>
        <v>0</v>
      </c>
      <c r="P267" s="31">
        <f t="shared" si="125"/>
        <v>0</v>
      </c>
      <c r="R267" s="174"/>
      <c r="S267" s="174"/>
      <c r="T267" s="4"/>
      <c r="U267" s="175">
        <f>I267</f>
        <v>13.99</v>
      </c>
      <c r="V267" s="175"/>
      <c r="W267" s="175">
        <f>H267*1.05</f>
        <v>7.3500000000000005</v>
      </c>
      <c r="X267" s="175">
        <f t="shared" si="132"/>
        <v>6.6150000000000002</v>
      </c>
      <c r="Y267" s="176">
        <f t="shared" si="133"/>
        <v>0.47462473195139382</v>
      </c>
      <c r="Z267" s="184" t="e">
        <f t="shared" si="122"/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ht="15" customHeight="1" x14ac:dyDescent="0.25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ht="15" customHeight="1" x14ac:dyDescent="0.25">
      <c r="B269" s="312" t="s">
        <v>582</v>
      </c>
      <c r="C269" s="313"/>
      <c r="D269" s="21"/>
      <c r="E269" s="21"/>
      <c r="F269" s="21"/>
      <c r="G269" s="22"/>
      <c r="H269" s="22"/>
      <c r="I269" s="47"/>
      <c r="J269" s="47"/>
      <c r="K269" s="214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ht="15" customHeight="1" x14ac:dyDescent="0.25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t="shared" ref="G270:G289" si="134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t="shared" si="131"/>
        <v>0</v>
      </c>
      <c r="O270" s="31">
        <f t="shared" si="124"/>
        <v>0</v>
      </c>
      <c r="P270" s="31">
        <f t="shared" si="125"/>
        <v>0</v>
      </c>
      <c r="R270" s="174"/>
      <c r="S270" s="174"/>
      <c r="T270" s="4"/>
      <c r="U270" s="175">
        <f t="shared" ref="U270:U289" si="135">I270</f>
        <v>59.99</v>
      </c>
      <c r="V270" s="175"/>
      <c r="W270" s="175">
        <f t="shared" ref="W270:W289" si="136">H270*1.05</f>
        <v>34.114500000000007</v>
      </c>
      <c r="X270" s="175">
        <f t="shared" si="132"/>
        <v>30.703050000000008</v>
      </c>
      <c r="Y270" s="176">
        <f t="shared" si="133"/>
        <v>0.43133022170361718</v>
      </c>
      <c r="Z270" s="184" t="e">
        <f t="shared" si="122"/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ht="15" customHeight="1" x14ac:dyDescent="0.25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t="shared" si="134"/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t="shared" si="131"/>
        <v>0</v>
      </c>
      <c r="O271" s="31">
        <f t="shared" si="124"/>
        <v>0</v>
      </c>
      <c r="P271" s="31">
        <f t="shared" si="125"/>
        <v>0</v>
      </c>
      <c r="R271" s="174"/>
      <c r="S271" s="174"/>
      <c r="T271" s="4"/>
      <c r="U271" s="175">
        <f t="shared" si="135"/>
        <v>29.99</v>
      </c>
      <c r="V271" s="175"/>
      <c r="W271" s="175">
        <f t="shared" si="136"/>
        <v>15.214500000000001</v>
      </c>
      <c r="X271" s="175">
        <f t="shared" si="132"/>
        <v>13.693050000000001</v>
      </c>
      <c r="Y271" s="176">
        <f t="shared" si="133"/>
        <v>0.49268089363121037</v>
      </c>
      <c r="Z271" s="184" t="e">
        <f t="shared" si="122"/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ht="15" customHeight="1" x14ac:dyDescent="0.25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t="shared" si="134"/>
        <v>5.2110000000000003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t="shared" si="131"/>
        <v>0</v>
      </c>
      <c r="O272" s="31">
        <f t="shared" si="124"/>
        <v>0</v>
      </c>
      <c r="P272" s="31">
        <f t="shared" si="125"/>
        <v>0</v>
      </c>
      <c r="R272" s="174"/>
      <c r="S272" s="174"/>
      <c r="T272" s="4"/>
      <c r="U272" s="175">
        <f t="shared" si="135"/>
        <v>11.99</v>
      </c>
      <c r="V272" s="175"/>
      <c r="W272" s="175">
        <f t="shared" si="136"/>
        <v>6.0795000000000003</v>
      </c>
      <c r="X272" s="175">
        <f t="shared" si="132"/>
        <v>5.4715500000000006</v>
      </c>
      <c r="Y272" s="176">
        <f t="shared" si="133"/>
        <v>0.49295246038365303</v>
      </c>
      <c r="Z272" s="184" t="e">
        <f t="shared" si="122"/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ht="15" customHeight="1" x14ac:dyDescent="0.25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t="shared" si="134"/>
        <v>6.2009999999999996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t="shared" si="131"/>
        <v>0</v>
      </c>
      <c r="O273" s="31">
        <f t="shared" si="124"/>
        <v>0</v>
      </c>
      <c r="P273" s="31">
        <f t="shared" si="125"/>
        <v>0</v>
      </c>
      <c r="R273" s="174"/>
      <c r="S273" s="174"/>
      <c r="T273" s="4"/>
      <c r="U273" s="175">
        <f t="shared" si="135"/>
        <v>13.99</v>
      </c>
      <c r="V273" s="175"/>
      <c r="W273" s="175">
        <f t="shared" si="136"/>
        <v>7.2344999999999997</v>
      </c>
      <c r="X273" s="175">
        <f t="shared" si="132"/>
        <v>6.51105</v>
      </c>
      <c r="Y273" s="176">
        <f t="shared" si="133"/>
        <v>0.48288062902072915</v>
      </c>
      <c r="Z273" s="184" t="e">
        <f t="shared" si="122"/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ht="15" customHeight="1" x14ac:dyDescent="0.25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t="shared" si="134"/>
        <v>7.1550000000000002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t="shared" si="131"/>
        <v>0</v>
      </c>
      <c r="O274" s="31">
        <f t="shared" si="124"/>
        <v>0</v>
      </c>
      <c r="P274" s="31">
        <f t="shared" si="125"/>
        <v>0</v>
      </c>
      <c r="R274" s="174"/>
      <c r="S274" s="174"/>
      <c r="T274" s="4"/>
      <c r="U274" s="175">
        <f t="shared" si="135"/>
        <v>15.99</v>
      </c>
      <c r="V274" s="175"/>
      <c r="W274" s="175">
        <f t="shared" si="136"/>
        <v>8.3475000000000001</v>
      </c>
      <c r="X274" s="175">
        <f t="shared" si="132"/>
        <v>7.5127500000000005</v>
      </c>
      <c r="Y274" s="176">
        <f t="shared" si="133"/>
        <v>0.47795497185741087</v>
      </c>
      <c r="Z274" s="184" t="e">
        <f t="shared" si="122"/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ht="15" customHeight="1" x14ac:dyDescent="0.25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t="shared" si="134"/>
        <v>8.9640000000000004</v>
      </c>
      <c r="H275" s="36">
        <v>9.9600000000000009</v>
      </c>
      <c r="I275" s="36">
        <v>19.989999999999998</v>
      </c>
      <c r="J275" s="36">
        <v>19.989999999999998</v>
      </c>
      <c r="K275" s="118"/>
      <c r="L275" s="14"/>
      <c r="M275" s="42"/>
      <c r="N275" s="31">
        <f t="shared" si="131"/>
        <v>0</v>
      </c>
      <c r="O275" s="31">
        <f t="shared" si="124"/>
        <v>0</v>
      </c>
      <c r="P275" s="31">
        <f t="shared" si="125"/>
        <v>0</v>
      </c>
      <c r="R275" s="174"/>
      <c r="S275" s="174"/>
      <c r="T275" s="4"/>
      <c r="U275" s="175">
        <f t="shared" si="135"/>
        <v>19.989999999999998</v>
      </c>
      <c r="V275" s="175"/>
      <c r="W275" s="175">
        <f t="shared" si="136"/>
        <v>10.458000000000002</v>
      </c>
      <c r="X275" s="175">
        <f t="shared" si="132"/>
        <v>9.4122000000000021</v>
      </c>
      <c r="Y275" s="176">
        <f t="shared" si="133"/>
        <v>0.47683841920960468</v>
      </c>
      <c r="Z275" s="184" t="e">
        <f t="shared" si="122"/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ht="15" customHeight="1" x14ac:dyDescent="0.25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t="shared" si="134"/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t="shared" si="131"/>
        <v>0</v>
      </c>
      <c r="O276" s="31">
        <f t="shared" si="124"/>
        <v>0</v>
      </c>
      <c r="P276" s="31">
        <f t="shared" si="125"/>
        <v>0</v>
      </c>
      <c r="R276" s="174"/>
      <c r="S276" s="174"/>
      <c r="T276" s="4"/>
      <c r="U276" s="175">
        <f t="shared" si="135"/>
        <v>29.99</v>
      </c>
      <c r="V276" s="175"/>
      <c r="W276" s="175">
        <f t="shared" si="136"/>
        <v>13.629000000000001</v>
      </c>
      <c r="X276" s="175">
        <f t="shared" si="132"/>
        <v>12.266100000000002</v>
      </c>
      <c r="Y276" s="176">
        <f t="shared" si="133"/>
        <v>0.54554851617205724</v>
      </c>
      <c r="Z276" s="184" t="e">
        <f t="shared" si="122"/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ht="15" customHeight="1" x14ac:dyDescent="0.25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t="shared" si="134"/>
        <v>8.5410000000000004</v>
      </c>
      <c r="H277" s="36">
        <v>9.49</v>
      </c>
      <c r="I277" s="36">
        <v>19.989999999999998</v>
      </c>
      <c r="J277" s="36">
        <v>19.989999999999998</v>
      </c>
      <c r="K277" s="118"/>
      <c r="L277" s="14"/>
      <c r="M277" s="42"/>
      <c r="N277" s="31">
        <f t="shared" si="131"/>
        <v>0</v>
      </c>
      <c r="O277" s="31">
        <f t="shared" si="124"/>
        <v>0</v>
      </c>
      <c r="P277" s="31">
        <f t="shared" si="125"/>
        <v>0</v>
      </c>
      <c r="R277" s="174"/>
      <c r="S277" s="174"/>
      <c r="T277" s="4"/>
      <c r="U277" s="175">
        <f t="shared" si="135"/>
        <v>19.989999999999998</v>
      </c>
      <c r="V277" s="175"/>
      <c r="W277" s="175">
        <f t="shared" si="136"/>
        <v>9.964500000000001</v>
      </c>
      <c r="X277" s="175">
        <f t="shared" si="132"/>
        <v>8.9680500000000016</v>
      </c>
      <c r="Y277" s="176">
        <f t="shared" si="133"/>
        <v>0.50152576288144068</v>
      </c>
      <c r="Z277" s="184" t="e">
        <f t="shared" si="122"/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ht="15" customHeight="1" x14ac:dyDescent="0.25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t="shared" si="134"/>
        <v>3.3839999999999999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t="shared" si="131"/>
        <v>0</v>
      </c>
      <c r="O278" s="31">
        <f t="shared" si="124"/>
        <v>0</v>
      </c>
      <c r="P278" s="31">
        <f t="shared" si="125"/>
        <v>0</v>
      </c>
      <c r="R278" s="174"/>
      <c r="S278" s="174"/>
      <c r="T278" s="4"/>
      <c r="U278" s="175">
        <f t="shared" si="135"/>
        <v>7.99</v>
      </c>
      <c r="V278" s="175"/>
      <c r="W278" s="175">
        <f t="shared" si="136"/>
        <v>3.948</v>
      </c>
      <c r="X278" s="175">
        <f t="shared" si="132"/>
        <v>3.5531999999999999</v>
      </c>
      <c r="Y278" s="176">
        <f t="shared" si="133"/>
        <v>0.50588235294117645</v>
      </c>
      <c r="Z278" s="184" t="e">
        <f t="shared" si="122"/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ht="15" customHeight="1" x14ac:dyDescent="0.25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t="shared" si="134"/>
        <v>1.746</v>
      </c>
      <c r="H279" s="144">
        <v>1.94</v>
      </c>
      <c r="I279" s="144">
        <v>3.99</v>
      </c>
      <c r="J279" s="144">
        <v>3.99</v>
      </c>
      <c r="K279" s="221"/>
      <c r="L279" s="14"/>
      <c r="M279" s="42"/>
      <c r="N279" s="31">
        <f t="shared" si="131"/>
        <v>0</v>
      </c>
      <c r="O279" s="31">
        <f t="shared" si="124"/>
        <v>0</v>
      </c>
      <c r="P279" s="31">
        <f t="shared" si="125"/>
        <v>0</v>
      </c>
      <c r="R279" s="174"/>
      <c r="S279" s="174"/>
      <c r="T279" s="4"/>
      <c r="U279" s="175">
        <f t="shared" si="135"/>
        <v>3.99</v>
      </c>
      <c r="V279" s="175"/>
      <c r="W279" s="175">
        <f t="shared" si="136"/>
        <v>2.0369999999999999</v>
      </c>
      <c r="X279" s="175">
        <f t="shared" si="132"/>
        <v>1.8332999999999999</v>
      </c>
      <c r="Y279" s="176">
        <f t="shared" si="133"/>
        <v>0.48947368421052634</v>
      </c>
      <c r="Z279" s="184" t="e">
        <f t="shared" si="122"/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ht="15" customHeight="1" x14ac:dyDescent="0.25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t="shared" si="134"/>
        <v>1.746</v>
      </c>
      <c r="H280" s="144">
        <v>1.94</v>
      </c>
      <c r="I280" s="144">
        <v>3.99</v>
      </c>
      <c r="J280" s="144">
        <v>3.99</v>
      </c>
      <c r="K280" s="221"/>
      <c r="L280" s="14"/>
      <c r="M280" s="42"/>
      <c r="N280" s="31">
        <f t="shared" si="131"/>
        <v>0</v>
      </c>
      <c r="O280" s="31">
        <f t="shared" si="124"/>
        <v>0</v>
      </c>
      <c r="P280" s="31">
        <f t="shared" si="125"/>
        <v>0</v>
      </c>
      <c r="R280" s="174"/>
      <c r="S280" s="174"/>
      <c r="T280" s="4"/>
      <c r="U280" s="175">
        <f t="shared" si="135"/>
        <v>3.99</v>
      </c>
      <c r="V280" s="175"/>
      <c r="W280" s="175">
        <f t="shared" si="136"/>
        <v>2.0369999999999999</v>
      </c>
      <c r="X280" s="175">
        <f t="shared" si="132"/>
        <v>1.8332999999999999</v>
      </c>
      <c r="Y280" s="176">
        <f t="shared" si="133"/>
        <v>0.48947368421052634</v>
      </c>
      <c r="Z280" s="184" t="e">
        <f t="shared" si="122"/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ht="15" customHeight="1" x14ac:dyDescent="0.25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t="shared" si="134"/>
        <v>1.746</v>
      </c>
      <c r="H281" s="144">
        <v>1.94</v>
      </c>
      <c r="I281" s="144">
        <v>3.99</v>
      </c>
      <c r="J281" s="144">
        <v>3.99</v>
      </c>
      <c r="K281" s="221"/>
      <c r="L281" s="14"/>
      <c r="M281" s="42"/>
      <c r="N281" s="31">
        <f t="shared" si="131"/>
        <v>0</v>
      </c>
      <c r="O281" s="31">
        <f t="shared" si="124"/>
        <v>0</v>
      </c>
      <c r="P281" s="31">
        <f t="shared" si="125"/>
        <v>0</v>
      </c>
      <c r="R281" s="174"/>
      <c r="S281" s="174"/>
      <c r="T281" s="4"/>
      <c r="U281" s="175">
        <f t="shared" si="135"/>
        <v>3.99</v>
      </c>
      <c r="V281" s="175"/>
      <c r="W281" s="175">
        <f t="shared" si="136"/>
        <v>2.0369999999999999</v>
      </c>
      <c r="X281" s="175">
        <f t="shared" si="132"/>
        <v>1.8332999999999999</v>
      </c>
      <c r="Y281" s="176">
        <f t="shared" si="133"/>
        <v>0.48947368421052634</v>
      </c>
      <c r="Z281" s="184" t="e">
        <f t="shared" si="122"/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ht="15" customHeight="1" x14ac:dyDescent="0.25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t="shared" si="134"/>
        <v>4.05</v>
      </c>
      <c r="H282" s="133">
        <v>4.5</v>
      </c>
      <c r="I282" s="133">
        <v>8.99</v>
      </c>
      <c r="J282" s="133">
        <v>8.99</v>
      </c>
      <c r="K282" s="220"/>
      <c r="L282" s="14"/>
      <c r="M282" s="42"/>
      <c r="N282" s="31">
        <f t="shared" si="131"/>
        <v>0</v>
      </c>
      <c r="O282" s="31">
        <f t="shared" si="124"/>
        <v>0</v>
      </c>
      <c r="P282" s="31">
        <f t="shared" si="125"/>
        <v>0</v>
      </c>
      <c r="R282" s="174"/>
      <c r="S282" s="174"/>
      <c r="T282" s="4"/>
      <c r="U282" s="175">
        <f t="shared" si="135"/>
        <v>8.99</v>
      </c>
      <c r="V282" s="175"/>
      <c r="W282" s="175">
        <f t="shared" si="136"/>
        <v>4.7250000000000005</v>
      </c>
      <c r="X282" s="175">
        <f t="shared" si="132"/>
        <v>4.2525000000000004</v>
      </c>
      <c r="Y282" s="176">
        <f t="shared" si="133"/>
        <v>0.47441601779755277</v>
      </c>
      <c r="Z282" s="184" t="e">
        <f t="shared" si="122"/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ht="15" customHeight="1" x14ac:dyDescent="0.25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t="shared" si="134"/>
        <v>9</v>
      </c>
      <c r="H283" s="133">
        <v>10</v>
      </c>
      <c r="I283" s="133">
        <v>19.989999999999998</v>
      </c>
      <c r="J283" s="133">
        <v>19.989999999999998</v>
      </c>
      <c r="K283" s="220"/>
      <c r="L283" s="14"/>
      <c r="M283" s="42"/>
      <c r="N283" s="31">
        <f t="shared" si="131"/>
        <v>0</v>
      </c>
      <c r="O283" s="31">
        <f t="shared" si="124"/>
        <v>0</v>
      </c>
      <c r="P283" s="31">
        <f t="shared" si="125"/>
        <v>0</v>
      </c>
      <c r="R283" s="174"/>
      <c r="S283" s="174"/>
      <c r="T283" s="4"/>
      <c r="U283" s="175">
        <f t="shared" si="135"/>
        <v>19.989999999999998</v>
      </c>
      <c r="V283" s="175"/>
      <c r="W283" s="175">
        <f t="shared" si="136"/>
        <v>10.5</v>
      </c>
      <c r="X283" s="175">
        <f t="shared" si="132"/>
        <v>9.4500000000000011</v>
      </c>
      <c r="Y283" s="176">
        <f t="shared" si="133"/>
        <v>0.47473736868434213</v>
      </c>
      <c r="Z283" s="184" t="e">
        <f t="shared" si="122"/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ht="15" customHeight="1" x14ac:dyDescent="0.25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t="shared" si="134"/>
        <v>7.2</v>
      </c>
      <c r="H284" s="133">
        <v>8</v>
      </c>
      <c r="I284" s="133">
        <v>15.99</v>
      </c>
      <c r="J284" s="133">
        <v>15.99</v>
      </c>
      <c r="K284" s="220"/>
      <c r="L284" s="14"/>
      <c r="M284" s="42"/>
      <c r="N284" s="31">
        <f t="shared" si="131"/>
        <v>0</v>
      </c>
      <c r="O284" s="31">
        <f t="shared" si="124"/>
        <v>0</v>
      </c>
      <c r="P284" s="31">
        <f t="shared" si="125"/>
        <v>0</v>
      </c>
      <c r="R284" s="174"/>
      <c r="S284" s="174"/>
      <c r="T284" s="4"/>
      <c r="U284" s="175">
        <f t="shared" si="135"/>
        <v>15.99</v>
      </c>
      <c r="V284" s="175"/>
      <c r="W284" s="175">
        <f t="shared" si="136"/>
        <v>8.4</v>
      </c>
      <c r="X284" s="175">
        <f t="shared" si="132"/>
        <v>7.5600000000000005</v>
      </c>
      <c r="Y284" s="176">
        <f t="shared" si="133"/>
        <v>0.47467166979362102</v>
      </c>
      <c r="Z284" s="184" t="e">
        <f t="shared" si="122"/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ht="15" customHeight="1" x14ac:dyDescent="0.25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t="shared" si="134"/>
        <v>6.3</v>
      </c>
      <c r="H285" s="133">
        <v>7</v>
      </c>
      <c r="I285" s="133">
        <v>13.99</v>
      </c>
      <c r="J285" s="133">
        <v>13.99</v>
      </c>
      <c r="K285" s="220"/>
      <c r="L285" s="14"/>
      <c r="M285" s="42"/>
      <c r="N285" s="31">
        <f t="shared" si="131"/>
        <v>0</v>
      </c>
      <c r="O285" s="31">
        <f t="shared" si="124"/>
        <v>0</v>
      </c>
      <c r="P285" s="31">
        <f t="shared" si="125"/>
        <v>0</v>
      </c>
      <c r="R285" s="174"/>
      <c r="S285" s="174"/>
      <c r="T285" s="4"/>
      <c r="U285" s="175">
        <f t="shared" si="135"/>
        <v>13.99</v>
      </c>
      <c r="V285" s="175"/>
      <c r="W285" s="175">
        <f t="shared" si="136"/>
        <v>7.3500000000000005</v>
      </c>
      <c r="X285" s="175">
        <f t="shared" si="132"/>
        <v>6.6150000000000002</v>
      </c>
      <c r="Y285" s="176">
        <f t="shared" si="133"/>
        <v>0.47462473195139382</v>
      </c>
      <c r="Z285" s="184" t="e">
        <f t="shared" si="122"/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ht="15" customHeight="1" x14ac:dyDescent="0.25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t="shared" si="134"/>
        <v>7.2</v>
      </c>
      <c r="H286" s="133">
        <v>8</v>
      </c>
      <c r="I286" s="133">
        <v>15.99</v>
      </c>
      <c r="J286" s="133">
        <v>15.99</v>
      </c>
      <c r="K286" s="220"/>
      <c r="L286" s="14"/>
      <c r="M286" s="42"/>
      <c r="N286" s="31">
        <f t="shared" si="131"/>
        <v>0</v>
      </c>
      <c r="O286" s="31">
        <f t="shared" si="124"/>
        <v>0</v>
      </c>
      <c r="P286" s="31">
        <f t="shared" si="125"/>
        <v>0</v>
      </c>
      <c r="R286" s="174"/>
      <c r="S286" s="174"/>
      <c r="T286" s="4"/>
      <c r="U286" s="175">
        <f t="shared" si="135"/>
        <v>15.99</v>
      </c>
      <c r="V286" s="175"/>
      <c r="W286" s="175">
        <f t="shared" si="136"/>
        <v>8.4</v>
      </c>
      <c r="X286" s="175">
        <f t="shared" si="132"/>
        <v>7.5600000000000005</v>
      </c>
      <c r="Y286" s="176">
        <f t="shared" si="133"/>
        <v>0.47467166979362102</v>
      </c>
      <c r="Z286" s="184" t="e">
        <f t="shared" si="122"/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ht="15" customHeight="1" x14ac:dyDescent="0.25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t="shared" si="134"/>
        <v>23.85</v>
      </c>
      <c r="H287" s="133">
        <v>26.5</v>
      </c>
      <c r="I287" s="133">
        <v>52.99</v>
      </c>
      <c r="J287" s="133">
        <v>52.99</v>
      </c>
      <c r="K287" s="220"/>
      <c r="L287" s="14"/>
      <c r="M287" s="42"/>
      <c r="N287" s="31">
        <f t="shared" si="131"/>
        <v>0</v>
      </c>
      <c r="O287" s="31">
        <f t="shared" si="124"/>
        <v>0</v>
      </c>
      <c r="P287" s="31">
        <f t="shared" si="125"/>
        <v>0</v>
      </c>
      <c r="R287" s="174"/>
      <c r="S287" s="174"/>
      <c r="T287" s="4"/>
      <c r="U287" s="175">
        <f t="shared" si="135"/>
        <v>52.99</v>
      </c>
      <c r="V287" s="175"/>
      <c r="W287" s="175">
        <f t="shared" si="136"/>
        <v>27.825000000000003</v>
      </c>
      <c r="X287" s="175">
        <f t="shared" si="132"/>
        <v>25.042500000000004</v>
      </c>
      <c r="Y287" s="176">
        <f t="shared" si="133"/>
        <v>0.47490092470277406</v>
      </c>
      <c r="Z287" s="184" t="e">
        <f t="shared" si="122"/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ht="15" customHeight="1" x14ac:dyDescent="0.25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t="shared" si="134"/>
        <v>9</v>
      </c>
      <c r="H288" s="133">
        <v>10</v>
      </c>
      <c r="I288" s="133">
        <v>19.989999999999998</v>
      </c>
      <c r="J288" s="133">
        <v>19.989999999999998</v>
      </c>
      <c r="K288" s="220"/>
      <c r="L288" s="14"/>
      <c r="M288" s="42"/>
      <c r="N288" s="31">
        <f t="shared" si="131"/>
        <v>0</v>
      </c>
      <c r="O288" s="31">
        <f t="shared" si="124"/>
        <v>0</v>
      </c>
      <c r="P288" s="31">
        <f t="shared" si="125"/>
        <v>0</v>
      </c>
      <c r="R288" s="174"/>
      <c r="S288" s="174"/>
      <c r="T288" s="4"/>
      <c r="U288" s="175">
        <f t="shared" si="135"/>
        <v>19.989999999999998</v>
      </c>
      <c r="V288" s="175"/>
      <c r="W288" s="175">
        <f t="shared" si="136"/>
        <v>10.5</v>
      </c>
      <c r="X288" s="175">
        <f t="shared" si="132"/>
        <v>9.4500000000000011</v>
      </c>
      <c r="Y288" s="176">
        <f t="shared" si="133"/>
        <v>0.47473736868434213</v>
      </c>
      <c r="Z288" s="184" t="e">
        <f t="shared" si="122"/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ht="15" customHeight="1" x14ac:dyDescent="0.25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t="shared" si="134"/>
        <v>9.9</v>
      </c>
      <c r="H289" s="133">
        <v>11</v>
      </c>
      <c r="I289" s="133">
        <v>21.99</v>
      </c>
      <c r="J289" s="133">
        <v>21.99</v>
      </c>
      <c r="K289" s="220"/>
      <c r="L289" s="14"/>
      <c r="M289" s="42"/>
      <c r="N289" s="31">
        <f t="shared" si="131"/>
        <v>0</v>
      </c>
      <c r="O289" s="31">
        <f t="shared" si="124"/>
        <v>0</v>
      </c>
      <c r="P289" s="31">
        <f t="shared" si="125"/>
        <v>0</v>
      </c>
      <c r="R289" s="174"/>
      <c r="S289" s="174"/>
      <c r="T289" s="4"/>
      <c r="U289" s="175">
        <f t="shared" si="135"/>
        <v>21.99</v>
      </c>
      <c r="V289" s="175"/>
      <c r="W289" s="175">
        <f t="shared" si="136"/>
        <v>11.55</v>
      </c>
      <c r="X289" s="175">
        <f t="shared" si="132"/>
        <v>10.395000000000001</v>
      </c>
      <c r="Y289" s="176">
        <f t="shared" si="133"/>
        <v>0.47476125511596173</v>
      </c>
      <c r="Z289" s="184" t="e">
        <f t="shared" si="122"/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ht="15" customHeight="1" x14ac:dyDescent="0.25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ht="15" customHeight="1" x14ac:dyDescent="0.25">
      <c r="B291" s="312" t="s">
        <v>643</v>
      </c>
      <c r="C291" s="313"/>
      <c r="D291" s="140"/>
      <c r="E291" s="21"/>
      <c r="F291" s="21"/>
      <c r="G291" s="22"/>
      <c r="H291" s="22"/>
      <c r="I291" s="47"/>
      <c r="J291" s="47"/>
      <c r="K291" s="214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ht="15" customHeight="1" x14ac:dyDescent="0.25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t="shared" ref="G292:G355" si="137">H292*0.9</f>
        <v>4.4279999999999999</v>
      </c>
      <c r="H292" s="28">
        <v>4.92</v>
      </c>
      <c r="I292" s="149">
        <v>9.99</v>
      </c>
      <c r="J292" s="149">
        <v>9.99</v>
      </c>
      <c r="K292" s="222"/>
      <c r="L292" s="14"/>
      <c r="M292" s="42"/>
      <c r="N292" s="31">
        <f t="shared" si="131"/>
        <v>0</v>
      </c>
      <c r="O292" s="31">
        <f t="shared" si="124"/>
        <v>0</v>
      </c>
      <c r="P292" s="31">
        <f t="shared" si="125"/>
        <v>0</v>
      </c>
      <c r="R292" s="174"/>
      <c r="S292" s="174"/>
      <c r="T292" s="4"/>
      <c r="U292" s="175">
        <f t="shared" ref="U292:U323" si="138">I292</f>
        <v>9.99</v>
      </c>
      <c r="V292" s="175"/>
      <c r="W292" s="175">
        <f t="shared" ref="W292:W323" si="139">H292*1.05</f>
        <v>5.1660000000000004</v>
      </c>
      <c r="X292" s="175">
        <f t="shared" si="132"/>
        <v>4.6494000000000009</v>
      </c>
      <c r="Y292" s="176">
        <f t="shared" si="133"/>
        <v>0.48288288288288284</v>
      </c>
      <c r="Z292" s="184" t="e">
        <f t="shared" si="122"/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ht="15" customHeight="1" x14ac:dyDescent="0.25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t="shared" si="137"/>
        <v>4.2930000000000001</v>
      </c>
      <c r="H293" s="36">
        <v>4.7699999999999996</v>
      </c>
      <c r="I293" s="151">
        <v>9.99</v>
      </c>
      <c r="J293" s="151">
        <v>9.99</v>
      </c>
      <c r="K293" s="222"/>
      <c r="L293" s="14"/>
      <c r="M293" s="42"/>
      <c r="N293" s="31">
        <f t="shared" si="131"/>
        <v>0</v>
      </c>
      <c r="O293" s="31">
        <f t="shared" si="124"/>
        <v>0</v>
      </c>
      <c r="P293" s="31">
        <f t="shared" si="125"/>
        <v>0</v>
      </c>
      <c r="R293" s="174"/>
      <c r="S293" s="174"/>
      <c r="T293" s="4"/>
      <c r="U293" s="175">
        <f t="shared" si="138"/>
        <v>9.99</v>
      </c>
      <c r="V293" s="175"/>
      <c r="W293" s="175">
        <f t="shared" si="139"/>
        <v>5.0084999999999997</v>
      </c>
      <c r="X293" s="175">
        <f t="shared" si="132"/>
        <v>4.5076499999999999</v>
      </c>
      <c r="Y293" s="176">
        <f t="shared" si="133"/>
        <v>0.49864864864864866</v>
      </c>
      <c r="Z293" s="184" t="e">
        <f t="shared" si="122"/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ht="15" customHeight="1" x14ac:dyDescent="0.25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t="shared" si="137"/>
        <v>1.8180000000000001</v>
      </c>
      <c r="H294" s="36">
        <v>2.02</v>
      </c>
      <c r="I294" s="151">
        <v>3.99</v>
      </c>
      <c r="J294" s="151">
        <v>3.99</v>
      </c>
      <c r="K294" s="222"/>
      <c r="L294" s="14"/>
      <c r="M294" s="42"/>
      <c r="N294" s="31">
        <f t="shared" si="131"/>
        <v>0</v>
      </c>
      <c r="O294" s="31">
        <f t="shared" si="124"/>
        <v>0</v>
      </c>
      <c r="P294" s="31">
        <f t="shared" si="125"/>
        <v>0</v>
      </c>
      <c r="R294" s="174"/>
      <c r="S294" s="174"/>
      <c r="T294" s="4"/>
      <c r="U294" s="175">
        <f t="shared" si="138"/>
        <v>3.99</v>
      </c>
      <c r="V294" s="175"/>
      <c r="W294" s="175">
        <f t="shared" si="139"/>
        <v>2.121</v>
      </c>
      <c r="X294" s="175">
        <f t="shared" si="132"/>
        <v>1.9089</v>
      </c>
      <c r="Y294" s="176">
        <f t="shared" si="133"/>
        <v>0.46842105263157896</v>
      </c>
      <c r="Z294" s="184" t="e">
        <f t="shared" ref="Z294:Z357" si="140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ht="15" customHeight="1" x14ac:dyDescent="0.25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t="shared" si="137"/>
        <v>1.2150000000000001</v>
      </c>
      <c r="H295" s="36">
        <v>1.35</v>
      </c>
      <c r="I295" s="151">
        <v>2.99</v>
      </c>
      <c r="J295" s="151">
        <v>2.99</v>
      </c>
      <c r="K295" s="222"/>
      <c r="L295" s="14"/>
      <c r="M295" s="42"/>
      <c r="N295" s="31">
        <f t="shared" si="131"/>
        <v>0</v>
      </c>
      <c r="O295" s="31">
        <f t="shared" si="124"/>
        <v>0</v>
      </c>
      <c r="P295" s="31">
        <f t="shared" si="125"/>
        <v>0</v>
      </c>
      <c r="R295" s="174"/>
      <c r="S295" s="174"/>
      <c r="T295" s="4"/>
      <c r="U295" s="175">
        <f t="shared" si="138"/>
        <v>2.99</v>
      </c>
      <c r="V295" s="175"/>
      <c r="W295" s="175">
        <f t="shared" si="139"/>
        <v>1.4175000000000002</v>
      </c>
      <c r="X295" s="175">
        <f t="shared" si="132"/>
        <v>1.2757500000000002</v>
      </c>
      <c r="Y295" s="176">
        <f t="shared" si="133"/>
        <v>0.5259197324414715</v>
      </c>
      <c r="Z295" s="184" t="e">
        <f t="shared" si="140"/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ht="15" customHeight="1" x14ac:dyDescent="0.25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t="shared" si="137"/>
        <v>2.907</v>
      </c>
      <c r="H296" s="36">
        <v>3.23</v>
      </c>
      <c r="I296" s="151">
        <v>6.99</v>
      </c>
      <c r="J296" s="151">
        <v>6.99</v>
      </c>
      <c r="K296" s="222"/>
      <c r="L296" s="14"/>
      <c r="M296" s="42"/>
      <c r="N296" s="31">
        <f t="shared" si="131"/>
        <v>0</v>
      </c>
      <c r="O296" s="31">
        <f t="shared" si="124"/>
        <v>0</v>
      </c>
      <c r="P296" s="31">
        <f t="shared" si="125"/>
        <v>0</v>
      </c>
      <c r="R296" s="174"/>
      <c r="S296" s="174"/>
      <c r="T296" s="4"/>
      <c r="U296" s="175">
        <f t="shared" si="138"/>
        <v>6.99</v>
      </c>
      <c r="V296" s="175"/>
      <c r="W296" s="175">
        <f t="shared" si="139"/>
        <v>3.3915000000000002</v>
      </c>
      <c r="X296" s="175">
        <f t="shared" si="132"/>
        <v>3.0523500000000001</v>
      </c>
      <c r="Y296" s="176">
        <f t="shared" si="133"/>
        <v>0.51480686695278965</v>
      </c>
      <c r="Z296" s="184" t="e">
        <f t="shared" si="140"/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ht="15" customHeight="1" x14ac:dyDescent="0.25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t="shared" si="137"/>
        <v>3.6360000000000001</v>
      </c>
      <c r="H297" s="36">
        <v>4.04</v>
      </c>
      <c r="I297" s="151">
        <v>7.99</v>
      </c>
      <c r="J297" s="151">
        <v>7.99</v>
      </c>
      <c r="K297" s="222"/>
      <c r="L297" s="14"/>
      <c r="M297" s="42"/>
      <c r="N297" s="31">
        <f t="shared" si="131"/>
        <v>0</v>
      </c>
      <c r="O297" s="31">
        <f t="shared" si="124"/>
        <v>0</v>
      </c>
      <c r="P297" s="31">
        <f t="shared" si="125"/>
        <v>0</v>
      </c>
      <c r="R297" s="174"/>
      <c r="S297" s="174"/>
      <c r="T297" s="4"/>
      <c r="U297" s="175">
        <f t="shared" si="138"/>
        <v>7.99</v>
      </c>
      <c r="V297" s="175"/>
      <c r="W297" s="175">
        <f t="shared" si="139"/>
        <v>4.242</v>
      </c>
      <c r="X297" s="175">
        <f t="shared" si="132"/>
        <v>3.8178000000000001</v>
      </c>
      <c r="Y297" s="176">
        <f t="shared" si="133"/>
        <v>0.46908635794743431</v>
      </c>
      <c r="Z297" s="184" t="e">
        <f t="shared" si="140"/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ht="15" customHeight="1" x14ac:dyDescent="0.25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t="shared" si="137"/>
        <v>3.6630000000000003</v>
      </c>
      <c r="H298" s="36">
        <v>4.07</v>
      </c>
      <c r="I298" s="151">
        <v>7.99</v>
      </c>
      <c r="J298" s="151">
        <v>7.99</v>
      </c>
      <c r="K298" s="222"/>
      <c r="L298" s="14"/>
      <c r="M298" s="42"/>
      <c r="N298" s="31">
        <f t="shared" si="131"/>
        <v>0</v>
      </c>
      <c r="O298" s="31">
        <f t="shared" si="124"/>
        <v>0</v>
      </c>
      <c r="P298" s="31">
        <f t="shared" si="125"/>
        <v>0</v>
      </c>
      <c r="R298" s="174"/>
      <c r="S298" s="174"/>
      <c r="T298" s="4"/>
      <c r="U298" s="175">
        <f t="shared" si="138"/>
        <v>7.99</v>
      </c>
      <c r="V298" s="175"/>
      <c r="W298" s="175">
        <f t="shared" si="139"/>
        <v>4.2735000000000003</v>
      </c>
      <c r="X298" s="175">
        <f t="shared" si="132"/>
        <v>3.8461500000000002</v>
      </c>
      <c r="Y298" s="176">
        <f t="shared" si="133"/>
        <v>0.46514392991239045</v>
      </c>
      <c r="Z298" s="184" t="e">
        <f t="shared" si="140"/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ht="15" customHeight="1" x14ac:dyDescent="0.25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t="shared" si="137"/>
        <v>4.7429999999999994</v>
      </c>
      <c r="H299" s="36">
        <v>5.27</v>
      </c>
      <c r="I299" s="151">
        <v>9.99</v>
      </c>
      <c r="J299" s="151">
        <v>9.99</v>
      </c>
      <c r="K299" s="222"/>
      <c r="L299" s="14"/>
      <c r="M299" s="42"/>
      <c r="N299" s="31">
        <f t="shared" si="131"/>
        <v>0</v>
      </c>
      <c r="O299" s="31">
        <f t="shared" si="124"/>
        <v>0</v>
      </c>
      <c r="P299" s="31">
        <f t="shared" si="125"/>
        <v>0</v>
      </c>
      <c r="R299" s="174"/>
      <c r="S299" s="174"/>
      <c r="T299" s="4"/>
      <c r="U299" s="175">
        <f t="shared" si="138"/>
        <v>9.99</v>
      </c>
      <c r="V299" s="175"/>
      <c r="W299" s="175">
        <f t="shared" si="139"/>
        <v>5.5335000000000001</v>
      </c>
      <c r="X299" s="175">
        <f t="shared" si="132"/>
        <v>4.9801500000000001</v>
      </c>
      <c r="Y299" s="176">
        <f t="shared" si="133"/>
        <v>0.44609609609609607</v>
      </c>
      <c r="Z299" s="184" t="e">
        <f t="shared" si="140"/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ht="15" customHeight="1" x14ac:dyDescent="0.25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t="shared" si="137"/>
        <v>1.9530000000000001</v>
      </c>
      <c r="H300" s="36">
        <v>2.17</v>
      </c>
      <c r="I300" s="151">
        <v>3.99</v>
      </c>
      <c r="J300" s="151">
        <v>3.99</v>
      </c>
      <c r="K300" s="222"/>
      <c r="L300" s="14"/>
      <c r="M300" s="42"/>
      <c r="N300" s="31">
        <f t="shared" si="131"/>
        <v>0</v>
      </c>
      <c r="O300" s="31">
        <f t="shared" si="124"/>
        <v>0</v>
      </c>
      <c r="P300" s="31">
        <f t="shared" si="125"/>
        <v>0</v>
      </c>
      <c r="R300" s="174"/>
      <c r="S300" s="174"/>
      <c r="T300" s="4"/>
      <c r="U300" s="175">
        <f t="shared" si="138"/>
        <v>3.99</v>
      </c>
      <c r="V300" s="175"/>
      <c r="W300" s="175">
        <f t="shared" si="139"/>
        <v>2.2785000000000002</v>
      </c>
      <c r="X300" s="175">
        <f t="shared" si="132"/>
        <v>2.0506500000000001</v>
      </c>
      <c r="Y300" s="176">
        <f t="shared" si="133"/>
        <v>0.42894736842105263</v>
      </c>
      <c r="Z300" s="184" t="e">
        <f t="shared" si="140"/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ht="15" customHeight="1" x14ac:dyDescent="0.25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t="shared" si="137"/>
        <v>1.9530000000000001</v>
      </c>
      <c r="H301" s="36">
        <v>2.17</v>
      </c>
      <c r="I301" s="151">
        <v>3.99</v>
      </c>
      <c r="J301" s="151">
        <v>3.99</v>
      </c>
      <c r="K301" s="222"/>
      <c r="L301" s="14"/>
      <c r="M301" s="42"/>
      <c r="N301" s="31">
        <f t="shared" si="131"/>
        <v>0</v>
      </c>
      <c r="O301" s="31">
        <f t="shared" si="124"/>
        <v>0</v>
      </c>
      <c r="P301" s="31">
        <f t="shared" si="125"/>
        <v>0</v>
      </c>
      <c r="R301" s="174"/>
      <c r="S301" s="174"/>
      <c r="T301" s="4"/>
      <c r="U301" s="175">
        <f t="shared" si="138"/>
        <v>3.99</v>
      </c>
      <c r="V301" s="175"/>
      <c r="W301" s="175">
        <f t="shared" si="139"/>
        <v>2.2785000000000002</v>
      </c>
      <c r="X301" s="175">
        <f t="shared" si="132"/>
        <v>2.0506500000000001</v>
      </c>
      <c r="Y301" s="176">
        <f t="shared" si="133"/>
        <v>0.42894736842105263</v>
      </c>
      <c r="Z301" s="184" t="e">
        <f t="shared" si="140"/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ht="15" customHeight="1" x14ac:dyDescent="0.25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t="shared" si="137"/>
        <v>0.441</v>
      </c>
      <c r="H302" s="36">
        <v>0.49</v>
      </c>
      <c r="I302" s="151">
        <v>0.99</v>
      </c>
      <c r="J302" s="151">
        <v>0.99</v>
      </c>
      <c r="K302" s="222"/>
      <c r="L302" s="14"/>
      <c r="M302" s="42"/>
      <c r="N302" s="31">
        <f t="shared" si="131"/>
        <v>0</v>
      </c>
      <c r="O302" s="31">
        <f t="shared" ref="O302:O364" si="141">N302/0.7</f>
        <v>0</v>
      </c>
      <c r="P302" s="31">
        <f t="shared" ref="P302:P364" si="142">N302*0.9</f>
        <v>0</v>
      </c>
      <c r="R302" s="174"/>
      <c r="S302" s="174"/>
      <c r="T302" s="4"/>
      <c r="U302" s="175">
        <f t="shared" si="138"/>
        <v>0.99</v>
      </c>
      <c r="V302" s="175"/>
      <c r="W302" s="175">
        <f t="shared" si="139"/>
        <v>0.51449999999999996</v>
      </c>
      <c r="X302" s="175">
        <f t="shared" si="132"/>
        <v>0.46304999999999996</v>
      </c>
      <c r="Y302" s="176">
        <f t="shared" si="133"/>
        <v>0.48030303030303034</v>
      </c>
      <c r="Z302" s="184" t="e">
        <f t="shared" si="140"/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ht="15" customHeight="1" x14ac:dyDescent="0.25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t="shared" si="137"/>
        <v>3.5730000000000004</v>
      </c>
      <c r="H303" s="151">
        <v>3.97</v>
      </c>
      <c r="I303" s="151">
        <v>7.99</v>
      </c>
      <c r="J303" s="151">
        <v>7.99</v>
      </c>
      <c r="K303" s="222"/>
      <c r="L303" s="14"/>
      <c r="M303" s="42"/>
      <c r="N303" s="31">
        <f t="shared" si="131"/>
        <v>0</v>
      </c>
      <c r="O303" s="31">
        <f t="shared" si="141"/>
        <v>0</v>
      </c>
      <c r="P303" s="31">
        <f t="shared" si="142"/>
        <v>0</v>
      </c>
      <c r="R303" s="174"/>
      <c r="S303" s="174"/>
      <c r="T303" s="4"/>
      <c r="U303" s="175">
        <f t="shared" si="138"/>
        <v>7.99</v>
      </c>
      <c r="V303" s="175"/>
      <c r="W303" s="175">
        <f t="shared" si="139"/>
        <v>4.1685000000000008</v>
      </c>
      <c r="X303" s="175">
        <f t="shared" si="132"/>
        <v>3.7516500000000006</v>
      </c>
      <c r="Y303" s="176">
        <f t="shared" si="133"/>
        <v>0.47828535669586975</v>
      </c>
      <c r="Z303" s="184" t="e">
        <f t="shared" si="140"/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ht="15" customHeight="1" x14ac:dyDescent="0.25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t="shared" si="137"/>
        <v>17.792999999999999</v>
      </c>
      <c r="H304" s="151">
        <v>19.77</v>
      </c>
      <c r="I304" s="151">
        <v>39.99</v>
      </c>
      <c r="J304" s="151">
        <v>39.99</v>
      </c>
      <c r="K304" s="222"/>
      <c r="L304" s="14"/>
      <c r="M304" s="42"/>
      <c r="N304" s="31">
        <f t="shared" si="131"/>
        <v>0</v>
      </c>
      <c r="O304" s="31">
        <f t="shared" si="141"/>
        <v>0</v>
      </c>
      <c r="P304" s="31">
        <f t="shared" si="142"/>
        <v>0</v>
      </c>
      <c r="R304" s="174"/>
      <c r="S304" s="174"/>
      <c r="T304" s="4"/>
      <c r="U304" s="175">
        <f t="shared" si="138"/>
        <v>39.99</v>
      </c>
      <c r="V304" s="175"/>
      <c r="W304" s="175">
        <f t="shared" si="139"/>
        <v>20.758500000000002</v>
      </c>
      <c r="X304" s="175">
        <f t="shared" si="132"/>
        <v>18.682650000000002</v>
      </c>
      <c r="Y304" s="176">
        <f t="shared" si="133"/>
        <v>0.48090772693173295</v>
      </c>
      <c r="Z304" s="184" t="e">
        <f t="shared" si="140"/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ht="15" customHeight="1" x14ac:dyDescent="0.25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t="shared" si="137"/>
        <v>7.173</v>
      </c>
      <c r="H305" s="151">
        <v>7.97</v>
      </c>
      <c r="I305" s="151">
        <v>15.99</v>
      </c>
      <c r="J305" s="151">
        <v>15.99</v>
      </c>
      <c r="K305" s="222"/>
      <c r="L305" s="14"/>
      <c r="M305" s="42"/>
      <c r="N305" s="31">
        <f t="shared" si="131"/>
        <v>0</v>
      </c>
      <c r="O305" s="31">
        <f t="shared" si="141"/>
        <v>0</v>
      </c>
      <c r="P305" s="31">
        <f t="shared" si="142"/>
        <v>0</v>
      </c>
      <c r="R305" s="174"/>
      <c r="S305" s="174"/>
      <c r="T305" s="4"/>
      <c r="U305" s="175">
        <f t="shared" si="138"/>
        <v>15.99</v>
      </c>
      <c r="V305" s="175"/>
      <c r="W305" s="175">
        <f t="shared" si="139"/>
        <v>8.3685000000000009</v>
      </c>
      <c r="X305" s="175">
        <f t="shared" si="132"/>
        <v>7.5316500000000008</v>
      </c>
      <c r="Y305" s="176">
        <f t="shared" si="133"/>
        <v>0.47664165103189488</v>
      </c>
      <c r="Z305" s="184" t="e">
        <f t="shared" si="140"/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ht="15" customHeight="1" x14ac:dyDescent="0.25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t="shared" si="137"/>
        <v>4.0320000000000009</v>
      </c>
      <c r="H306" s="151">
        <v>4.4800000000000004</v>
      </c>
      <c r="I306" s="151">
        <v>8.99</v>
      </c>
      <c r="J306" s="151">
        <v>8.99</v>
      </c>
      <c r="K306" s="222"/>
      <c r="L306" s="14"/>
      <c r="M306" s="42"/>
      <c r="N306" s="31">
        <f t="shared" si="131"/>
        <v>0</v>
      </c>
      <c r="O306" s="31">
        <f t="shared" si="141"/>
        <v>0</v>
      </c>
      <c r="P306" s="31">
        <f t="shared" si="142"/>
        <v>0</v>
      </c>
      <c r="R306" s="174"/>
      <c r="S306" s="174"/>
      <c r="T306" s="4"/>
      <c r="U306" s="175">
        <f t="shared" si="138"/>
        <v>8.99</v>
      </c>
      <c r="V306" s="175"/>
      <c r="W306" s="175">
        <f t="shared" si="139"/>
        <v>4.7040000000000006</v>
      </c>
      <c r="X306" s="175">
        <f t="shared" si="132"/>
        <v>4.2336000000000009</v>
      </c>
      <c r="Y306" s="176">
        <f t="shared" si="133"/>
        <v>0.47675194660734144</v>
      </c>
      <c r="Z306" s="184" t="e">
        <f t="shared" si="140"/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ht="15" customHeight="1" x14ac:dyDescent="0.25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t="shared" si="137"/>
        <v>3.1410000000000005</v>
      </c>
      <c r="H307" s="151">
        <v>3.49</v>
      </c>
      <c r="I307" s="151">
        <v>6.99</v>
      </c>
      <c r="J307" s="151">
        <v>6.99</v>
      </c>
      <c r="K307" s="222"/>
      <c r="L307" s="14"/>
      <c r="M307" s="42"/>
      <c r="N307" s="31">
        <f t="shared" si="131"/>
        <v>0</v>
      </c>
      <c r="O307" s="31">
        <f t="shared" si="141"/>
        <v>0</v>
      </c>
      <c r="P307" s="31">
        <f t="shared" si="142"/>
        <v>0</v>
      </c>
      <c r="R307" s="174"/>
      <c r="S307" s="174"/>
      <c r="T307" s="4"/>
      <c r="U307" s="175">
        <f t="shared" si="138"/>
        <v>6.99</v>
      </c>
      <c r="V307" s="175"/>
      <c r="W307" s="175">
        <f t="shared" si="139"/>
        <v>3.6645000000000003</v>
      </c>
      <c r="X307" s="175">
        <f t="shared" si="132"/>
        <v>3.2980500000000004</v>
      </c>
      <c r="Y307" s="176">
        <f t="shared" si="133"/>
        <v>0.47575107296137337</v>
      </c>
      <c r="Z307" s="184" t="e">
        <f t="shared" si="140"/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ht="15" customHeight="1" x14ac:dyDescent="0.25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t="shared" si="137"/>
        <v>4.2210000000000001</v>
      </c>
      <c r="H308" s="151">
        <v>4.6900000000000004</v>
      </c>
      <c r="I308" s="151">
        <v>9.49</v>
      </c>
      <c r="J308" s="151">
        <v>9.49</v>
      </c>
      <c r="K308" s="222"/>
      <c r="L308" s="14"/>
      <c r="M308" s="42"/>
      <c r="N308" s="31">
        <f t="shared" si="131"/>
        <v>0</v>
      </c>
      <c r="O308" s="31">
        <f t="shared" si="141"/>
        <v>0</v>
      </c>
      <c r="P308" s="31">
        <f t="shared" si="142"/>
        <v>0</v>
      </c>
      <c r="R308" s="174"/>
      <c r="S308" s="174"/>
      <c r="T308" s="4"/>
      <c r="U308" s="175">
        <f t="shared" si="138"/>
        <v>9.49</v>
      </c>
      <c r="V308" s="175"/>
      <c r="W308" s="175">
        <f t="shared" si="139"/>
        <v>4.924500000000001</v>
      </c>
      <c r="X308" s="175">
        <f t="shared" si="132"/>
        <v>4.4320500000000012</v>
      </c>
      <c r="Y308" s="176">
        <f t="shared" si="133"/>
        <v>0.48108535300316113</v>
      </c>
      <c r="Z308" s="184" t="e">
        <f t="shared" si="140"/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ht="15" customHeight="1" x14ac:dyDescent="0.25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t="shared" si="137"/>
        <v>6.5609999999999999</v>
      </c>
      <c r="H309" s="151">
        <v>7.29</v>
      </c>
      <c r="I309" s="151">
        <v>14.99</v>
      </c>
      <c r="J309" s="151">
        <v>14.99</v>
      </c>
      <c r="K309" s="222"/>
      <c r="L309" s="14"/>
      <c r="M309" s="42"/>
      <c r="N309" s="31">
        <f t="shared" si="131"/>
        <v>0</v>
      </c>
      <c r="O309" s="31">
        <f t="shared" si="141"/>
        <v>0</v>
      </c>
      <c r="P309" s="31">
        <f t="shared" si="142"/>
        <v>0</v>
      </c>
      <c r="R309" s="174"/>
      <c r="S309" s="174"/>
      <c r="T309" s="4"/>
      <c r="U309" s="175">
        <f t="shared" si="138"/>
        <v>14.99</v>
      </c>
      <c r="V309" s="175"/>
      <c r="W309" s="175">
        <f t="shared" si="139"/>
        <v>7.6545000000000005</v>
      </c>
      <c r="X309" s="175">
        <f t="shared" si="132"/>
        <v>6.889050000000001</v>
      </c>
      <c r="Y309" s="176">
        <f t="shared" si="133"/>
        <v>0.48935957304869909</v>
      </c>
      <c r="Z309" s="184" t="e">
        <f t="shared" si="140"/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ht="15" customHeight="1" x14ac:dyDescent="0.25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t="shared" si="137"/>
        <v>9.891</v>
      </c>
      <c r="H310" s="151">
        <v>10.99</v>
      </c>
      <c r="I310" s="151">
        <v>21.99</v>
      </c>
      <c r="J310" s="151">
        <v>21.99</v>
      </c>
      <c r="K310" s="222"/>
      <c r="L310" s="14"/>
      <c r="M310" s="42"/>
      <c r="N310" s="31">
        <f t="shared" si="131"/>
        <v>0</v>
      </c>
      <c r="O310" s="31">
        <f t="shared" si="141"/>
        <v>0</v>
      </c>
      <c r="P310" s="31">
        <f t="shared" si="142"/>
        <v>0</v>
      </c>
      <c r="R310" s="174"/>
      <c r="S310" s="174"/>
      <c r="T310" s="4"/>
      <c r="U310" s="175">
        <f t="shared" si="138"/>
        <v>21.99</v>
      </c>
      <c r="V310" s="175"/>
      <c r="W310" s="175">
        <f t="shared" si="139"/>
        <v>11.5395</v>
      </c>
      <c r="X310" s="175">
        <f t="shared" si="132"/>
        <v>10.38555</v>
      </c>
      <c r="Y310" s="176">
        <f t="shared" si="133"/>
        <v>0.47523874488403817</v>
      </c>
      <c r="Z310" s="184" t="e">
        <f t="shared" si="140"/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ht="15" customHeight="1" x14ac:dyDescent="0.25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t="shared" si="137"/>
        <v>8.9010000000000016</v>
      </c>
      <c r="H311" s="151">
        <v>9.89</v>
      </c>
      <c r="I311" s="151">
        <v>19.989999999999998</v>
      </c>
      <c r="J311" s="151">
        <v>19.989999999999998</v>
      </c>
      <c r="K311" s="222"/>
      <c r="L311" s="14"/>
      <c r="M311" s="42"/>
      <c r="N311" s="31">
        <f t="shared" si="131"/>
        <v>0</v>
      </c>
      <c r="O311" s="31">
        <f t="shared" si="141"/>
        <v>0</v>
      </c>
      <c r="P311" s="31">
        <f t="shared" si="142"/>
        <v>0</v>
      </c>
      <c r="R311" s="174"/>
      <c r="S311" s="174"/>
      <c r="T311" s="4"/>
      <c r="U311" s="175">
        <f t="shared" si="138"/>
        <v>19.989999999999998</v>
      </c>
      <c r="V311" s="175"/>
      <c r="W311" s="175">
        <f t="shared" si="139"/>
        <v>10.384500000000001</v>
      </c>
      <c r="X311" s="175">
        <f t="shared" si="132"/>
        <v>9.3460500000000017</v>
      </c>
      <c r="Y311" s="176">
        <f t="shared" si="133"/>
        <v>0.48051525762881431</v>
      </c>
      <c r="Z311" s="184" t="e">
        <f t="shared" si="140"/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ht="15" customHeight="1" x14ac:dyDescent="0.25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t="shared" si="137"/>
        <v>2.1510000000000002</v>
      </c>
      <c r="H312" s="151">
        <v>2.39</v>
      </c>
      <c r="I312" s="151">
        <v>4.99</v>
      </c>
      <c r="J312" s="151">
        <v>4.99</v>
      </c>
      <c r="K312" s="222"/>
      <c r="L312" s="14"/>
      <c r="M312" s="42"/>
      <c r="N312" s="31">
        <f t="shared" si="131"/>
        <v>0</v>
      </c>
      <c r="O312" s="31">
        <f t="shared" si="141"/>
        <v>0</v>
      </c>
      <c r="P312" s="31">
        <f t="shared" si="142"/>
        <v>0</v>
      </c>
      <c r="R312" s="174"/>
      <c r="S312" s="174"/>
      <c r="T312" s="4"/>
      <c r="U312" s="175">
        <f t="shared" si="138"/>
        <v>4.99</v>
      </c>
      <c r="V312" s="175"/>
      <c r="W312" s="175">
        <f t="shared" si="139"/>
        <v>2.5095000000000001</v>
      </c>
      <c r="X312" s="175">
        <f t="shared" si="132"/>
        <v>2.2585500000000001</v>
      </c>
      <c r="Y312" s="176">
        <f t="shared" si="133"/>
        <v>0.49709418837675351</v>
      </c>
      <c r="Z312" s="184" t="e">
        <f t="shared" si="140"/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ht="15" customHeight="1" x14ac:dyDescent="0.25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t="shared" si="137"/>
        <v>2.4209999999999998</v>
      </c>
      <c r="H313" s="151">
        <v>2.69</v>
      </c>
      <c r="I313" s="151">
        <v>5.69</v>
      </c>
      <c r="J313" s="151">
        <v>5.69</v>
      </c>
      <c r="K313" s="222"/>
      <c r="L313" s="14"/>
      <c r="M313" s="42"/>
      <c r="N313" s="31">
        <f t="shared" si="131"/>
        <v>0</v>
      </c>
      <c r="O313" s="31">
        <f t="shared" si="141"/>
        <v>0</v>
      </c>
      <c r="P313" s="31">
        <f t="shared" si="142"/>
        <v>0</v>
      </c>
      <c r="R313" s="174"/>
      <c r="S313" s="174"/>
      <c r="T313" s="4"/>
      <c r="U313" s="175">
        <f t="shared" si="138"/>
        <v>5.69</v>
      </c>
      <c r="V313" s="175"/>
      <c r="W313" s="175">
        <f t="shared" si="139"/>
        <v>2.8245</v>
      </c>
      <c r="X313" s="175">
        <f t="shared" si="132"/>
        <v>2.5420500000000001</v>
      </c>
      <c r="Y313" s="176">
        <f t="shared" si="133"/>
        <v>0.50360281195079093</v>
      </c>
      <c r="Z313" s="184" t="e">
        <f t="shared" si="140"/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ht="15" customHeight="1" x14ac:dyDescent="0.25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t="shared" si="137"/>
        <v>3.1410000000000005</v>
      </c>
      <c r="H314" s="151">
        <v>3.49</v>
      </c>
      <c r="I314" s="151">
        <v>6.99</v>
      </c>
      <c r="J314" s="151">
        <v>6.99</v>
      </c>
      <c r="K314" s="222"/>
      <c r="L314" s="14"/>
      <c r="M314" s="42"/>
      <c r="N314" s="31">
        <f t="shared" si="131"/>
        <v>0</v>
      </c>
      <c r="O314" s="31">
        <f t="shared" si="141"/>
        <v>0</v>
      </c>
      <c r="P314" s="31">
        <f t="shared" si="142"/>
        <v>0</v>
      </c>
      <c r="R314" s="174"/>
      <c r="S314" s="174"/>
      <c r="T314" s="4"/>
      <c r="U314" s="175">
        <f t="shared" si="138"/>
        <v>6.99</v>
      </c>
      <c r="V314" s="175"/>
      <c r="W314" s="175">
        <f t="shared" si="139"/>
        <v>3.6645000000000003</v>
      </c>
      <c r="X314" s="175">
        <f t="shared" si="132"/>
        <v>3.2980500000000004</v>
      </c>
      <c r="Y314" s="176">
        <f t="shared" si="133"/>
        <v>0.47575107296137337</v>
      </c>
      <c r="Z314" s="184" t="e">
        <f t="shared" si="140"/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ht="15" customHeight="1" x14ac:dyDescent="0.25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t="shared" si="137"/>
        <v>2.6910000000000003</v>
      </c>
      <c r="H315" s="151">
        <v>2.99</v>
      </c>
      <c r="I315" s="151">
        <v>5.99</v>
      </c>
      <c r="J315" s="151">
        <v>5.99</v>
      </c>
      <c r="K315" s="222"/>
      <c r="L315" s="14"/>
      <c r="M315" s="42"/>
      <c r="N315" s="31">
        <f t="shared" si="131"/>
        <v>0</v>
      </c>
      <c r="O315" s="31">
        <f t="shared" si="141"/>
        <v>0</v>
      </c>
      <c r="P315" s="31">
        <f t="shared" si="142"/>
        <v>0</v>
      </c>
      <c r="R315" s="174"/>
      <c r="S315" s="174"/>
      <c r="T315" s="4"/>
      <c r="U315" s="175">
        <f t="shared" si="138"/>
        <v>5.99</v>
      </c>
      <c r="V315" s="175"/>
      <c r="W315" s="175">
        <f t="shared" si="139"/>
        <v>3.1395000000000004</v>
      </c>
      <c r="X315" s="175">
        <f t="shared" si="132"/>
        <v>2.8255500000000002</v>
      </c>
      <c r="Y315" s="176">
        <f t="shared" si="133"/>
        <v>0.47587646076794654</v>
      </c>
      <c r="Z315" s="184" t="e">
        <f t="shared" si="140"/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ht="15" customHeight="1" x14ac:dyDescent="0.25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t="shared" si="137"/>
        <v>3.375</v>
      </c>
      <c r="H316" s="133">
        <v>3.75</v>
      </c>
      <c r="I316" s="133">
        <v>7.49</v>
      </c>
      <c r="J316" s="133">
        <v>7.49</v>
      </c>
      <c r="K316" s="220"/>
      <c r="L316" s="14"/>
      <c r="M316" s="42"/>
      <c r="N316" s="31">
        <f t="shared" si="131"/>
        <v>0</v>
      </c>
      <c r="O316" s="31">
        <f t="shared" si="141"/>
        <v>0</v>
      </c>
      <c r="P316" s="31">
        <f t="shared" si="142"/>
        <v>0</v>
      </c>
      <c r="R316" s="174"/>
      <c r="S316" s="174"/>
      <c r="T316" s="4"/>
      <c r="U316" s="175">
        <f t="shared" si="138"/>
        <v>7.49</v>
      </c>
      <c r="V316" s="175"/>
      <c r="W316" s="175">
        <f t="shared" si="139"/>
        <v>3.9375</v>
      </c>
      <c r="X316" s="175">
        <f t="shared" si="132"/>
        <v>3.5437500000000002</v>
      </c>
      <c r="Y316" s="176">
        <f t="shared" si="133"/>
        <v>0.47429906542056077</v>
      </c>
      <c r="Z316" s="184" t="e">
        <f t="shared" si="140"/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ht="15" customHeight="1" x14ac:dyDescent="0.25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t="shared" si="137"/>
        <v>4.95</v>
      </c>
      <c r="H317" s="133">
        <v>5.5</v>
      </c>
      <c r="I317" s="133">
        <v>10.99</v>
      </c>
      <c r="J317" s="133">
        <v>10.99</v>
      </c>
      <c r="K317" s="220"/>
      <c r="L317" s="14"/>
      <c r="M317" s="42"/>
      <c r="N317" s="31">
        <f t="shared" si="131"/>
        <v>0</v>
      </c>
      <c r="O317" s="31">
        <f t="shared" si="141"/>
        <v>0</v>
      </c>
      <c r="P317" s="31">
        <f t="shared" si="142"/>
        <v>0</v>
      </c>
      <c r="R317" s="174"/>
      <c r="S317" s="174"/>
      <c r="T317" s="4"/>
      <c r="U317" s="175">
        <f t="shared" si="138"/>
        <v>10.99</v>
      </c>
      <c r="V317" s="175"/>
      <c r="W317" s="175">
        <f t="shared" si="139"/>
        <v>5.7750000000000004</v>
      </c>
      <c r="X317" s="175">
        <f t="shared" si="132"/>
        <v>5.1975000000000007</v>
      </c>
      <c r="Y317" s="176">
        <f t="shared" si="133"/>
        <v>0.47452229299363052</v>
      </c>
      <c r="Z317" s="184" t="e">
        <f t="shared" si="140"/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ht="15" customHeight="1" x14ac:dyDescent="0.25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t="shared" si="137"/>
        <v>7.65</v>
      </c>
      <c r="H318" s="133">
        <v>8.5</v>
      </c>
      <c r="I318" s="133">
        <v>16.989999999999998</v>
      </c>
      <c r="J318" s="133">
        <v>16.989999999999998</v>
      </c>
      <c r="K318" s="220"/>
      <c r="L318" s="14"/>
      <c r="M318" s="42"/>
      <c r="N318" s="31">
        <f t="shared" si="131"/>
        <v>0</v>
      </c>
      <c r="O318" s="31">
        <f t="shared" si="141"/>
        <v>0</v>
      </c>
      <c r="P318" s="31">
        <f t="shared" si="142"/>
        <v>0</v>
      </c>
      <c r="R318" s="174"/>
      <c r="S318" s="174"/>
      <c r="T318" s="4"/>
      <c r="U318" s="175">
        <f t="shared" si="138"/>
        <v>16.989999999999998</v>
      </c>
      <c r="V318" s="175"/>
      <c r="W318" s="175">
        <f t="shared" si="139"/>
        <v>8.9250000000000007</v>
      </c>
      <c r="X318" s="175">
        <f t="shared" si="132"/>
        <v>8.0325000000000006</v>
      </c>
      <c r="Y318" s="176">
        <f t="shared" si="133"/>
        <v>0.47469099470276627</v>
      </c>
      <c r="Z318" s="184" t="e">
        <f t="shared" si="140"/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ht="15" customHeight="1" x14ac:dyDescent="0.25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t="shared" si="137"/>
        <v>2.4750000000000001</v>
      </c>
      <c r="H319" s="133">
        <v>2.75</v>
      </c>
      <c r="I319" s="133">
        <v>5.49</v>
      </c>
      <c r="J319" s="133">
        <v>5.49</v>
      </c>
      <c r="K319" s="220"/>
      <c r="L319" s="14"/>
      <c r="M319" s="42"/>
      <c r="N319" s="31">
        <f t="shared" si="131"/>
        <v>0</v>
      </c>
      <c r="O319" s="31">
        <f t="shared" si="141"/>
        <v>0</v>
      </c>
      <c r="P319" s="31">
        <f t="shared" si="142"/>
        <v>0</v>
      </c>
      <c r="R319" s="174"/>
      <c r="S319" s="174"/>
      <c r="T319" s="4"/>
      <c r="U319" s="175">
        <f t="shared" si="138"/>
        <v>5.49</v>
      </c>
      <c r="V319" s="175"/>
      <c r="W319" s="175">
        <f t="shared" si="139"/>
        <v>2.8875000000000002</v>
      </c>
      <c r="X319" s="175">
        <f t="shared" si="132"/>
        <v>2.5987500000000003</v>
      </c>
      <c r="Y319" s="176">
        <f t="shared" si="133"/>
        <v>0.47404371584699451</v>
      </c>
      <c r="Z319" s="184" t="e">
        <f t="shared" si="140"/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ht="15" customHeight="1" x14ac:dyDescent="0.25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t="shared" si="137"/>
        <v>2.25</v>
      </c>
      <c r="H320" s="133">
        <v>2.5</v>
      </c>
      <c r="I320" s="133">
        <v>4.99</v>
      </c>
      <c r="J320" s="133">
        <v>4.99</v>
      </c>
      <c r="K320" s="220"/>
      <c r="L320" s="14"/>
      <c r="M320" s="42"/>
      <c r="N320" s="31">
        <f t="shared" si="131"/>
        <v>0</v>
      </c>
      <c r="O320" s="31">
        <f t="shared" si="141"/>
        <v>0</v>
      </c>
      <c r="P320" s="31">
        <f t="shared" si="142"/>
        <v>0</v>
      </c>
      <c r="R320" s="174"/>
      <c r="S320" s="174"/>
      <c r="T320" s="4"/>
      <c r="U320" s="175">
        <f t="shared" si="138"/>
        <v>4.99</v>
      </c>
      <c r="V320" s="175"/>
      <c r="W320" s="175">
        <f t="shared" si="139"/>
        <v>2.625</v>
      </c>
      <c r="X320" s="175">
        <f t="shared" si="132"/>
        <v>2.3625000000000003</v>
      </c>
      <c r="Y320" s="176">
        <f t="shared" si="133"/>
        <v>0.4739478957915832</v>
      </c>
      <c r="Z320" s="184" t="e">
        <f t="shared" si="140"/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ht="15" customHeight="1" x14ac:dyDescent="0.25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t="shared" si="137"/>
        <v>3.375</v>
      </c>
      <c r="H321" s="133">
        <v>3.75</v>
      </c>
      <c r="I321" s="133">
        <v>7.49</v>
      </c>
      <c r="J321" s="133">
        <v>7.49</v>
      </c>
      <c r="K321" s="220"/>
      <c r="L321" s="14"/>
      <c r="M321" s="42"/>
      <c r="N321" s="31">
        <f t="shared" si="131"/>
        <v>0</v>
      </c>
      <c r="O321" s="31">
        <f t="shared" si="141"/>
        <v>0</v>
      </c>
      <c r="P321" s="31">
        <f t="shared" si="142"/>
        <v>0</v>
      </c>
      <c r="R321" s="174"/>
      <c r="S321" s="174"/>
      <c r="T321" s="4"/>
      <c r="U321" s="175">
        <f t="shared" si="138"/>
        <v>7.49</v>
      </c>
      <c r="V321" s="175"/>
      <c r="W321" s="175">
        <f t="shared" si="139"/>
        <v>3.9375</v>
      </c>
      <c r="X321" s="175">
        <f t="shared" si="132"/>
        <v>3.5437500000000002</v>
      </c>
      <c r="Y321" s="176">
        <f t="shared" si="133"/>
        <v>0.47429906542056077</v>
      </c>
      <c r="Z321" s="184" t="e">
        <f t="shared" si="140"/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ht="15" customHeight="1" x14ac:dyDescent="0.25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t="shared" si="137"/>
        <v>4.5</v>
      </c>
      <c r="H322" s="133">
        <v>5</v>
      </c>
      <c r="I322" s="133">
        <v>9.99</v>
      </c>
      <c r="J322" s="133">
        <v>9.99</v>
      </c>
      <c r="K322" s="220"/>
      <c r="L322" s="14"/>
      <c r="M322" s="42"/>
      <c r="N322" s="31">
        <f t="shared" si="131"/>
        <v>0</v>
      </c>
      <c r="O322" s="31">
        <f t="shared" si="141"/>
        <v>0</v>
      </c>
      <c r="P322" s="31">
        <f t="shared" si="142"/>
        <v>0</v>
      </c>
      <c r="R322" s="174"/>
      <c r="S322" s="174"/>
      <c r="T322" s="4"/>
      <c r="U322" s="175">
        <f t="shared" si="138"/>
        <v>9.99</v>
      </c>
      <c r="V322" s="175"/>
      <c r="W322" s="175">
        <f t="shared" si="139"/>
        <v>5.25</v>
      </c>
      <c r="X322" s="175">
        <f t="shared" si="132"/>
        <v>4.7250000000000005</v>
      </c>
      <c r="Y322" s="176">
        <f t="shared" si="133"/>
        <v>0.47447447447447449</v>
      </c>
      <c r="Z322" s="184" t="e">
        <f t="shared" si="140"/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ht="15" customHeight="1" x14ac:dyDescent="0.25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t="shared" si="137"/>
        <v>1.9350000000000001</v>
      </c>
      <c r="H323" s="133">
        <v>2.15</v>
      </c>
      <c r="I323" s="133">
        <v>4.29</v>
      </c>
      <c r="J323" s="133">
        <v>4.29</v>
      </c>
      <c r="K323" s="220"/>
      <c r="L323" s="14"/>
      <c r="M323" s="42"/>
      <c r="N323" s="31">
        <f t="shared" si="131"/>
        <v>0</v>
      </c>
      <c r="O323" s="31">
        <f t="shared" si="141"/>
        <v>0</v>
      </c>
      <c r="P323" s="31">
        <f t="shared" si="142"/>
        <v>0</v>
      </c>
      <c r="R323" s="174"/>
      <c r="S323" s="174"/>
      <c r="T323" s="4"/>
      <c r="U323" s="175">
        <f t="shared" si="138"/>
        <v>4.29</v>
      </c>
      <c r="V323" s="175"/>
      <c r="W323" s="175">
        <f t="shared" si="139"/>
        <v>2.2574999999999998</v>
      </c>
      <c r="X323" s="175">
        <f t="shared" si="132"/>
        <v>2.0317499999999997</v>
      </c>
      <c r="Y323" s="176">
        <f t="shared" si="133"/>
        <v>0.4737762237762238</v>
      </c>
      <c r="Z323" s="184" t="e">
        <f t="shared" si="140"/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ht="15" customHeight="1" x14ac:dyDescent="0.25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t="shared" si="137"/>
        <v>1.26</v>
      </c>
      <c r="H324" s="133">
        <v>1.4</v>
      </c>
      <c r="I324" s="133">
        <v>2.79</v>
      </c>
      <c r="J324" s="133">
        <v>2.79</v>
      </c>
      <c r="K324" s="220"/>
      <c r="L324" s="14"/>
      <c r="M324" s="42"/>
      <c r="N324" s="31">
        <f t="shared" si="131"/>
        <v>0</v>
      </c>
      <c r="O324" s="31">
        <f t="shared" si="141"/>
        <v>0</v>
      </c>
      <c r="P324" s="31">
        <f t="shared" si="142"/>
        <v>0</v>
      </c>
      <c r="R324" s="174"/>
      <c r="S324" s="174"/>
      <c r="T324" s="4"/>
      <c r="U324" s="175">
        <f t="shared" ref="U324:U357" si="143">I324</f>
        <v>2.79</v>
      </c>
      <c r="V324" s="175"/>
      <c r="W324" s="175">
        <f t="shared" ref="W324:W357" si="144">H324*1.05</f>
        <v>1.47</v>
      </c>
      <c r="X324" s="175">
        <f t="shared" si="132"/>
        <v>1.323</v>
      </c>
      <c r="Y324" s="176">
        <f t="shared" si="133"/>
        <v>0.4731182795698925</v>
      </c>
      <c r="Z324" s="184" t="e">
        <f t="shared" si="140"/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ht="15" customHeight="1" x14ac:dyDescent="0.25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t="shared" si="137"/>
        <v>1.26</v>
      </c>
      <c r="H325" s="133">
        <v>1.4</v>
      </c>
      <c r="I325" s="133">
        <v>2.79</v>
      </c>
      <c r="J325" s="133">
        <v>2.79</v>
      </c>
      <c r="K325" s="220"/>
      <c r="L325" s="14"/>
      <c r="M325" s="42"/>
      <c r="N325" s="31">
        <f t="shared" si="131"/>
        <v>0</v>
      </c>
      <c r="O325" s="31">
        <f t="shared" si="141"/>
        <v>0</v>
      </c>
      <c r="P325" s="31">
        <f t="shared" si="142"/>
        <v>0</v>
      </c>
      <c r="R325" s="174"/>
      <c r="S325" s="174"/>
      <c r="T325" s="4"/>
      <c r="U325" s="175">
        <f t="shared" si="143"/>
        <v>2.79</v>
      </c>
      <c r="V325" s="175"/>
      <c r="W325" s="175">
        <f t="shared" si="144"/>
        <v>1.47</v>
      </c>
      <c r="X325" s="175">
        <f t="shared" si="132"/>
        <v>1.323</v>
      </c>
      <c r="Y325" s="176">
        <f t="shared" si="133"/>
        <v>0.4731182795698925</v>
      </c>
      <c r="Z325" s="184" t="e">
        <f t="shared" si="140"/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ht="15" customHeight="1" x14ac:dyDescent="0.25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t="shared" si="137"/>
        <v>1.26</v>
      </c>
      <c r="H326" s="133">
        <v>1.4</v>
      </c>
      <c r="I326" s="133">
        <v>2.79</v>
      </c>
      <c r="J326" s="133">
        <v>2.79</v>
      </c>
      <c r="K326" s="220"/>
      <c r="L326" s="14"/>
      <c r="M326" s="42"/>
      <c r="N326" s="31">
        <f t="shared" si="131"/>
        <v>0</v>
      </c>
      <c r="O326" s="31">
        <f t="shared" si="141"/>
        <v>0</v>
      </c>
      <c r="P326" s="31">
        <f t="shared" si="142"/>
        <v>0</v>
      </c>
      <c r="R326" s="174"/>
      <c r="S326" s="174"/>
      <c r="T326" s="4"/>
      <c r="U326" s="175">
        <f t="shared" si="143"/>
        <v>2.79</v>
      </c>
      <c r="V326" s="175"/>
      <c r="W326" s="175">
        <f t="shared" si="144"/>
        <v>1.47</v>
      </c>
      <c r="X326" s="175">
        <f t="shared" si="132"/>
        <v>1.323</v>
      </c>
      <c r="Y326" s="176">
        <f t="shared" si="133"/>
        <v>0.4731182795698925</v>
      </c>
      <c r="Z326" s="184" t="e">
        <f t="shared" si="140"/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ht="15" customHeight="1" x14ac:dyDescent="0.25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t="shared" si="137"/>
        <v>1.71</v>
      </c>
      <c r="H327" s="133">
        <v>1.9</v>
      </c>
      <c r="I327" s="133">
        <v>3.79</v>
      </c>
      <c r="J327" s="133">
        <v>3.79</v>
      </c>
      <c r="K327" s="220"/>
      <c r="L327" s="14"/>
      <c r="M327" s="42"/>
      <c r="N327" s="31">
        <f t="shared" si="131"/>
        <v>0</v>
      </c>
      <c r="O327" s="31">
        <f t="shared" si="141"/>
        <v>0</v>
      </c>
      <c r="P327" s="31">
        <f t="shared" si="142"/>
        <v>0</v>
      </c>
      <c r="R327" s="174"/>
      <c r="S327" s="174"/>
      <c r="T327" s="4"/>
      <c r="U327" s="175">
        <f t="shared" si="143"/>
        <v>3.79</v>
      </c>
      <c r="V327" s="175"/>
      <c r="W327" s="175">
        <f t="shared" si="144"/>
        <v>1.9949999999999999</v>
      </c>
      <c r="X327" s="175">
        <f t="shared" ref="X327:X367" si="145">W327*0.9</f>
        <v>1.7954999999999999</v>
      </c>
      <c r="Y327" s="176">
        <f t="shared" ref="Y327:Y367" si="146">(U327-W327)/U327</f>
        <v>0.47361477572559368</v>
      </c>
      <c r="Z327" s="184" t="e">
        <f t="shared" si="140"/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ht="15" customHeight="1" x14ac:dyDescent="0.25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t="shared" si="137"/>
        <v>1.71</v>
      </c>
      <c r="H328" s="133">
        <v>1.9</v>
      </c>
      <c r="I328" s="133">
        <v>3.79</v>
      </c>
      <c r="J328" s="133">
        <v>3.79</v>
      </c>
      <c r="K328" s="220"/>
      <c r="L328" s="14"/>
      <c r="M328" s="42"/>
      <c r="N328" s="31">
        <f t="shared" ref="N328:N367" si="147">M328*0.78</f>
        <v>0</v>
      </c>
      <c r="O328" s="31">
        <f t="shared" si="141"/>
        <v>0</v>
      </c>
      <c r="P328" s="31">
        <f t="shared" si="142"/>
        <v>0</v>
      </c>
      <c r="R328" s="174"/>
      <c r="S328" s="174"/>
      <c r="T328" s="4"/>
      <c r="U328" s="175">
        <f t="shared" si="143"/>
        <v>3.79</v>
      </c>
      <c r="V328" s="175"/>
      <c r="W328" s="175">
        <f t="shared" si="144"/>
        <v>1.9949999999999999</v>
      </c>
      <c r="X328" s="175">
        <f t="shared" si="145"/>
        <v>1.7954999999999999</v>
      </c>
      <c r="Y328" s="176">
        <f t="shared" si="146"/>
        <v>0.47361477572559368</v>
      </c>
      <c r="Z328" s="184" t="e">
        <f t="shared" si="140"/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ht="15" customHeight="1" x14ac:dyDescent="0.25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t="shared" si="137"/>
        <v>1.26</v>
      </c>
      <c r="H329" s="133">
        <v>1.4</v>
      </c>
      <c r="I329" s="133">
        <v>2.79</v>
      </c>
      <c r="J329" s="133">
        <v>2.79</v>
      </c>
      <c r="K329" s="220"/>
      <c r="L329" s="14"/>
      <c r="M329" s="42"/>
      <c r="N329" s="31">
        <f t="shared" si="147"/>
        <v>0</v>
      </c>
      <c r="O329" s="31">
        <f t="shared" si="141"/>
        <v>0</v>
      </c>
      <c r="P329" s="31">
        <f t="shared" si="142"/>
        <v>0</v>
      </c>
      <c r="R329" s="174"/>
      <c r="S329" s="174"/>
      <c r="T329" s="4"/>
      <c r="U329" s="175">
        <f t="shared" si="143"/>
        <v>2.79</v>
      </c>
      <c r="V329" s="175"/>
      <c r="W329" s="175">
        <f t="shared" si="144"/>
        <v>1.47</v>
      </c>
      <c r="X329" s="175">
        <f t="shared" si="145"/>
        <v>1.323</v>
      </c>
      <c r="Y329" s="176">
        <f t="shared" si="146"/>
        <v>0.4731182795698925</v>
      </c>
      <c r="Z329" s="184" t="e">
        <f t="shared" si="140"/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ht="15" customHeight="1" x14ac:dyDescent="0.25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t="shared" si="137"/>
        <v>1.26</v>
      </c>
      <c r="H330" s="133">
        <v>1.4</v>
      </c>
      <c r="I330" s="133">
        <v>2.79</v>
      </c>
      <c r="J330" s="133">
        <v>2.79</v>
      </c>
      <c r="K330" s="220"/>
      <c r="L330" s="14"/>
      <c r="M330" s="42"/>
      <c r="N330" s="31">
        <f t="shared" si="147"/>
        <v>0</v>
      </c>
      <c r="O330" s="31">
        <f t="shared" si="141"/>
        <v>0</v>
      </c>
      <c r="P330" s="31">
        <f t="shared" si="142"/>
        <v>0</v>
      </c>
      <c r="R330" s="174"/>
      <c r="S330" s="174"/>
      <c r="T330" s="4"/>
      <c r="U330" s="175">
        <f t="shared" si="143"/>
        <v>2.79</v>
      </c>
      <c r="V330" s="175"/>
      <c r="W330" s="175">
        <f t="shared" si="144"/>
        <v>1.47</v>
      </c>
      <c r="X330" s="175">
        <f t="shared" si="145"/>
        <v>1.323</v>
      </c>
      <c r="Y330" s="176">
        <f t="shared" si="146"/>
        <v>0.4731182795698925</v>
      </c>
      <c r="Z330" s="184" t="e">
        <f t="shared" si="140"/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ht="15" customHeight="1" x14ac:dyDescent="0.25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t="shared" si="137"/>
        <v>1.9350000000000001</v>
      </c>
      <c r="H331" s="133">
        <v>2.15</v>
      </c>
      <c r="I331" s="133">
        <v>4.29</v>
      </c>
      <c r="J331" s="133">
        <v>4.29</v>
      </c>
      <c r="K331" s="220"/>
      <c r="L331" s="14"/>
      <c r="M331" s="42"/>
      <c r="N331" s="31">
        <f t="shared" si="147"/>
        <v>0</v>
      </c>
      <c r="O331" s="31">
        <f t="shared" si="141"/>
        <v>0</v>
      </c>
      <c r="P331" s="31">
        <f t="shared" si="142"/>
        <v>0</v>
      </c>
      <c r="R331" s="174"/>
      <c r="S331" s="174"/>
      <c r="T331" s="4"/>
      <c r="U331" s="175">
        <f t="shared" si="143"/>
        <v>4.29</v>
      </c>
      <c r="V331" s="175"/>
      <c r="W331" s="175">
        <f t="shared" si="144"/>
        <v>2.2574999999999998</v>
      </c>
      <c r="X331" s="175">
        <f t="shared" si="145"/>
        <v>2.0317499999999997</v>
      </c>
      <c r="Y331" s="176">
        <f t="shared" si="146"/>
        <v>0.4737762237762238</v>
      </c>
      <c r="Z331" s="184" t="e">
        <f t="shared" si="140"/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ht="15" customHeight="1" x14ac:dyDescent="0.25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t="shared" si="137"/>
        <v>1.71</v>
      </c>
      <c r="H332" s="133">
        <v>1.9</v>
      </c>
      <c r="I332" s="133">
        <v>3.79</v>
      </c>
      <c r="J332" s="133">
        <v>3.79</v>
      </c>
      <c r="K332" s="220"/>
      <c r="L332" s="14"/>
      <c r="M332" s="42"/>
      <c r="N332" s="31">
        <f t="shared" si="147"/>
        <v>0</v>
      </c>
      <c r="O332" s="31">
        <f t="shared" si="141"/>
        <v>0</v>
      </c>
      <c r="P332" s="31">
        <f t="shared" si="142"/>
        <v>0</v>
      </c>
      <c r="R332" s="174"/>
      <c r="S332" s="174"/>
      <c r="T332" s="4"/>
      <c r="U332" s="175">
        <f t="shared" si="143"/>
        <v>3.79</v>
      </c>
      <c r="V332" s="175"/>
      <c r="W332" s="175">
        <f t="shared" si="144"/>
        <v>1.9949999999999999</v>
      </c>
      <c r="X332" s="175">
        <f t="shared" si="145"/>
        <v>1.7954999999999999</v>
      </c>
      <c r="Y332" s="176">
        <f t="shared" si="146"/>
        <v>0.47361477572559368</v>
      </c>
      <c r="Z332" s="184" t="e">
        <f t="shared" si="140"/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ht="15" customHeight="1" x14ac:dyDescent="0.25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t="shared" si="137"/>
        <v>3.15</v>
      </c>
      <c r="H333" s="133">
        <v>3.5</v>
      </c>
      <c r="I333" s="133">
        <v>6.99</v>
      </c>
      <c r="J333" s="133">
        <v>6.99</v>
      </c>
      <c r="K333" s="220"/>
      <c r="L333" s="14"/>
      <c r="M333" s="42"/>
      <c r="N333" s="31">
        <f t="shared" si="147"/>
        <v>0</v>
      </c>
      <c r="O333" s="31">
        <f t="shared" si="141"/>
        <v>0</v>
      </c>
      <c r="P333" s="31">
        <f t="shared" si="142"/>
        <v>0</v>
      </c>
      <c r="R333" s="174"/>
      <c r="S333" s="174"/>
      <c r="T333" s="4"/>
      <c r="U333" s="175">
        <f t="shared" si="143"/>
        <v>6.99</v>
      </c>
      <c r="V333" s="175"/>
      <c r="W333" s="175">
        <f t="shared" si="144"/>
        <v>3.6750000000000003</v>
      </c>
      <c r="X333" s="175">
        <f t="shared" si="145"/>
        <v>3.3075000000000001</v>
      </c>
      <c r="Y333" s="176">
        <f t="shared" si="146"/>
        <v>0.47424892703862659</v>
      </c>
      <c r="Z333" s="184" t="e">
        <f t="shared" si="140"/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ht="15" customHeight="1" x14ac:dyDescent="0.25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t="shared" si="137"/>
        <v>1.35</v>
      </c>
      <c r="H334" s="133">
        <v>1.5</v>
      </c>
      <c r="I334" s="133">
        <v>2.99</v>
      </c>
      <c r="J334" s="133">
        <v>2.99</v>
      </c>
      <c r="K334" s="220"/>
      <c r="L334" s="14"/>
      <c r="M334" s="42"/>
      <c r="N334" s="31">
        <f t="shared" si="147"/>
        <v>0</v>
      </c>
      <c r="O334" s="31">
        <f t="shared" si="141"/>
        <v>0</v>
      </c>
      <c r="P334" s="31">
        <f t="shared" si="142"/>
        <v>0</v>
      </c>
      <c r="R334" s="174"/>
      <c r="S334" s="174"/>
      <c r="T334" s="4"/>
      <c r="U334" s="175">
        <f t="shared" si="143"/>
        <v>2.99</v>
      </c>
      <c r="V334" s="175"/>
      <c r="W334" s="175">
        <f t="shared" si="144"/>
        <v>1.5750000000000002</v>
      </c>
      <c r="X334" s="175">
        <f t="shared" si="145"/>
        <v>1.4175000000000002</v>
      </c>
      <c r="Y334" s="176">
        <f t="shared" si="146"/>
        <v>0.4732441471571906</v>
      </c>
      <c r="Z334" s="184" t="e">
        <f t="shared" si="140"/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ht="15" customHeight="1" x14ac:dyDescent="0.25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t="shared" si="137"/>
        <v>4.95</v>
      </c>
      <c r="H335" s="133">
        <v>5.5</v>
      </c>
      <c r="I335" s="133">
        <v>10.99</v>
      </c>
      <c r="J335" s="133">
        <v>10.99</v>
      </c>
      <c r="K335" s="220"/>
      <c r="L335" s="14"/>
      <c r="M335" s="42"/>
      <c r="N335" s="31">
        <f t="shared" si="147"/>
        <v>0</v>
      </c>
      <c r="O335" s="31">
        <f t="shared" si="141"/>
        <v>0</v>
      </c>
      <c r="P335" s="31">
        <f t="shared" si="142"/>
        <v>0</v>
      </c>
      <c r="R335" s="174"/>
      <c r="S335" s="174"/>
      <c r="T335" s="4"/>
      <c r="U335" s="175">
        <f t="shared" si="143"/>
        <v>10.99</v>
      </c>
      <c r="V335" s="175"/>
      <c r="W335" s="175">
        <f t="shared" si="144"/>
        <v>5.7750000000000004</v>
      </c>
      <c r="X335" s="175">
        <f t="shared" si="145"/>
        <v>5.1975000000000007</v>
      </c>
      <c r="Y335" s="176">
        <f t="shared" si="146"/>
        <v>0.47452229299363052</v>
      </c>
      <c r="Z335" s="184" t="e">
        <f t="shared" si="140"/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ht="15" customHeight="1" x14ac:dyDescent="0.25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t="shared" si="137"/>
        <v>3.6</v>
      </c>
      <c r="H336" s="133">
        <v>4</v>
      </c>
      <c r="I336" s="133">
        <v>7.99</v>
      </c>
      <c r="J336" s="133">
        <v>7.99</v>
      </c>
      <c r="K336" s="220"/>
      <c r="L336" s="14"/>
      <c r="M336" s="42"/>
      <c r="N336" s="31">
        <f t="shared" si="147"/>
        <v>0</v>
      </c>
      <c r="O336" s="31">
        <f t="shared" si="141"/>
        <v>0</v>
      </c>
      <c r="P336" s="31">
        <f t="shared" si="142"/>
        <v>0</v>
      </c>
      <c r="R336" s="174"/>
      <c r="S336" s="174"/>
      <c r="T336" s="4"/>
      <c r="U336" s="175">
        <f t="shared" si="143"/>
        <v>7.99</v>
      </c>
      <c r="V336" s="175"/>
      <c r="W336" s="175">
        <f t="shared" si="144"/>
        <v>4.2</v>
      </c>
      <c r="X336" s="175">
        <f t="shared" si="145"/>
        <v>3.7800000000000002</v>
      </c>
      <c r="Y336" s="176">
        <f t="shared" si="146"/>
        <v>0.474342928660826</v>
      </c>
      <c r="Z336" s="184" t="e">
        <f t="shared" si="140"/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ht="15" customHeight="1" x14ac:dyDescent="0.25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t="shared" si="137"/>
        <v>3.6</v>
      </c>
      <c r="H337" s="133">
        <v>4</v>
      </c>
      <c r="I337" s="133">
        <v>7.99</v>
      </c>
      <c r="J337" s="133">
        <v>7.99</v>
      </c>
      <c r="K337" s="220"/>
      <c r="L337" s="14"/>
      <c r="M337" s="42"/>
      <c r="N337" s="31">
        <f t="shared" si="147"/>
        <v>0</v>
      </c>
      <c r="O337" s="31">
        <f t="shared" si="141"/>
        <v>0</v>
      </c>
      <c r="P337" s="31">
        <f t="shared" si="142"/>
        <v>0</v>
      </c>
      <c r="R337" s="174"/>
      <c r="S337" s="174"/>
      <c r="T337" s="4"/>
      <c r="U337" s="175">
        <f t="shared" si="143"/>
        <v>7.99</v>
      </c>
      <c r="V337" s="175"/>
      <c r="W337" s="175">
        <f t="shared" si="144"/>
        <v>4.2</v>
      </c>
      <c r="X337" s="175">
        <f t="shared" si="145"/>
        <v>3.7800000000000002</v>
      </c>
      <c r="Y337" s="176">
        <f t="shared" si="146"/>
        <v>0.474342928660826</v>
      </c>
      <c r="Z337" s="184" t="e">
        <f t="shared" si="140"/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ht="15" customHeight="1" x14ac:dyDescent="0.25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t="shared" si="137"/>
        <v>3.375</v>
      </c>
      <c r="H338" s="133">
        <v>3.75</v>
      </c>
      <c r="I338" s="133">
        <v>7.49</v>
      </c>
      <c r="J338" s="133">
        <v>7.49</v>
      </c>
      <c r="K338" s="220"/>
      <c r="L338" s="14"/>
      <c r="M338" s="42"/>
      <c r="N338" s="31">
        <f t="shared" si="147"/>
        <v>0</v>
      </c>
      <c r="O338" s="31">
        <f t="shared" si="141"/>
        <v>0</v>
      </c>
      <c r="P338" s="31">
        <f t="shared" si="142"/>
        <v>0</v>
      </c>
      <c r="R338" s="174"/>
      <c r="S338" s="174"/>
      <c r="T338" s="4"/>
      <c r="U338" s="175">
        <f t="shared" si="143"/>
        <v>7.49</v>
      </c>
      <c r="V338" s="175"/>
      <c r="W338" s="175">
        <f t="shared" si="144"/>
        <v>3.9375</v>
      </c>
      <c r="X338" s="175">
        <f t="shared" si="145"/>
        <v>3.5437500000000002</v>
      </c>
      <c r="Y338" s="176">
        <f t="shared" si="146"/>
        <v>0.47429906542056077</v>
      </c>
      <c r="Z338" s="184" t="e">
        <f t="shared" si="140"/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ht="15" customHeight="1" x14ac:dyDescent="0.25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t="shared" si="137"/>
        <v>2.7</v>
      </c>
      <c r="H339" s="133">
        <v>3</v>
      </c>
      <c r="I339" s="133">
        <v>5.99</v>
      </c>
      <c r="J339" s="133">
        <v>5.99</v>
      </c>
      <c r="K339" s="220"/>
      <c r="L339" s="14"/>
      <c r="M339" s="42"/>
      <c r="N339" s="31">
        <f t="shared" si="147"/>
        <v>0</v>
      </c>
      <c r="O339" s="31">
        <f t="shared" si="141"/>
        <v>0</v>
      </c>
      <c r="P339" s="31">
        <f t="shared" si="142"/>
        <v>0</v>
      </c>
      <c r="R339" s="174"/>
      <c r="S339" s="174"/>
      <c r="T339" s="4"/>
      <c r="U339" s="175">
        <f t="shared" si="143"/>
        <v>5.99</v>
      </c>
      <c r="V339" s="175"/>
      <c r="W339" s="175">
        <f t="shared" si="144"/>
        <v>3.1500000000000004</v>
      </c>
      <c r="X339" s="175">
        <f t="shared" si="145"/>
        <v>2.8350000000000004</v>
      </c>
      <c r="Y339" s="176">
        <f t="shared" si="146"/>
        <v>0.47412353923205336</v>
      </c>
      <c r="Z339" s="184" t="e">
        <f t="shared" si="140"/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ht="15" customHeight="1" x14ac:dyDescent="0.25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t="shared" si="137"/>
        <v>2.7</v>
      </c>
      <c r="H340" s="133">
        <v>3</v>
      </c>
      <c r="I340" s="133">
        <v>5.99</v>
      </c>
      <c r="J340" s="133">
        <v>5.99</v>
      </c>
      <c r="K340" s="220"/>
      <c r="L340" s="14"/>
      <c r="M340" s="42"/>
      <c r="N340" s="31">
        <f t="shared" si="147"/>
        <v>0</v>
      </c>
      <c r="O340" s="31">
        <f t="shared" si="141"/>
        <v>0</v>
      </c>
      <c r="P340" s="31">
        <f t="shared" si="142"/>
        <v>0</v>
      </c>
      <c r="R340" s="174"/>
      <c r="S340" s="174"/>
      <c r="T340" s="4"/>
      <c r="U340" s="175">
        <f t="shared" si="143"/>
        <v>5.99</v>
      </c>
      <c r="V340" s="175"/>
      <c r="W340" s="175">
        <f t="shared" si="144"/>
        <v>3.1500000000000004</v>
      </c>
      <c r="X340" s="175">
        <f t="shared" si="145"/>
        <v>2.8350000000000004</v>
      </c>
      <c r="Y340" s="176">
        <f t="shared" si="146"/>
        <v>0.47412353923205336</v>
      </c>
      <c r="Z340" s="184" t="e">
        <f t="shared" si="140"/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ht="15" customHeight="1" x14ac:dyDescent="0.25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t="shared" si="137"/>
        <v>2.4750000000000001</v>
      </c>
      <c r="H341" s="133">
        <v>2.75</v>
      </c>
      <c r="I341" s="133">
        <v>5.49</v>
      </c>
      <c r="J341" s="133">
        <v>5.49</v>
      </c>
      <c r="K341" s="220"/>
      <c r="L341" s="14"/>
      <c r="M341" s="42"/>
      <c r="N341" s="31">
        <f t="shared" si="147"/>
        <v>0</v>
      </c>
      <c r="O341" s="31">
        <f t="shared" si="141"/>
        <v>0</v>
      </c>
      <c r="P341" s="31">
        <f t="shared" si="142"/>
        <v>0</v>
      </c>
      <c r="R341" s="174"/>
      <c r="S341" s="174"/>
      <c r="T341" s="4"/>
      <c r="U341" s="175">
        <f t="shared" si="143"/>
        <v>5.49</v>
      </c>
      <c r="V341" s="175"/>
      <c r="W341" s="175">
        <f t="shared" si="144"/>
        <v>2.8875000000000002</v>
      </c>
      <c r="X341" s="175">
        <f t="shared" si="145"/>
        <v>2.5987500000000003</v>
      </c>
      <c r="Y341" s="176">
        <f t="shared" si="146"/>
        <v>0.47404371584699451</v>
      </c>
      <c r="Z341" s="184" t="e">
        <f t="shared" si="140"/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ht="15" customHeight="1" x14ac:dyDescent="0.25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t="shared" si="137"/>
        <v>2.4750000000000001</v>
      </c>
      <c r="H342" s="133">
        <v>2.75</v>
      </c>
      <c r="I342" s="133">
        <v>5.49</v>
      </c>
      <c r="J342" s="133">
        <v>5.49</v>
      </c>
      <c r="K342" s="220"/>
      <c r="L342" s="14"/>
      <c r="M342" s="42"/>
      <c r="N342" s="31">
        <f t="shared" si="147"/>
        <v>0</v>
      </c>
      <c r="O342" s="31">
        <f t="shared" si="141"/>
        <v>0</v>
      </c>
      <c r="P342" s="31">
        <f t="shared" si="142"/>
        <v>0</v>
      </c>
      <c r="R342" s="174"/>
      <c r="S342" s="174"/>
      <c r="T342" s="4"/>
      <c r="U342" s="175">
        <f t="shared" si="143"/>
        <v>5.49</v>
      </c>
      <c r="V342" s="175"/>
      <c r="W342" s="175">
        <f t="shared" si="144"/>
        <v>2.8875000000000002</v>
      </c>
      <c r="X342" s="175">
        <f t="shared" si="145"/>
        <v>2.5987500000000003</v>
      </c>
      <c r="Y342" s="176">
        <f t="shared" si="146"/>
        <v>0.47404371584699451</v>
      </c>
      <c r="Z342" s="184" t="e">
        <f t="shared" si="140"/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ht="15" customHeight="1" x14ac:dyDescent="0.25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t="shared" si="137"/>
        <v>2.9250000000000003</v>
      </c>
      <c r="H343" s="133">
        <v>3.25</v>
      </c>
      <c r="I343" s="133">
        <v>6.49</v>
      </c>
      <c r="J343" s="133">
        <v>6.49</v>
      </c>
      <c r="K343" s="220"/>
      <c r="L343" s="14"/>
      <c r="M343" s="42"/>
      <c r="N343" s="31">
        <f t="shared" si="147"/>
        <v>0</v>
      </c>
      <c r="O343" s="31">
        <f t="shared" si="141"/>
        <v>0</v>
      </c>
      <c r="P343" s="31">
        <f t="shared" si="142"/>
        <v>0</v>
      </c>
      <c r="R343" s="174"/>
      <c r="S343" s="174"/>
      <c r="T343" s="4"/>
      <c r="U343" s="175">
        <f t="shared" si="143"/>
        <v>6.49</v>
      </c>
      <c r="V343" s="175"/>
      <c r="W343" s="175">
        <f t="shared" si="144"/>
        <v>3.4125000000000001</v>
      </c>
      <c r="X343" s="175">
        <f t="shared" si="145"/>
        <v>3.07125</v>
      </c>
      <c r="Y343" s="176">
        <f t="shared" si="146"/>
        <v>0.47419106317411402</v>
      </c>
      <c r="Z343" s="184" t="e">
        <f t="shared" si="140"/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ht="15" customHeight="1" x14ac:dyDescent="0.25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t="shared" si="137"/>
        <v>3.6</v>
      </c>
      <c r="H344" s="133">
        <v>4</v>
      </c>
      <c r="I344" s="133">
        <v>7.99</v>
      </c>
      <c r="J344" s="133">
        <v>7.99</v>
      </c>
      <c r="K344" s="220"/>
      <c r="L344" s="14"/>
      <c r="M344" s="42"/>
      <c r="N344" s="31">
        <f t="shared" si="147"/>
        <v>0</v>
      </c>
      <c r="O344" s="31">
        <f t="shared" si="141"/>
        <v>0</v>
      </c>
      <c r="P344" s="31">
        <f t="shared" si="142"/>
        <v>0</v>
      </c>
      <c r="R344" s="174"/>
      <c r="S344" s="174"/>
      <c r="T344" s="4"/>
      <c r="U344" s="175">
        <f t="shared" si="143"/>
        <v>7.99</v>
      </c>
      <c r="V344" s="175"/>
      <c r="W344" s="175">
        <f t="shared" si="144"/>
        <v>4.2</v>
      </c>
      <c r="X344" s="175">
        <f t="shared" si="145"/>
        <v>3.7800000000000002</v>
      </c>
      <c r="Y344" s="176">
        <f t="shared" si="146"/>
        <v>0.474342928660826</v>
      </c>
      <c r="Z344" s="184" t="e">
        <f t="shared" si="140"/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ht="15" customHeight="1" x14ac:dyDescent="0.25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t="shared" si="137"/>
        <v>3.6</v>
      </c>
      <c r="H345" s="133">
        <v>4</v>
      </c>
      <c r="I345" s="133">
        <v>7.99</v>
      </c>
      <c r="J345" s="133">
        <v>7.99</v>
      </c>
      <c r="K345" s="220"/>
      <c r="L345" s="14"/>
      <c r="M345" s="42"/>
      <c r="N345" s="31">
        <f t="shared" si="147"/>
        <v>0</v>
      </c>
      <c r="O345" s="31">
        <f t="shared" si="141"/>
        <v>0</v>
      </c>
      <c r="P345" s="31">
        <f t="shared" si="142"/>
        <v>0</v>
      </c>
      <c r="R345" s="174"/>
      <c r="S345" s="174"/>
      <c r="T345" s="4"/>
      <c r="U345" s="175">
        <f t="shared" si="143"/>
        <v>7.99</v>
      </c>
      <c r="V345" s="175"/>
      <c r="W345" s="175">
        <f t="shared" si="144"/>
        <v>4.2</v>
      </c>
      <c r="X345" s="175">
        <f t="shared" si="145"/>
        <v>3.7800000000000002</v>
      </c>
      <c r="Y345" s="176">
        <f t="shared" si="146"/>
        <v>0.474342928660826</v>
      </c>
      <c r="Z345" s="184" t="e">
        <f t="shared" si="140"/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ht="15" customHeight="1" x14ac:dyDescent="0.25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t="shared" si="137"/>
        <v>3.6</v>
      </c>
      <c r="H346" s="133">
        <v>4</v>
      </c>
      <c r="I346" s="133">
        <v>7.99</v>
      </c>
      <c r="J346" s="133">
        <v>7.99</v>
      </c>
      <c r="K346" s="220"/>
      <c r="L346" s="14"/>
      <c r="M346" s="42"/>
      <c r="N346" s="31">
        <f t="shared" si="147"/>
        <v>0</v>
      </c>
      <c r="O346" s="31">
        <f t="shared" si="141"/>
        <v>0</v>
      </c>
      <c r="P346" s="31">
        <f t="shared" si="142"/>
        <v>0</v>
      </c>
      <c r="R346" s="174"/>
      <c r="S346" s="174"/>
      <c r="T346" s="4"/>
      <c r="U346" s="175">
        <f t="shared" si="143"/>
        <v>7.99</v>
      </c>
      <c r="V346" s="175"/>
      <c r="W346" s="175">
        <f t="shared" si="144"/>
        <v>4.2</v>
      </c>
      <c r="X346" s="175">
        <f t="shared" si="145"/>
        <v>3.7800000000000002</v>
      </c>
      <c r="Y346" s="176">
        <f t="shared" si="146"/>
        <v>0.474342928660826</v>
      </c>
      <c r="Z346" s="184" t="e">
        <f t="shared" si="140"/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ht="15" customHeight="1" x14ac:dyDescent="0.25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t="shared" si="137"/>
        <v>3.6</v>
      </c>
      <c r="H347" s="133">
        <v>4</v>
      </c>
      <c r="I347" s="133">
        <v>7.99</v>
      </c>
      <c r="J347" s="133">
        <v>7.99</v>
      </c>
      <c r="K347" s="220"/>
      <c r="L347" s="14"/>
      <c r="M347" s="42"/>
      <c r="N347" s="31">
        <f t="shared" si="147"/>
        <v>0</v>
      </c>
      <c r="O347" s="31">
        <f t="shared" si="141"/>
        <v>0</v>
      </c>
      <c r="P347" s="31">
        <f t="shared" si="142"/>
        <v>0</v>
      </c>
      <c r="R347" s="174"/>
      <c r="S347" s="174"/>
      <c r="T347" s="4"/>
      <c r="U347" s="175">
        <f t="shared" si="143"/>
        <v>7.99</v>
      </c>
      <c r="V347" s="175"/>
      <c r="W347" s="175">
        <f t="shared" si="144"/>
        <v>4.2</v>
      </c>
      <c r="X347" s="175">
        <f t="shared" si="145"/>
        <v>3.7800000000000002</v>
      </c>
      <c r="Y347" s="176">
        <f t="shared" si="146"/>
        <v>0.474342928660826</v>
      </c>
      <c r="Z347" s="184" t="e">
        <f t="shared" si="140"/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ht="15" customHeight="1" x14ac:dyDescent="0.25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t="shared" si="137"/>
        <v>3.6</v>
      </c>
      <c r="H348" s="133">
        <v>4</v>
      </c>
      <c r="I348" s="133">
        <v>7.99</v>
      </c>
      <c r="J348" s="133">
        <v>7.99</v>
      </c>
      <c r="K348" s="220"/>
      <c r="L348" s="14"/>
      <c r="M348" s="42"/>
      <c r="N348" s="31">
        <f t="shared" si="147"/>
        <v>0</v>
      </c>
      <c r="O348" s="31">
        <f t="shared" si="141"/>
        <v>0</v>
      </c>
      <c r="P348" s="31">
        <f t="shared" si="142"/>
        <v>0</v>
      </c>
      <c r="R348" s="174"/>
      <c r="S348" s="174"/>
      <c r="T348" s="4"/>
      <c r="U348" s="175">
        <f t="shared" si="143"/>
        <v>7.99</v>
      </c>
      <c r="V348" s="175"/>
      <c r="W348" s="175">
        <f t="shared" si="144"/>
        <v>4.2</v>
      </c>
      <c r="X348" s="175">
        <f t="shared" si="145"/>
        <v>3.7800000000000002</v>
      </c>
      <c r="Y348" s="176">
        <f t="shared" si="146"/>
        <v>0.474342928660826</v>
      </c>
      <c r="Z348" s="184" t="e">
        <f t="shared" si="140"/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ht="15" customHeight="1" x14ac:dyDescent="0.25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t="shared" si="137"/>
        <v>3.6</v>
      </c>
      <c r="H349" s="133">
        <v>4</v>
      </c>
      <c r="I349" s="133">
        <v>7.99</v>
      </c>
      <c r="J349" s="133">
        <v>7.99</v>
      </c>
      <c r="K349" s="220"/>
      <c r="L349" s="14"/>
      <c r="M349" s="42"/>
      <c r="N349" s="31">
        <f t="shared" si="147"/>
        <v>0</v>
      </c>
      <c r="O349" s="31">
        <f t="shared" si="141"/>
        <v>0</v>
      </c>
      <c r="P349" s="31">
        <f t="shared" si="142"/>
        <v>0</v>
      </c>
      <c r="R349" s="174"/>
      <c r="S349" s="174"/>
      <c r="T349" s="4"/>
      <c r="U349" s="175">
        <f t="shared" si="143"/>
        <v>7.99</v>
      </c>
      <c r="V349" s="175"/>
      <c r="W349" s="175">
        <f t="shared" si="144"/>
        <v>4.2</v>
      </c>
      <c r="X349" s="175">
        <f t="shared" si="145"/>
        <v>3.7800000000000002</v>
      </c>
      <c r="Y349" s="176">
        <f t="shared" si="146"/>
        <v>0.474342928660826</v>
      </c>
      <c r="Z349" s="184" t="e">
        <f t="shared" si="140"/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ht="15" customHeight="1" x14ac:dyDescent="0.25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t="shared" si="137"/>
        <v>3.6</v>
      </c>
      <c r="H350" s="133">
        <v>4</v>
      </c>
      <c r="I350" s="133">
        <v>7.99</v>
      </c>
      <c r="J350" s="133">
        <v>7.99</v>
      </c>
      <c r="K350" s="220"/>
      <c r="L350" s="14"/>
      <c r="M350" s="42"/>
      <c r="N350" s="31">
        <f t="shared" si="147"/>
        <v>0</v>
      </c>
      <c r="O350" s="31">
        <f t="shared" si="141"/>
        <v>0</v>
      </c>
      <c r="P350" s="31">
        <f t="shared" si="142"/>
        <v>0</v>
      </c>
      <c r="R350" s="174"/>
      <c r="S350" s="174"/>
      <c r="T350" s="4"/>
      <c r="U350" s="175">
        <f t="shared" si="143"/>
        <v>7.99</v>
      </c>
      <c r="V350" s="175"/>
      <c r="W350" s="175">
        <f t="shared" si="144"/>
        <v>4.2</v>
      </c>
      <c r="X350" s="175">
        <f t="shared" si="145"/>
        <v>3.7800000000000002</v>
      </c>
      <c r="Y350" s="176">
        <f t="shared" si="146"/>
        <v>0.474342928660826</v>
      </c>
      <c r="Z350" s="184" t="e">
        <f t="shared" si="140"/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ht="15" customHeight="1" x14ac:dyDescent="0.25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t="shared" si="137"/>
        <v>1.4849999999999999</v>
      </c>
      <c r="H351" s="133">
        <v>1.65</v>
      </c>
      <c r="I351" s="133">
        <v>3.29</v>
      </c>
      <c r="J351" s="133">
        <v>3.29</v>
      </c>
      <c r="K351" s="220"/>
      <c r="L351" s="14"/>
      <c r="M351" s="42"/>
      <c r="N351" s="31">
        <f t="shared" si="147"/>
        <v>0</v>
      </c>
      <c r="O351" s="31">
        <f t="shared" si="141"/>
        <v>0</v>
      </c>
      <c r="P351" s="31">
        <f t="shared" si="142"/>
        <v>0</v>
      </c>
      <c r="R351" s="174"/>
      <c r="S351" s="174"/>
      <c r="T351" s="4"/>
      <c r="U351" s="175">
        <f t="shared" si="143"/>
        <v>3.29</v>
      </c>
      <c r="V351" s="175"/>
      <c r="W351" s="175">
        <f t="shared" si="144"/>
        <v>1.7324999999999999</v>
      </c>
      <c r="X351" s="175">
        <f t="shared" si="145"/>
        <v>1.55925</v>
      </c>
      <c r="Y351" s="176">
        <f t="shared" si="146"/>
        <v>0.47340425531914898</v>
      </c>
      <c r="Z351" s="184" t="e">
        <f t="shared" si="140"/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ht="15" customHeight="1" x14ac:dyDescent="0.25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t="shared" si="137"/>
        <v>2.4750000000000001</v>
      </c>
      <c r="H352" s="133">
        <v>2.75</v>
      </c>
      <c r="I352" s="133">
        <v>5.49</v>
      </c>
      <c r="J352" s="133">
        <v>5.49</v>
      </c>
      <c r="K352" s="220"/>
      <c r="L352" s="14"/>
      <c r="M352" s="42"/>
      <c r="N352" s="31">
        <f t="shared" si="147"/>
        <v>0</v>
      </c>
      <c r="O352" s="31">
        <f t="shared" si="141"/>
        <v>0</v>
      </c>
      <c r="P352" s="31">
        <f t="shared" si="142"/>
        <v>0</v>
      </c>
      <c r="R352" s="174"/>
      <c r="S352" s="174"/>
      <c r="T352" s="4"/>
      <c r="U352" s="175">
        <f t="shared" si="143"/>
        <v>5.49</v>
      </c>
      <c r="V352" s="175"/>
      <c r="W352" s="175">
        <f t="shared" si="144"/>
        <v>2.8875000000000002</v>
      </c>
      <c r="X352" s="175">
        <f t="shared" si="145"/>
        <v>2.5987500000000003</v>
      </c>
      <c r="Y352" s="176">
        <f t="shared" si="146"/>
        <v>0.47404371584699451</v>
      </c>
      <c r="Z352" s="184" t="e">
        <f t="shared" si="140"/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ht="15" customHeight="1" x14ac:dyDescent="0.25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t="shared" si="137"/>
        <v>5.4</v>
      </c>
      <c r="H353" s="133">
        <v>6</v>
      </c>
      <c r="I353" s="133">
        <v>11.99</v>
      </c>
      <c r="J353" s="133">
        <v>11.99</v>
      </c>
      <c r="K353" s="220"/>
      <c r="L353" s="14"/>
      <c r="M353" s="42"/>
      <c r="N353" s="31">
        <f t="shared" si="147"/>
        <v>0</v>
      </c>
      <c r="O353" s="31">
        <f t="shared" si="141"/>
        <v>0</v>
      </c>
      <c r="P353" s="31">
        <f t="shared" si="142"/>
        <v>0</v>
      </c>
      <c r="R353" s="174"/>
      <c r="S353" s="174"/>
      <c r="T353" s="4"/>
      <c r="U353" s="175">
        <f t="shared" si="143"/>
        <v>11.99</v>
      </c>
      <c r="V353" s="175"/>
      <c r="W353" s="175">
        <f t="shared" si="144"/>
        <v>6.3000000000000007</v>
      </c>
      <c r="X353" s="175">
        <f t="shared" si="145"/>
        <v>5.6700000000000008</v>
      </c>
      <c r="Y353" s="176">
        <f t="shared" si="146"/>
        <v>0.47456213511259376</v>
      </c>
      <c r="Z353" s="184" t="e">
        <f t="shared" si="140"/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ht="15" customHeight="1" x14ac:dyDescent="0.25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t="shared" si="137"/>
        <v>2.7</v>
      </c>
      <c r="H354" s="133">
        <v>3</v>
      </c>
      <c r="I354" s="133">
        <v>5.99</v>
      </c>
      <c r="J354" s="133">
        <v>5.99</v>
      </c>
      <c r="K354" s="220"/>
      <c r="L354" s="14"/>
      <c r="M354" s="42"/>
      <c r="N354" s="31">
        <f t="shared" si="147"/>
        <v>0</v>
      </c>
      <c r="O354" s="31">
        <f t="shared" si="141"/>
        <v>0</v>
      </c>
      <c r="P354" s="31">
        <f t="shared" si="142"/>
        <v>0</v>
      </c>
      <c r="R354" s="174"/>
      <c r="S354" s="174"/>
      <c r="T354" s="4"/>
      <c r="U354" s="175">
        <f t="shared" si="143"/>
        <v>5.99</v>
      </c>
      <c r="V354" s="175"/>
      <c r="W354" s="175">
        <f t="shared" si="144"/>
        <v>3.1500000000000004</v>
      </c>
      <c r="X354" s="175">
        <f t="shared" si="145"/>
        <v>2.8350000000000004</v>
      </c>
      <c r="Y354" s="176">
        <f t="shared" si="146"/>
        <v>0.47412353923205336</v>
      </c>
      <c r="Z354" s="184" t="e">
        <f t="shared" si="140"/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ht="15" customHeight="1" x14ac:dyDescent="0.25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t="shared" si="137"/>
        <v>3.6</v>
      </c>
      <c r="H355" s="133">
        <v>4</v>
      </c>
      <c r="I355" s="133">
        <v>7.99</v>
      </c>
      <c r="J355" s="133">
        <v>7.99</v>
      </c>
      <c r="K355" s="220"/>
      <c r="L355" s="14"/>
      <c r="M355" s="42"/>
      <c r="N355" s="31">
        <f t="shared" si="147"/>
        <v>0</v>
      </c>
      <c r="O355" s="31">
        <f t="shared" si="141"/>
        <v>0</v>
      </c>
      <c r="P355" s="31">
        <f t="shared" si="142"/>
        <v>0</v>
      </c>
      <c r="R355" s="174"/>
      <c r="S355" s="174"/>
      <c r="T355" s="4"/>
      <c r="U355" s="175">
        <f t="shared" si="143"/>
        <v>7.99</v>
      </c>
      <c r="V355" s="175"/>
      <c r="W355" s="175">
        <f t="shared" si="144"/>
        <v>4.2</v>
      </c>
      <c r="X355" s="175">
        <f t="shared" si="145"/>
        <v>3.7800000000000002</v>
      </c>
      <c r="Y355" s="176">
        <f t="shared" si="146"/>
        <v>0.474342928660826</v>
      </c>
      <c r="Z355" s="184" t="e">
        <f t="shared" si="140"/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ht="15" customHeight="1" x14ac:dyDescent="0.25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t="shared" ref="G356:G357" si="148">H356*0.9</f>
        <v>3.6</v>
      </c>
      <c r="H356" s="133">
        <v>4</v>
      </c>
      <c r="I356" s="133">
        <v>7.99</v>
      </c>
      <c r="J356" s="133">
        <v>7.99</v>
      </c>
      <c r="K356" s="220"/>
      <c r="L356" s="14"/>
      <c r="M356" s="42"/>
      <c r="N356" s="31">
        <f t="shared" si="147"/>
        <v>0</v>
      </c>
      <c r="O356" s="31">
        <f t="shared" si="141"/>
        <v>0</v>
      </c>
      <c r="P356" s="31">
        <f t="shared" si="142"/>
        <v>0</v>
      </c>
      <c r="R356" s="174"/>
      <c r="S356" s="174"/>
      <c r="T356" s="4"/>
      <c r="U356" s="175">
        <f t="shared" si="143"/>
        <v>7.99</v>
      </c>
      <c r="V356" s="175"/>
      <c r="W356" s="175">
        <f t="shared" si="144"/>
        <v>4.2</v>
      </c>
      <c r="X356" s="175">
        <f t="shared" si="145"/>
        <v>3.7800000000000002</v>
      </c>
      <c r="Y356" s="176">
        <f t="shared" si="146"/>
        <v>0.474342928660826</v>
      </c>
      <c r="Z356" s="184" t="e">
        <f t="shared" si="140"/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ht="15" customHeight="1" x14ac:dyDescent="0.25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t="shared" si="148"/>
        <v>4.95</v>
      </c>
      <c r="H357" s="133">
        <v>5.5</v>
      </c>
      <c r="I357" s="133">
        <v>10.99</v>
      </c>
      <c r="J357" s="133">
        <v>10.99</v>
      </c>
      <c r="K357" s="220"/>
      <c r="L357" s="14"/>
      <c r="M357" s="42"/>
      <c r="N357" s="31">
        <f t="shared" si="147"/>
        <v>0</v>
      </c>
      <c r="O357" s="31">
        <f t="shared" si="141"/>
        <v>0</v>
      </c>
      <c r="P357" s="31">
        <f t="shared" si="142"/>
        <v>0</v>
      </c>
      <c r="R357" s="174"/>
      <c r="S357" s="174"/>
      <c r="T357" s="4"/>
      <c r="U357" s="175">
        <f t="shared" si="143"/>
        <v>10.99</v>
      </c>
      <c r="V357" s="175"/>
      <c r="W357" s="175">
        <f t="shared" si="144"/>
        <v>5.7750000000000004</v>
      </c>
      <c r="X357" s="175">
        <f t="shared" si="145"/>
        <v>5.1975000000000007</v>
      </c>
      <c r="Y357" s="176">
        <f t="shared" si="146"/>
        <v>0.47452229299363052</v>
      </c>
      <c r="Z357" s="184" t="e">
        <f t="shared" si="140"/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ht="15" customHeight="1" x14ac:dyDescent="0.25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 x14ac:dyDescent="0.25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3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ht="15" customHeight="1" x14ac:dyDescent="0.25">
      <c r="B360" s="316" t="s">
        <v>847</v>
      </c>
      <c r="C360" s="314"/>
      <c r="D360" s="109"/>
      <c r="E360" s="109"/>
      <c r="F360" s="109"/>
      <c r="G360" s="110"/>
      <c r="H360" s="110"/>
      <c r="I360" s="23"/>
      <c r="J360" s="23"/>
      <c r="K360" s="214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ht="15" customHeight="1" x14ac:dyDescent="0.25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t="shared" ref="G361:G364" si="149">H361*0.9</f>
        <v>4.9050000000000002</v>
      </c>
      <c r="H361" s="28">
        <v>5.45</v>
      </c>
      <c r="I361" s="28">
        <v>14.99</v>
      </c>
      <c r="J361" s="28">
        <v>14.99</v>
      </c>
      <c r="K361" s="118"/>
      <c r="L361" s="29">
        <f t="shared" ref="L361:L364" si="150">(J361/I361)-1</f>
        <v>0</v>
      </c>
      <c r="M361" s="160">
        <v>6.99</v>
      </c>
      <c r="N361" s="31">
        <f t="shared" si="147"/>
        <v>5.4522000000000004</v>
      </c>
      <c r="O361" s="31">
        <f t="shared" si="141"/>
        <v>7.788857142857144</v>
      </c>
      <c r="P361" s="31">
        <f t="shared" si="142"/>
        <v>4.9069800000000008</v>
      </c>
      <c r="R361" s="174"/>
      <c r="S361" s="174"/>
      <c r="T361" s="4"/>
      <c r="U361" s="175">
        <f>I361</f>
        <v>14.99</v>
      </c>
      <c r="V361" s="175"/>
      <c r="W361" s="175">
        <f>H361*1.05</f>
        <v>5.7225000000000001</v>
      </c>
      <c r="X361" s="175">
        <f t="shared" si="145"/>
        <v>5.1502500000000007</v>
      </c>
      <c r="Y361" s="176">
        <f t="shared" si="146"/>
        <v>0.61824549699799869</v>
      </c>
      <c r="Z361" s="184" t="e">
        <f t="shared" ref="Z361:Z367" si="15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ht="15" customHeight="1" x14ac:dyDescent="0.25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t="shared" si="149"/>
        <v>17.981999999999999</v>
      </c>
      <c r="H362" s="163">
        <v>19.98</v>
      </c>
      <c r="I362" s="163">
        <v>34.99</v>
      </c>
      <c r="J362" s="163">
        <v>39.99</v>
      </c>
      <c r="K362" s="223"/>
      <c r="L362" s="29">
        <f t="shared" si="150"/>
        <v>0.14289797084881384</v>
      </c>
      <c r="M362" s="38">
        <v>25.99</v>
      </c>
      <c r="N362" s="31">
        <f t="shared" si="147"/>
        <v>20.272199999999998</v>
      </c>
      <c r="O362" s="31">
        <f t="shared" si="141"/>
        <v>28.960285714285714</v>
      </c>
      <c r="P362" s="31">
        <f t="shared" si="142"/>
        <v>18.244979999999998</v>
      </c>
      <c r="R362" s="174"/>
      <c r="S362" s="174"/>
      <c r="T362" s="4"/>
      <c r="U362" s="175">
        <f>I362</f>
        <v>34.99</v>
      </c>
      <c r="V362" s="175"/>
      <c r="W362" s="175">
        <f>H362*1.05</f>
        <v>20.979000000000003</v>
      </c>
      <c r="X362" s="175">
        <f t="shared" si="145"/>
        <v>18.881100000000004</v>
      </c>
      <c r="Y362" s="176">
        <f t="shared" si="146"/>
        <v>0.40042869391254637</v>
      </c>
      <c r="Z362" s="184" t="e">
        <f t="shared" si="151"/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ht="15" customHeight="1" x14ac:dyDescent="0.25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t="shared" si="149"/>
        <v>34.011000000000003</v>
      </c>
      <c r="H363" s="163">
        <v>37.79</v>
      </c>
      <c r="I363" s="163">
        <v>69.989999999999995</v>
      </c>
      <c r="J363" s="163">
        <v>69.989999999999995</v>
      </c>
      <c r="K363" s="223"/>
      <c r="L363" s="29">
        <f t="shared" si="150"/>
        <v>0</v>
      </c>
      <c r="M363" s="38">
        <v>48.99</v>
      </c>
      <c r="N363" s="31">
        <f t="shared" si="147"/>
        <v>38.212200000000003</v>
      </c>
      <c r="O363" s="31">
        <f t="shared" si="141"/>
        <v>54.588857142857151</v>
      </c>
      <c r="P363" s="31">
        <f t="shared" si="142"/>
        <v>34.390980000000006</v>
      </c>
      <c r="R363" s="174"/>
      <c r="S363" s="174"/>
      <c r="T363" s="4"/>
      <c r="U363" s="175">
        <f>I363</f>
        <v>69.989999999999995</v>
      </c>
      <c r="V363" s="175"/>
      <c r="W363" s="175">
        <f>H363*1.05</f>
        <v>39.679499999999997</v>
      </c>
      <c r="X363" s="175">
        <f t="shared" si="145"/>
        <v>35.711549999999995</v>
      </c>
      <c r="Y363" s="176">
        <f t="shared" si="146"/>
        <v>0.43306900985855123</v>
      </c>
      <c r="Z363" s="184" t="e">
        <f t="shared" si="151"/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ht="15" customHeight="1" x14ac:dyDescent="0.25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t="shared" si="149"/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t="shared" si="150"/>
        <v>0</v>
      </c>
      <c r="M364" s="38">
        <v>73.989999999999995</v>
      </c>
      <c r="N364" s="31">
        <f t="shared" si="147"/>
        <v>57.712199999999996</v>
      </c>
      <c r="O364" s="31">
        <f t="shared" si="141"/>
        <v>82.445999999999998</v>
      </c>
      <c r="P364" s="31">
        <f t="shared" si="142"/>
        <v>51.940979999999996</v>
      </c>
      <c r="R364" s="174"/>
      <c r="S364" s="174"/>
      <c r="T364" s="4"/>
      <c r="U364" s="175">
        <f>I364</f>
        <v>119.99</v>
      </c>
      <c r="V364" s="175"/>
      <c r="W364" s="175">
        <f>H364*1.05</f>
        <v>60.102000000000004</v>
      </c>
      <c r="X364" s="175">
        <f t="shared" si="145"/>
        <v>54.091800000000006</v>
      </c>
      <c r="Y364" s="176">
        <f t="shared" si="146"/>
        <v>0.49910825902158507</v>
      </c>
      <c r="Z364" s="184" t="e">
        <f t="shared" si="151"/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ht="15" customHeight="1" x14ac:dyDescent="0.25">
      <c r="B365" s="165"/>
      <c r="C365" s="166"/>
      <c r="D365" s="165"/>
      <c r="E365" s="167"/>
      <c r="F365" s="167"/>
      <c r="G365" s="168"/>
      <c r="H365" s="168"/>
      <c r="I365" s="168"/>
      <c r="J365" s="168"/>
      <c r="K365" s="224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ht="15" customHeight="1" x14ac:dyDescent="0.25">
      <c r="B366" s="316" t="s">
        <v>852</v>
      </c>
      <c r="C366" s="314"/>
      <c r="D366" s="169"/>
      <c r="E366" s="169"/>
      <c r="F366" s="169"/>
      <c r="G366" s="170"/>
      <c r="H366" s="170"/>
      <c r="I366" s="171"/>
      <c r="J366" s="171"/>
      <c r="K366" s="225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ht="15" customHeight="1" x14ac:dyDescent="0.25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t="shared" ref="G367" si="152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t="shared" ref="L367" si="153">(J367/I367)-1</f>
        <v>0</v>
      </c>
      <c r="M367" s="38">
        <v>22.99</v>
      </c>
      <c r="N367" s="31">
        <f t="shared" si="147"/>
        <v>17.932199999999998</v>
      </c>
      <c r="O367" s="31">
        <f t="shared" ref="O367" si="154">N367/0.7</f>
        <v>25.617428571428569</v>
      </c>
      <c r="P367" s="31">
        <f t="shared" ref="P367" si="155">N367*0.9</f>
        <v>16.13898</v>
      </c>
      <c r="R367" s="174"/>
      <c r="S367" s="174"/>
      <c r="T367" s="4"/>
      <c r="U367" s="175">
        <f>I367</f>
        <v>34.99</v>
      </c>
      <c r="V367" s="175"/>
      <c r="W367" s="175">
        <f>H367*1.05</f>
        <v>18.354000000000003</v>
      </c>
      <c r="X367" s="175">
        <f t="shared" si="145"/>
        <v>16.518600000000003</v>
      </c>
      <c r="Y367" s="176">
        <f t="shared" si="146"/>
        <v>0.47545012860817371</v>
      </c>
      <c r="Z367" s="184" t="e">
        <f t="shared" si="151"/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honeticPr fontId="27" type="noConversion"/>
  <pageMargins left="0.7" right="0.7" top="0.75" bottom="0.75" header="0.3" footer="0.3"/>
  <pageSetup orientation="portrait" r:id="rId1"/>
  <ignoredErrors>
    <ignoredError sqref="W157" formula="1"/>
    <ignoredError sqref="B2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6_1_2025 Price Book</vt:lpstr>
      <vt:lpstr>Accessories &amp; Replacement Parts</vt:lpstr>
      <vt:lpstr>Skus 12 &amp; 5 increase</vt:lpstr>
      <vt:lpstr>ANCHOR_WS01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 Version">
    <vt:lpwstr>22.2</vt:lpwstr>
  </property>
</Properties>
</file>