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Relationship Id="r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4" lowestEdited="4" rupBuild="4506"/>
  <workbookPr codeName="ThisWorkbook" defaultThemeVersion="164011"/>
  <bookViews>
    <workbookView/>
  </bookViews>
  <sheets>
    <sheet name="SPR Header" sheetId="1" r:id="rId1"/>
    <sheet name="SPR Details" sheetId="2" r:id="rId2"/>
    <sheet name="TermsList" sheetId="3" r:id="rId3" state="hidden"/>
    <sheet name="ItemList" sheetId="4" r:id="rId4" state="hidden"/>
    <sheet name="LYSalesList" sheetId="5" r:id="rId5" state="hidden"/>
  </sheets>
  <calcPr fullPrecision="1" calcId="125725"/>
</workbook>
</file>

<file path=xl/sharedStrings.xml><?xml version="1.0" encoding="utf-8"?>
<sst xmlns="http://schemas.openxmlformats.org/spreadsheetml/2006/main" uniqueCount="1587" count="1861">
  <si>
    <t>PCF Request Template</t>
  </si>
  <si>
    <t>PCF Number</t>
  </si>
  <si>
    <t>To be assigned</t>
  </si>
  <si>
    <t>Status</t>
  </si>
  <si>
    <t>New request</t>
  </si>
  <si>
    <t>Customer Number</t>
  </si>
  <si>
    <t>Customer Name</t>
  </si>
  <si>
    <t>Buying Group</t>
  </si>
  <si>
    <t>Customer Terms</t>
  </si>
  <si>
    <t>Bill To Information</t>
  </si>
  <si>
    <t>Name</t>
  </si>
  <si>
    <t>Address 1</t>
  </si>
  <si>
    <t>Address 2</t>
  </si>
  <si>
    <t>City</t>
  </si>
  <si>
    <t>State</t>
  </si>
  <si>
    <t>Zip</t>
  </si>
  <si>
    <t>Effective Date</t>
  </si>
  <si>
    <t>Expiration Date</t>
  </si>
  <si>
    <t>PCF Type</t>
  </si>
  <si>
    <t>PCF Terms</t>
  </si>
  <si>
    <t>Rep Code</t>
  </si>
  <si>
    <t>Rep Agency</t>
  </si>
  <si>
    <t>Rep Email</t>
  </si>
  <si>
    <t xml:space="preserve">  40138</t>
  </si>
  <si>
    <t>BLISH-MIZE CO. (WHS)</t>
  </si>
  <si>
    <t>PO Box 249</t>
  </si>
  <si>
    <t>Atchison</t>
  </si>
  <si>
    <t>KS</t>
  </si>
  <si>
    <t>66002-0249</t>
  </si>
  <si>
    <t>GUL</t>
  </si>
  <si>
    <t>Deb Haake</t>
  </si>
  <si>
    <t>GULLIFORD SALES CO.</t>
  </si>
  <si>
    <t>dhaake@gullifordsales.com</t>
  </si>
  <si>
    <t>When you enter the item in column A, the Description, Book Price and Prior 12 month sales will be automatically filled in if known.</t>
  </si>
  <si>
    <t>Enter your Proposed Price in column B and any notes in column I.</t>
  </si>
  <si>
    <t>Item</t>
  </si>
  <si>
    <t>Proposed Price</t>
  </si>
  <si>
    <t>Description</t>
  </si>
  <si>
    <t>Previous PCF Price</t>
  </si>
  <si>
    <t>BOOK Price</t>
  </si>
  <si>
    <t>Units</t>
  </si>
  <si>
    <t>Dollars</t>
  </si>
  <si>
    <t>Notes</t>
  </si>
  <si>
    <t>Last 12 mo Sales</t>
  </si>
  <si>
    <t>G3000P</t>
  </si>
  <si>
    <t>21220XP</t>
  </si>
  <si>
    <t>21210XP</t>
  </si>
  <si>
    <t>26011XP</t>
  </si>
  <si>
    <t>1180</t>
  </si>
  <si>
    <t>31440</t>
  </si>
  <si>
    <t>31410</t>
  </si>
  <si>
    <t>26031XP</t>
  </si>
  <si>
    <t>29002</t>
  </si>
  <si>
    <t>26029</t>
  </si>
  <si>
    <t>20003</t>
  </si>
  <si>
    <t>20010</t>
  </si>
  <si>
    <t>27020</t>
  </si>
  <si>
    <t>16100</t>
  </si>
  <si>
    <t>16200</t>
  </si>
  <si>
    <t>27500</t>
  </si>
  <si>
    <t>1002</t>
  </si>
  <si>
    <t>25022</t>
  </si>
  <si>
    <t>1055</t>
  </si>
  <si>
    <t>30600</t>
  </si>
  <si>
    <t>63924</t>
  </si>
  <si>
    <t>63950</t>
  </si>
  <si>
    <t>63600</t>
  </si>
  <si>
    <t>25020</t>
  </si>
  <si>
    <t>27010</t>
  </si>
  <si>
    <t>10000</t>
  </si>
  <si>
    <t>63800</t>
  </si>
  <si>
    <t>20030</t>
  </si>
  <si>
    <t>60105</t>
  </si>
  <si>
    <t>61850</t>
  </si>
  <si>
    <t>20075</t>
  </si>
  <si>
    <t>60175</t>
  </si>
  <si>
    <t>21240XP</t>
  </si>
  <si>
    <t>2675E</t>
  </si>
  <si>
    <t>G2005P</t>
  </si>
  <si>
    <t>21250XP</t>
  </si>
  <si>
    <t>60100</t>
  </si>
  <si>
    <t>1999</t>
  </si>
  <si>
    <t>1979</t>
  </si>
  <si>
    <t>19099</t>
  </si>
  <si>
    <t>1380</t>
  </si>
  <si>
    <t>22049XP</t>
  </si>
  <si>
    <t>22170XP</t>
  </si>
  <si>
    <t>22180XP</t>
  </si>
  <si>
    <t>1280</t>
  </si>
  <si>
    <t>29001</t>
  </si>
  <si>
    <t>21230XP</t>
  </si>
  <si>
    <t>26021XP</t>
  </si>
  <si>
    <t>G1000P</t>
  </si>
  <si>
    <t>26010</t>
  </si>
  <si>
    <t>1253</t>
  </si>
  <si>
    <t>26030</t>
  </si>
  <si>
    <t>29003</t>
  </si>
  <si>
    <t>26020</t>
  </si>
  <si>
    <t>27019</t>
  </si>
  <si>
    <t>20002</t>
  </si>
  <si>
    <t>20000</t>
  </si>
  <si>
    <t>1000</t>
  </si>
  <si>
    <t>1009</t>
  </si>
  <si>
    <t>1003</t>
  </si>
  <si>
    <t>60124</t>
  </si>
  <si>
    <t>25010</t>
  </si>
  <si>
    <t>63863</t>
  </si>
  <si>
    <t>10031</t>
  </si>
  <si>
    <t>25012</t>
  </si>
  <si>
    <t>1105</t>
  </si>
  <si>
    <t>63900</t>
  </si>
  <si>
    <t>27030</t>
  </si>
  <si>
    <t>20020</t>
  </si>
  <si>
    <t>61800</t>
  </si>
  <si>
    <t>64800</t>
  </si>
  <si>
    <t>61900</t>
  </si>
  <si>
    <t>61950</t>
  </si>
  <si>
    <t>61813</t>
  </si>
  <si>
    <t>61808</t>
  </si>
  <si>
    <t>62000</t>
  </si>
  <si>
    <t>2014</t>
  </si>
  <si>
    <t>10800</t>
  </si>
  <si>
    <t>2802E</t>
  </si>
  <si>
    <t>2803E</t>
  </si>
  <si>
    <t>19049</t>
  </si>
  <si>
    <t>19249</t>
  </si>
  <si>
    <t>19149</t>
  </si>
  <si>
    <t>1949</t>
  </si>
  <si>
    <t>19069</t>
  </si>
  <si>
    <t>1449</t>
  </si>
  <si>
    <t>31420</t>
  </si>
  <si>
    <t>G2000P</t>
  </si>
  <si>
    <t>31430</t>
  </si>
  <si>
    <t>2553E</t>
  </si>
  <si>
    <t>26127</t>
  </si>
  <si>
    <t>1941</t>
  </si>
  <si>
    <t>1831</t>
  </si>
  <si>
    <t>22350XP</t>
  </si>
  <si>
    <t>10027</t>
  </si>
  <si>
    <t>2660E</t>
  </si>
  <si>
    <t>2659E</t>
  </si>
  <si>
    <t>22251XP</t>
  </si>
  <si>
    <t>22090XP</t>
  </si>
  <si>
    <t>22790XP</t>
  </si>
  <si>
    <t>21127XP</t>
  </si>
  <si>
    <t>22149XP</t>
  </si>
  <si>
    <t>1480</t>
  </si>
  <si>
    <t>1749</t>
  </si>
  <si>
    <t>1352</t>
  </si>
  <si>
    <t>41330</t>
  </si>
  <si>
    <t>22230XP</t>
  </si>
  <si>
    <t>2658E</t>
  </si>
  <si>
    <t>2609E</t>
  </si>
  <si>
    <t>2608E</t>
  </si>
  <si>
    <t>1054</t>
  </si>
  <si>
    <t>8900A</t>
  </si>
  <si>
    <t>4997</t>
  </si>
  <si>
    <t>81000A</t>
  </si>
  <si>
    <t>4996</t>
  </si>
  <si>
    <t>8701B</t>
  </si>
  <si>
    <t>8901A</t>
  </si>
  <si>
    <t>8001A</t>
  </si>
  <si>
    <t>8741A</t>
  </si>
  <si>
    <t>82400B</t>
  </si>
  <si>
    <t>8303C</t>
  </si>
  <si>
    <t>8003A</t>
  </si>
  <si>
    <t>82108B</t>
  </si>
  <si>
    <t>97501</t>
  </si>
  <si>
    <t>97080</t>
  </si>
  <si>
    <t>97700E</t>
  </si>
  <si>
    <t>97408E</t>
  </si>
  <si>
    <t>97701E</t>
  </si>
  <si>
    <t>97600E</t>
  </si>
  <si>
    <t>6428</t>
  </si>
  <si>
    <t>6-9126</t>
  </si>
  <si>
    <t>63819</t>
  </si>
  <si>
    <t>22240XP</t>
  </si>
  <si>
    <t>24019</t>
  </si>
  <si>
    <t>22360XP</t>
  </si>
  <si>
    <t>98660</t>
  </si>
  <si>
    <t>97661E</t>
  </si>
  <si>
    <t>6300</t>
  </si>
  <si>
    <t>10509</t>
  </si>
  <si>
    <t>24029</t>
  </si>
  <si>
    <t>75009</t>
  </si>
  <si>
    <t>67020</t>
  </si>
  <si>
    <t>97200E</t>
  </si>
  <si>
    <t>81008A</t>
  </si>
  <si>
    <t>97400E</t>
  </si>
  <si>
    <t>81009A</t>
  </si>
  <si>
    <t>8401C</t>
  </si>
  <si>
    <t>98042</t>
  </si>
  <si>
    <t>G362D</t>
  </si>
  <si>
    <t>G6015</t>
  </si>
  <si>
    <t>4676</t>
  </si>
  <si>
    <t>61806A</t>
  </si>
  <si>
    <t>G385</t>
  </si>
  <si>
    <t>G5502</t>
  </si>
  <si>
    <t>6-8061</t>
  </si>
  <si>
    <t>5002</t>
  </si>
  <si>
    <t>5010</t>
  </si>
  <si>
    <t>4702</t>
  </si>
  <si>
    <t>G390</t>
  </si>
  <si>
    <t>4710</t>
  </si>
  <si>
    <t>47999</t>
  </si>
  <si>
    <t>6-9089</t>
  </si>
  <si>
    <t>6-9088</t>
  </si>
  <si>
    <t>97500E</t>
  </si>
  <si>
    <t>4720</t>
  </si>
  <si>
    <t>10029</t>
  </si>
  <si>
    <t>G499</t>
  </si>
  <si>
    <t>6510</t>
  </si>
  <si>
    <t>4163</t>
  </si>
  <si>
    <t>8301C</t>
  </si>
  <si>
    <t>98440</t>
  </si>
  <si>
    <t>97301</t>
  </si>
  <si>
    <t>5000</t>
  </si>
  <si>
    <t>2610E</t>
  </si>
  <si>
    <t>1046</t>
  </si>
  <si>
    <t>4650</t>
  </si>
  <si>
    <t>84700A</t>
  </si>
  <si>
    <t>8740A</t>
  </si>
  <si>
    <t>8910A</t>
  </si>
  <si>
    <t>82500B</t>
  </si>
  <si>
    <t>82088B</t>
  </si>
  <si>
    <t>41011</t>
  </si>
  <si>
    <t>8000A</t>
  </si>
  <si>
    <t>82050C</t>
  </si>
  <si>
    <t>8620B</t>
  </si>
  <si>
    <t>97024</t>
  </si>
  <si>
    <t>1739</t>
  </si>
  <si>
    <t>97561</t>
  </si>
  <si>
    <t>6002</t>
  </si>
  <si>
    <t>6430</t>
  </si>
  <si>
    <t>97761E</t>
  </si>
  <si>
    <t>97361</t>
  </si>
  <si>
    <t>6-8060</t>
  </si>
  <si>
    <t>97100</t>
  </si>
  <si>
    <t>6429</t>
  </si>
  <si>
    <t>10009</t>
  </si>
  <si>
    <t>8200A</t>
  </si>
  <si>
    <t>8500B</t>
  </si>
  <si>
    <t>6324</t>
  </si>
  <si>
    <t>97402E</t>
  </si>
  <si>
    <t>97300E</t>
  </si>
  <si>
    <t>97650</t>
  </si>
  <si>
    <t>4675</t>
  </si>
  <si>
    <t>97902</t>
  </si>
  <si>
    <t>G362</t>
  </si>
  <si>
    <t>4674</t>
  </si>
  <si>
    <t>5001</t>
  </si>
  <si>
    <t>4630</t>
  </si>
  <si>
    <t>4640</t>
  </si>
  <si>
    <t>41012</t>
  </si>
  <si>
    <t>8705A</t>
  </si>
  <si>
    <t>4701</t>
  </si>
  <si>
    <t>8706A</t>
  </si>
  <si>
    <t>8201A</t>
  </si>
  <si>
    <t>8700A</t>
  </si>
  <si>
    <t>G405</t>
  </si>
  <si>
    <t>41013</t>
  </si>
  <si>
    <t>8400C</t>
  </si>
  <si>
    <t>99062</t>
  </si>
  <si>
    <t>78005</t>
  </si>
  <si>
    <t>4700</t>
  </si>
  <si>
    <t>Terms Code</t>
  </si>
  <si>
    <t>1% 10 / NET 30</t>
  </si>
  <si>
    <t>25</t>
  </si>
  <si>
    <t>1% 10 / NET 60</t>
  </si>
  <si>
    <t>256</t>
  </si>
  <si>
    <t>1% 10, NET 45</t>
  </si>
  <si>
    <t>45</t>
  </si>
  <si>
    <t>1% 15 / N30</t>
  </si>
  <si>
    <t>10</t>
  </si>
  <si>
    <t>1% 15 / N60</t>
  </si>
  <si>
    <t>09</t>
  </si>
  <si>
    <t>1% 20 / NET 30</t>
  </si>
  <si>
    <t>24</t>
  </si>
  <si>
    <t>1% 30 / N31</t>
  </si>
  <si>
    <t>131</t>
  </si>
  <si>
    <t>1% 30 / NET 60</t>
  </si>
  <si>
    <t>13</t>
  </si>
  <si>
    <t>1% 60 / NET61</t>
  </si>
  <si>
    <t>14</t>
  </si>
  <si>
    <t>1% 65 / NET66</t>
  </si>
  <si>
    <t>141</t>
  </si>
  <si>
    <t>2% 05/10/2025</t>
  </si>
  <si>
    <t>SP1</t>
  </si>
  <si>
    <t>2% 10 / NET 30</t>
  </si>
  <si>
    <t>61</t>
  </si>
  <si>
    <t>2% 10, NET 60</t>
  </si>
  <si>
    <t>47</t>
  </si>
  <si>
    <t>2% 10, NET 61</t>
  </si>
  <si>
    <t>49</t>
  </si>
  <si>
    <t>2% 15 / NET 45</t>
  </si>
  <si>
    <t>64</t>
  </si>
  <si>
    <t>2% 15 / Net 90</t>
  </si>
  <si>
    <t>215</t>
  </si>
  <si>
    <t>2% 15, NET 30</t>
  </si>
  <si>
    <t>27</t>
  </si>
  <si>
    <t>2% 15, NET 60</t>
  </si>
  <si>
    <t>42</t>
  </si>
  <si>
    <t>2% 15TH PRX</t>
  </si>
  <si>
    <t>17</t>
  </si>
  <si>
    <t>2% 15TH PRX +60</t>
  </si>
  <si>
    <t>12</t>
  </si>
  <si>
    <t>2% 15TH PRX, NET 60</t>
  </si>
  <si>
    <t>153</t>
  </si>
  <si>
    <t>2% 15TH PRX, PLUS 67</t>
  </si>
  <si>
    <t>162</t>
  </si>
  <si>
    <t>2% 180 DAYS</t>
  </si>
  <si>
    <t>36</t>
  </si>
  <si>
    <t>2% 30 / NET 31</t>
  </si>
  <si>
    <t>34</t>
  </si>
  <si>
    <t>2% 30, NET 45</t>
  </si>
  <si>
    <t>41</t>
  </si>
  <si>
    <t>2% 30, NET 60</t>
  </si>
  <si>
    <t>43</t>
  </si>
  <si>
    <t>2% 5, NET 30</t>
  </si>
  <si>
    <t>30</t>
  </si>
  <si>
    <t>2% 60 / NET 61</t>
  </si>
  <si>
    <t>8</t>
  </si>
  <si>
    <t>2% 60 / NET 90</t>
  </si>
  <si>
    <t>16</t>
  </si>
  <si>
    <t>2% 65 / NET 90</t>
  </si>
  <si>
    <t>65</t>
  </si>
  <si>
    <t>2% 90 / NET 91</t>
  </si>
  <si>
    <t>19</t>
  </si>
  <si>
    <t>CASH IN ADVANCE</t>
  </si>
  <si>
    <t>CIA</t>
  </si>
  <si>
    <t>CREDIT CARD</t>
  </si>
  <si>
    <t>CC</t>
  </si>
  <si>
    <t>NET 05/10/2025</t>
  </si>
  <si>
    <t>SP2</t>
  </si>
  <si>
    <t>NET 06/10/2025</t>
  </si>
  <si>
    <t>SP3</t>
  </si>
  <si>
    <t>NET 12/1/2024</t>
  </si>
  <si>
    <t>SEB</t>
  </si>
  <si>
    <t>NET 30 DAYS</t>
  </si>
  <si>
    <t>N30</t>
  </si>
  <si>
    <t>NET 45 DAYS</t>
  </si>
  <si>
    <t>N45</t>
  </si>
  <si>
    <t>NET 60 DAYS</t>
  </si>
  <si>
    <t>N60</t>
  </si>
  <si>
    <t>NET 65 DAYS</t>
  </si>
  <si>
    <t>N65</t>
  </si>
  <si>
    <t>NET 90 DAYS</t>
  </si>
  <si>
    <t>N90</t>
  </si>
  <si>
    <t>RECEIPT OF INV</t>
  </si>
  <si>
    <t>ROI</t>
  </si>
  <si>
    <t>EffectiveDate</t>
  </si>
  <si>
    <t>Book_Price</t>
  </si>
  <si>
    <t>SPR 1.5QT HAND CHAPIN (6PK)</t>
  </si>
  <si>
    <t>SPR 0.5G SURESPRAY CHAPIN</t>
  </si>
  <si>
    <t>SPR 1.5QT BL-NOZ VIT CHAPIN</t>
  </si>
  <si>
    <t>SPR 1.5QT MULTI-PUR CHAPIN (6PK)</t>
  </si>
  <si>
    <t>SPR 1.5QT ACETONE CHAPIN (6PK)</t>
  </si>
  <si>
    <t>SPR 1.5QT HYDROPONIC CHAPIN</t>
  </si>
  <si>
    <t>SPR 1.5QT FARM&amp;FIELD CHAPIN (6PK)</t>
  </si>
  <si>
    <t>SPR 2L MULTI-PUR CHAPIN (6PK)</t>
  </si>
  <si>
    <t>10035</t>
  </si>
  <si>
    <t>SPR 1.5QT MULTI-PUR CHAPIN NIT (6PK)</t>
  </si>
  <si>
    <t>SPR 1.5QT WALLPAPER CHAPIN (6PK)</t>
  </si>
  <si>
    <t>SPR 1.5QT CHAPIN VIT (6PK)</t>
  </si>
  <si>
    <t>SPR UP/DWN DISINF TRIG CHAPIN (12PK)</t>
  </si>
  <si>
    <t>SPR 1.5QT JAN/SAN FOAMER CHAPIN (6PK)</t>
  </si>
  <si>
    <t>SPR 32OZ CHAPIN POWER MISTER (12PK)</t>
  </si>
  <si>
    <t>SPR 1.5G 3POH CHAPIN SS PEST DPL</t>
  </si>
  <si>
    <t>SPR UP/DWN 32OZ MULTI-PUR CHAPIN</t>
  </si>
  <si>
    <t>SPR 1G 3POH PREM CHAPIN TPBL</t>
  </si>
  <si>
    <t>SPR 2G 3POH CHAPIN SSBL F/T</t>
  </si>
  <si>
    <t>SPR 2G 3POH PREM CHAPIN TPBL F/T</t>
  </si>
  <si>
    <t>SPR 3G CHAPIN IND TPB F/T</t>
  </si>
  <si>
    <t>SPR 3G 3POH PREM CHAPIN TPBL F/T</t>
  </si>
  <si>
    <t>SPR 3.5G CHAPIN IND TPB F/T</t>
  </si>
  <si>
    <t>SPR 3.5G OH CHAPIN PREM TPBL F/T</t>
  </si>
  <si>
    <t>SPR 1G OPP CHAPIN</t>
  </si>
  <si>
    <t>SPR 2G OPP CHAPIN</t>
  </si>
  <si>
    <t>SPR 2G 3POH CHAPIN SSB</t>
  </si>
  <si>
    <t>SPR 3G 3POH CHAPIN IND SSB</t>
  </si>
  <si>
    <t>SPR 3G 3POH CHAPIN TPBL</t>
  </si>
  <si>
    <t>SPR 3.5G 3POH CHAPIN TPR IND XTRM</t>
  </si>
  <si>
    <t>SPR 3.5G 3POH CHAPIN SS IND XTRM</t>
  </si>
  <si>
    <t>SPR 3.5G 3POH SS CHAPIN XTRM DPL</t>
  </si>
  <si>
    <t>SPR 3.5G 3POH CHAPIN TPR IND DPL</t>
  </si>
  <si>
    <t>SPR 3.5G 3POH CHAPIN TPR XTRM DPL</t>
  </si>
  <si>
    <t>SPR 3.5G 3POH CHAPIN TPBL</t>
  </si>
  <si>
    <t>SPR 3.5G 3POH TPR IND CHAPIN</t>
  </si>
  <si>
    <t>SPR 3.5G 3POH CHAPIN TPS IND</t>
  </si>
  <si>
    <t>SPR 3.5G 3POH CHAPIN TPS IND RV</t>
  </si>
  <si>
    <t>SPR 1G SURESPRAY CHAPIN LF/T</t>
  </si>
  <si>
    <t>SPR 2G SURESPRAY CHAPIN LF/T</t>
  </si>
  <si>
    <t>SPR 3G SURESPRAY CHAPIN LF/T</t>
  </si>
  <si>
    <t>SPR 1G SURESPRAY BLCH CHAPIN LF/T</t>
  </si>
  <si>
    <t>SPR 1G PROMO MOSQUITO CHAPIN F/T LDBH</t>
  </si>
  <si>
    <t>SPR 3G CHAPIN ACETONE PRO+ OH LDBH</t>
  </si>
  <si>
    <t>SPR 1G OH PREM PRO+ CHAPIN LDBH</t>
  </si>
  <si>
    <t>SPR 2G OH PRO+ CHAPIN LDBH</t>
  </si>
  <si>
    <t>SPR 3G OH PRO+ CHAPIN LDBH</t>
  </si>
  <si>
    <t>SPR 2G OH PRO+ CHAPIN FARM &amp; FIELD LDBH</t>
  </si>
  <si>
    <t>SPR 3G OH PRO+ CHAPIN FARM &amp; FIELD LDBH</t>
  </si>
  <si>
    <t>SPR 3G OH CHAPIN XTRM LDBH</t>
  </si>
  <si>
    <t>SPR 3G OH PRO+ CHAPIN IND LDBH</t>
  </si>
  <si>
    <t>SPR 3G OH PRO+ CHAPIN XTRM LDBH</t>
  </si>
  <si>
    <t>SPR 3G CHAPIN IND PRO+ OH</t>
  </si>
  <si>
    <t>SPR 3G CHAPIN IND PRO+ OH VIT</t>
  </si>
  <si>
    <t>SPR 1G CHAPIN ACID PRO+ OH LDBH</t>
  </si>
  <si>
    <t>SPR 2G CHAPIN ACID PRO+ OH LDBH</t>
  </si>
  <si>
    <t>SPR 2G CHAPIN ACID DPL OH PY LDBH</t>
  </si>
  <si>
    <t>SPR 2G XPOH C&amp;D PLB LDBH CHAPIN</t>
  </si>
  <si>
    <t>SPR 3G CHAPIN C&amp;D OH PRO+ LDBH</t>
  </si>
  <si>
    <t>SPR 3G CHAPIN IND OH PRO+ VIT</t>
  </si>
  <si>
    <t>SPR 1G PROMO BLCH CHAPIN F/T LDBH</t>
  </si>
  <si>
    <t>SPR 2G PROMO BLCH CHAPIN F/T LDBH</t>
  </si>
  <si>
    <t>SPR 1G SURESPRAY DECK CHAPIN LF/T</t>
  </si>
  <si>
    <t>SPR 2G SURESPRAY DECK CHAPIN LF/T</t>
  </si>
  <si>
    <t>SPR 2G SURESPRAY DECK THOMPSONS LF/T</t>
  </si>
  <si>
    <t>SPR 3G PROMO CHAPIN F/T VIT LDBH</t>
  </si>
  <si>
    <t>SPR 1G SURESPRAY DLX CHAPIN LF/T</t>
  </si>
  <si>
    <t>SPR 1G CHAPIN PRO PY OH LDBH</t>
  </si>
  <si>
    <t>SPR 2G SURESPRAY DLX CHAPIN LF/T</t>
  </si>
  <si>
    <t>SPR 2G CHAPIN PRO PY OH LDBH</t>
  </si>
  <si>
    <t>SPR 2G SURESPRAY SPECTRACIDE LF/T</t>
  </si>
  <si>
    <t>SPR 3G SURESPRAY DLX CHAPIN LF/T</t>
  </si>
  <si>
    <t>SPR 3G CHAPIN PRO+ OH PY LDBH</t>
  </si>
  <si>
    <t>SPR 1G PROMO CHAPIN F/T LDBH</t>
  </si>
  <si>
    <t>SPR 2G PROMO CHAPIN F/T LDBH</t>
  </si>
  <si>
    <t>SPR 3G PROMO CHAPIN F/T LDBH</t>
  </si>
  <si>
    <t>SPR 2G PROMO ACETON CHAPIN XP F/T LDBH</t>
  </si>
  <si>
    <t>SPR 1G PROMO JAN/SAN CHAPIN F/T LDBH</t>
  </si>
  <si>
    <t>SPR 2G PROMO JAN/SAN CHAPIN F/T LDBH</t>
  </si>
  <si>
    <t>SPR 3G PROMO JAN/SAN CHAPIN F/T LDBH</t>
  </si>
  <si>
    <t>SPR 1G PROMO PEST CHAPIN F/T LDBH</t>
  </si>
  <si>
    <t>SPR 1G SURESPRAY SELECT CHAPIN LF/T</t>
  </si>
  <si>
    <t>SPR 1G SURESPRAY SPECTRACIDE LF/T</t>
  </si>
  <si>
    <t>SPR 2G SURESPRAY SELECT CHAPIN LF/T</t>
  </si>
  <si>
    <t>SPR 3G SURESPRAY SELECT CHAPIN LF/T</t>
  </si>
  <si>
    <t>27061</t>
  </si>
  <si>
    <t>SPR 1G PROMO SPECTRACIDE UNIV F/T LDBH</t>
  </si>
  <si>
    <t>27062</t>
  </si>
  <si>
    <t>SPR 2G PROMO SPECTRACIDE UNIV F/T</t>
  </si>
  <si>
    <t>27063</t>
  </si>
  <si>
    <t>SPR 3G PROMO SPECTRACIDE UNIV F/T</t>
  </si>
  <si>
    <t>2748</t>
  </si>
  <si>
    <t>SPR 1.5QT HYDROPONIC MONTEREY</t>
  </si>
  <si>
    <t>SPR 2G ELEC 20V CHAPIN</t>
  </si>
  <si>
    <t>2772</t>
  </si>
  <si>
    <t>SPR 1G PROMO MONTEREY LDBH</t>
  </si>
  <si>
    <t>2773</t>
  </si>
  <si>
    <t>SPR 2G PROMO MONTEREY LDBH</t>
  </si>
  <si>
    <t>SPR 2G PROMO CHAPIN FARM &amp; FIELD LDBH</t>
  </si>
  <si>
    <t>SPR 3G PROMO CHAPIN FARM &amp; FIELD LDBH</t>
  </si>
  <si>
    <t>SPR 1G SURESPRAY S-N-S CHAPIN</t>
  </si>
  <si>
    <t>SPR 2G SURESPRAY S-N-S CHAPIN</t>
  </si>
  <si>
    <t>SPR 3G SURESPRAY S-N-S CHAPIN</t>
  </si>
  <si>
    <t>301567</t>
  </si>
  <si>
    <t>NOZ ASSY GRAY CONEJET</t>
  </si>
  <si>
    <t>SPR 2G F/T TPY CHAPIN DECK</t>
  </si>
  <si>
    <t>SPR 1G CHAPIN L&amp;G TPR  7221781</t>
  </si>
  <si>
    <t>SPR 2G CHAPIN L&amp;G TPR</t>
  </si>
  <si>
    <t>SPR 3G CHAPIN L&amp;G TPR 7221799</t>
  </si>
  <si>
    <t>SPR 2G CHAPIN SS F/T  7221807</t>
  </si>
  <si>
    <t>3-1825</t>
  </si>
  <si>
    <t>REPL PUMP BBL ASSY OH VIT</t>
  </si>
  <si>
    <t>3-1826</t>
  </si>
  <si>
    <t>REPL ROD ASSY PY OH</t>
  </si>
  <si>
    <t>3-1827</t>
  </si>
  <si>
    <t>REPL NOZ TEEJET W/FILTER 8005 TIP</t>
  </si>
  <si>
    <t>3-1851</t>
  </si>
  <si>
    <t>REPL PARTS KIT SLIDE PUMP (6002)</t>
  </si>
  <si>
    <t>3-1853</t>
  </si>
  <si>
    <t>REPL CHECK VALVE HAND SPR</t>
  </si>
  <si>
    <t>3-2077</t>
  </si>
  <si>
    <t>NOZ ASSY BR 3 DISC .26/.17/.54 GPM   OBS</t>
  </si>
  <si>
    <t>3-2435</t>
  </si>
  <si>
    <t>REPL CART ASSY</t>
  </si>
  <si>
    <t>3-3538</t>
  </si>
  <si>
    <t>REPL BAG ASSY PY PLUNGER CUP</t>
  </si>
  <si>
    <t>3-4314</t>
  </si>
  <si>
    <t>FOAMER NOZ ASSY - 2"</t>
  </si>
  <si>
    <t>3-4315</t>
  </si>
  <si>
    <t>FOAMER NOZ ASSY - 6"</t>
  </si>
  <si>
    <t>3-4618</t>
  </si>
  <si>
    <t>CRACK &amp; CREVICE TOOL NOZ - 6"</t>
  </si>
  <si>
    <t>3-4844</t>
  </si>
  <si>
    <t>NOZ ASST FAN 3 PC/FILTER W/HOLDER</t>
  </si>
  <si>
    <t>3-6002</t>
  </si>
  <si>
    <t>NOZ ASSY BR (PL THD) ADJ VIT</t>
  </si>
  <si>
    <t>3-6120-84</t>
  </si>
  <si>
    <t>REPL HOSE ASSY 6002 SLIDE SPR</t>
  </si>
  <si>
    <t>3-6145-54</t>
  </si>
  <si>
    <t>REPL HOSE ASSY (2-5079-54)</t>
  </si>
  <si>
    <t>3-7016</t>
  </si>
  <si>
    <t>REPL BBL ASSY 9" OH BR</t>
  </si>
  <si>
    <t>3-7019</t>
  </si>
  <si>
    <t>REPL BBL ASSY 12" OH BR</t>
  </si>
  <si>
    <t>3-7020-1</t>
  </si>
  <si>
    <t>REPL BBL ASSY 14" OH BR VIT</t>
  </si>
  <si>
    <t>3-7039</t>
  </si>
  <si>
    <t>REPL BBL ASSY 9" PY NIT</t>
  </si>
  <si>
    <t>3-7045</t>
  </si>
  <si>
    <t>REPL BBL ASSY 7" CF PY NIT</t>
  </si>
  <si>
    <t>3-7046</t>
  </si>
  <si>
    <t>REPL BBL ASSY 12" PY C/F NIT</t>
  </si>
  <si>
    <t>3-7046-1</t>
  </si>
  <si>
    <t>REPL BBL ASSY 12" CF VIT</t>
  </si>
  <si>
    <t>3-7060</t>
  </si>
  <si>
    <t>REPL BBL ASSY 9" CF PY PROMO NIT</t>
  </si>
  <si>
    <t>3-7060-1</t>
  </si>
  <si>
    <t>REPL BBL ASSY 9" CF PY PROMO W/ VIT</t>
  </si>
  <si>
    <t>3-7284-1</t>
  </si>
  <si>
    <t>REPL COVER ASSY VIT</t>
  </si>
  <si>
    <t>3-8835</t>
  </si>
  <si>
    <t>REPL ROD ASSY 9" PY BLK</t>
  </si>
  <si>
    <t>3-8986-1</t>
  </si>
  <si>
    <t>REPL ROD ASSY 14" 3P OH VIT</t>
  </si>
  <si>
    <t>3-8988-1</t>
  </si>
  <si>
    <t>REPL ROD ASSY 12" 3P OH VIT</t>
  </si>
  <si>
    <t>WATERTIMER CHAPIN S-ZN (RETAIL)</t>
  </si>
  <si>
    <t>WATERTIMER CHAPIN S-ZN DIG DIS (RETAIL)</t>
  </si>
  <si>
    <t>WATERTIMER CHAPIN D-ZN DIG DIS (RETAIL)</t>
  </si>
  <si>
    <t>41014</t>
  </si>
  <si>
    <t>WATERTIMER CHAPIN MAN SET (10PK)</t>
  </si>
  <si>
    <t>SPR 3G PROMO CHAPIN WATER SPLY T&amp;P</t>
  </si>
  <si>
    <t>SPR 3.5G 3POH CHAPIN TPR TANK &amp; PUMP</t>
  </si>
  <si>
    <t>ECONOMY HOSE NOZ (8PK)</t>
  </si>
  <si>
    <t>4633</t>
  </si>
  <si>
    <t>GARD HOSE CAST MTL PISTOL NOZ (12PK)</t>
  </si>
  <si>
    <t>4635</t>
  </si>
  <si>
    <t>GARD HOSE 7-PAT NOZ (8PK)</t>
  </si>
  <si>
    <t>7-WAY HOSE NOZ (8PK)</t>
  </si>
  <si>
    <t>7-WAY HOSE DLX NOZ (8PK)</t>
  </si>
  <si>
    <t>WATERING WAND 30" (6PK)</t>
  </si>
  <si>
    <t>WATERING WAND 18" (RETAIL 6PK)</t>
  </si>
  <si>
    <t>46758</t>
  </si>
  <si>
    <t>WATERING WAND 8-PAT 16" TFC (12PK)</t>
  </si>
  <si>
    <t>WATERING WAND 56" (RETAIL 6PK)</t>
  </si>
  <si>
    <t>46800</t>
  </si>
  <si>
    <t>GARD HOSE FLOOD BUBBLER MTL (6PK)</t>
  </si>
  <si>
    <t>46832</t>
  </si>
  <si>
    <t>GARD HOSE NOZ PLAS ADJ PISTOL (12PK)</t>
  </si>
  <si>
    <t>46834</t>
  </si>
  <si>
    <t>GARD HOSE NOZ PLAS 5-PAT (8PK)</t>
  </si>
  <si>
    <t>46836</t>
  </si>
  <si>
    <t>GARD HOSE NOZ MTL 5-PAT (10PK)</t>
  </si>
  <si>
    <t>46840</t>
  </si>
  <si>
    <t>GARD HOSE NOZ PLAS 9-PAT TFC (8PK)</t>
  </si>
  <si>
    <t>46842</t>
  </si>
  <si>
    <t>GARD HOSE NOZ MTL 10-PAT TFC (8PK)</t>
  </si>
  <si>
    <t>46846</t>
  </si>
  <si>
    <t>GARD HOSE NOZ MTL ADJ CONE TIP (10PK)</t>
  </si>
  <si>
    <t>46848</t>
  </si>
  <si>
    <t>GARD HOSE NOZ MTL 9-PAT (8PK)</t>
  </si>
  <si>
    <t>46850</t>
  </si>
  <si>
    <t>GARD HOSE NOZ POWER-SHOT TFC ZN (15PK)</t>
  </si>
  <si>
    <t>46852</t>
  </si>
  <si>
    <t>GARD HOSE NOZ 2" SWEEPER BR (12PK)</t>
  </si>
  <si>
    <t>46854</t>
  </si>
  <si>
    <t>GARD HOSE NOZ 4" TWIST BR (12PK)</t>
  </si>
  <si>
    <t>46856</t>
  </si>
  <si>
    <t>GARD HOSE NOZ 6" SWEEPER BR (6PK)</t>
  </si>
  <si>
    <t>4692</t>
  </si>
  <si>
    <t>HIGH TEMP HOSE NOZ (8PK)</t>
  </si>
  <si>
    <t>4694</t>
  </si>
  <si>
    <t>IND HIGH TEMP HOSE NOZ (8PK)</t>
  </si>
  <si>
    <t>4696</t>
  </si>
  <si>
    <t>FIREMAN'S HOSE NOZ (8PK)</t>
  </si>
  <si>
    <t>4698</t>
  </si>
  <si>
    <t>PISTOL GRIP FIRE HOSE NOZ (8PK)</t>
  </si>
  <si>
    <t>INJECTOR CHAPIN 16OZ SMALL</t>
  </si>
  <si>
    <t>INJECTOR CHAPIN 24OZ MEDIUM</t>
  </si>
  <si>
    <t>INJECTOR CHAPIN 32OZ LARGE</t>
  </si>
  <si>
    <t>SPR 1G VAR RATIO INJECTOR CHAPIN</t>
  </si>
  <si>
    <t>SPR 2G VAR RATIO INJECTOR CHAPIN</t>
  </si>
  <si>
    <t>WATERING CAN 2G BLK CHAPIN (8PK)</t>
  </si>
  <si>
    <t>4899</t>
  </si>
  <si>
    <t>SPRKLR HEAD REPL MTL PULSE (6PK)</t>
  </si>
  <si>
    <t>4971</t>
  </si>
  <si>
    <t>SPRKLR 360 ROTARY 3-ARM ADJ (12PK)</t>
  </si>
  <si>
    <t>4972</t>
  </si>
  <si>
    <t>SPRKLR HEAD MTL VANE (12PK)</t>
  </si>
  <si>
    <t>4981</t>
  </si>
  <si>
    <t>SPRKLR MTL IMPACT PLATFORM (6PK)</t>
  </si>
  <si>
    <t>4983</t>
  </si>
  <si>
    <t>SPRKLR MTL IMPACT WHEELED (6PK)</t>
  </si>
  <si>
    <t>4985</t>
  </si>
  <si>
    <t>SPRKLR MTL IMPACT T-POST SPOUT (6PK)</t>
  </si>
  <si>
    <t>4987</t>
  </si>
  <si>
    <t>SPRKLR MTL ROTARY WHEELED (6PK)</t>
  </si>
  <si>
    <t>4992</t>
  </si>
  <si>
    <t>SPRKLR MTL IMPACT + SPIKE (12PK)</t>
  </si>
  <si>
    <t>SPRKLR &amp; TRIPOD CHAPIN (RETAIL)</t>
  </si>
  <si>
    <t>SPRKLR OSCILLATING OPP (8PK)</t>
  </si>
  <si>
    <t>49971</t>
  </si>
  <si>
    <t>SPRKLR OSCILLATING 19-HOLE (6PK)</t>
  </si>
  <si>
    <t>4999</t>
  </si>
  <si>
    <t>SPRKLR MTL 8-PAT (12PK)</t>
  </si>
  <si>
    <t>49995</t>
  </si>
  <si>
    <t>SPRKLR MTL PULSE W/SPIKE (12PC)</t>
  </si>
  <si>
    <t>49997</t>
  </si>
  <si>
    <t>SPRKLR MTL PULSE ZN W/SPIKE (6PC)</t>
  </si>
  <si>
    <t>49999</t>
  </si>
  <si>
    <t>SPRKLR MTL LRG IMPACT W/SPIKE (4PK)</t>
  </si>
  <si>
    <t>SPR 16OZ CHAPIN ROSE DUSTER (6PK)</t>
  </si>
  <si>
    <t>SPR 16OZ CHAPIN ROSE MISTER (6PK)</t>
  </si>
  <si>
    <t>DUSTER 16OZ CHAPIN ROSE PLUS (6PK)</t>
  </si>
  <si>
    <t>5998</t>
  </si>
  <si>
    <t>HOSE REEL AUTO-RTRCT MTL NOZ (2PK)</t>
  </si>
  <si>
    <t>SPR SLIDE PUMP CHAPIN BR</t>
  </si>
  <si>
    <t>SPR 4G BKP OPP CHAPIN</t>
  </si>
  <si>
    <t>SPR 4G BKP VINEGAR CHAPIN</t>
  </si>
  <si>
    <t>SPR 4G BKP 20V INTERNAL BATT CHAPIN</t>
  </si>
  <si>
    <t>60127</t>
  </si>
  <si>
    <t>SPR 4G BKP MONTEREY</t>
  </si>
  <si>
    <t>SPR 4G BKP BLCH CHAPIN</t>
  </si>
  <si>
    <t>60227</t>
  </si>
  <si>
    <t>SPR 4G BKP INTERNAL BATT MONTEREY</t>
  </si>
  <si>
    <t>SPR 4G BKP CHAPIN</t>
  </si>
  <si>
    <t>6-1802</t>
  </si>
  <si>
    <t>REPL NOZ KIT 48OZ SPRS</t>
  </si>
  <si>
    <t>SPR 4G BKP GAME KEEPERS 7005</t>
  </si>
  <si>
    <t>SPR 4G BKP TURF CHAPIN</t>
  </si>
  <si>
    <t>SPR 4G BKP SPECTRACIDE</t>
  </si>
  <si>
    <t>6-1898</t>
  </si>
  <si>
    <t>REPL S/O 3-6072-7 W/BLISTER (6PK)</t>
  </si>
  <si>
    <t>SPR 4G BKP PRO CHAPIN</t>
  </si>
  <si>
    <t>6-1925</t>
  </si>
  <si>
    <t>REPL SEALS PROMO/RB KIT W/BLISTER</t>
  </si>
  <si>
    <t>6-1927</t>
  </si>
  <si>
    <t>REPL KIT SEAL/GASKET EPDM OH</t>
  </si>
  <si>
    <t>6-1928</t>
  </si>
  <si>
    <t>REPL ACETONE NOZ KIT</t>
  </si>
  <si>
    <t>6-1929</t>
  </si>
  <si>
    <t>REPL BR NOZ ACETONE SPR</t>
  </si>
  <si>
    <t>6-1945</t>
  </si>
  <si>
    <t>REPL KIT PY OH SPR VIT</t>
  </si>
  <si>
    <t>SPR 4G BKP TREE/TURF CHAPIN</t>
  </si>
  <si>
    <t>6-2000</t>
  </si>
  <si>
    <t>REPL S/O 3-6075 W/BLISTER RB2000</t>
  </si>
  <si>
    <t>6-2001</t>
  </si>
  <si>
    <t>REPL HOSE 1-5082-42 W/BLISTER RB2000</t>
  </si>
  <si>
    <t>6-2002</t>
  </si>
  <si>
    <t>REPL SEAL &amp; GASKET KIT RB2000</t>
  </si>
  <si>
    <t>6-2419</t>
  </si>
  <si>
    <t>REPL GASKET</t>
  </si>
  <si>
    <t>6-2420</t>
  </si>
  <si>
    <t>REPL GASKET VIT</t>
  </si>
  <si>
    <t>6-2421</t>
  </si>
  <si>
    <t>REPL O-RING KIT</t>
  </si>
  <si>
    <t>6-2445</t>
  </si>
  <si>
    <t>REPL OH CAP</t>
  </si>
  <si>
    <t>6-2446</t>
  </si>
  <si>
    <t>REPL O-RING</t>
  </si>
  <si>
    <t>6-2446-6</t>
  </si>
  <si>
    <t>REPL O-RING AFLAS (ACID)</t>
  </si>
  <si>
    <t>6-2521-4</t>
  </si>
  <si>
    <t>REPL O-RING PTFE  -347</t>
  </si>
  <si>
    <t>6-2531</t>
  </si>
  <si>
    <t>REPL O-RING VIT</t>
  </si>
  <si>
    <t>6-2541</t>
  </si>
  <si>
    <t>6-2619</t>
  </si>
  <si>
    <t>REPL KIT EXT CLIP</t>
  </si>
  <si>
    <t>SPR 6G 3POH CART SS CHAPIN</t>
  </si>
  <si>
    <t>6-3065</t>
  </si>
  <si>
    <t>REPL PROMO PUMP PLUG PY W/ HANGER</t>
  </si>
  <si>
    <t>SPD HAND SEEDER GAME KEEPERS (10PK)</t>
  </si>
  <si>
    <t>6-3322</t>
  </si>
  <si>
    <t>REPL OH CLAMP NUT</t>
  </si>
  <si>
    <t>6-3337</t>
  </si>
  <si>
    <t>REPL STRAP 1-3341</t>
  </si>
  <si>
    <t>6-3382</t>
  </si>
  <si>
    <t>REPL OH COVER GASKET</t>
  </si>
  <si>
    <t>SPR 4G BKP INTERNAL PUMP CHAPIN</t>
  </si>
  <si>
    <t>6-3632</t>
  </si>
  <si>
    <t>REPL FIBER GASKET 6PK</t>
  </si>
  <si>
    <t>SPR 4G BKP 6" CHAPIN</t>
  </si>
  <si>
    <t>SPR 4G BKP DISINFECTANT 6" CHAPIN</t>
  </si>
  <si>
    <t>SPR 4G BKP DUST-ABATE 24V CHAPIN</t>
  </si>
  <si>
    <t>SPR 4G BKP 6" POD CHAPIN</t>
  </si>
  <si>
    <t>SPR 4G BKP 24V BATT CHAPIN</t>
  </si>
  <si>
    <t>SPR 4G BKP MECH MOE CHAPIN</t>
  </si>
  <si>
    <t>63980</t>
  </si>
  <si>
    <t>SPR 4G BKP BATT B&amp;D</t>
  </si>
  <si>
    <t>63985</t>
  </si>
  <si>
    <t>SPR 4G BKP BATT B&amp;D CHAPIN</t>
  </si>
  <si>
    <t>6-4182</t>
  </si>
  <si>
    <t>REPL RETAINING RING</t>
  </si>
  <si>
    <t>BOOM 2-NOZ KIT CHAPIN</t>
  </si>
  <si>
    <t>BOOM - LESS 1-NOZ KIT ATV CHAPIN</t>
  </si>
  <si>
    <t>BOOM FRAME KIT ATV CHAPIN</t>
  </si>
  <si>
    <t>6-4324</t>
  </si>
  <si>
    <t>REPL CHECK VALVE VIT</t>
  </si>
  <si>
    <t>6-4324-2</t>
  </si>
  <si>
    <t>REPL CHECK VALVE EPDM</t>
  </si>
  <si>
    <t>6-4324-3</t>
  </si>
  <si>
    <t>REPL CHECK VALVE XTRM</t>
  </si>
  <si>
    <t>6-4324-6</t>
  </si>
  <si>
    <t>REPL CHECK VALVE ACID</t>
  </si>
  <si>
    <t>6-4566</t>
  </si>
  <si>
    <t>REPL KIT 4-POS NOZ 1-4566 W/BLISTER</t>
  </si>
  <si>
    <t>6-4601</t>
  </si>
  <si>
    <t>REPL OH XP VIT SEALS</t>
  </si>
  <si>
    <t>6-4602</t>
  </si>
  <si>
    <t>REPL ACID SEALS OPEN HEAD XP</t>
  </si>
  <si>
    <t>6-4603</t>
  </si>
  <si>
    <t>REPL SEALS XTRM OH XP</t>
  </si>
  <si>
    <t>6-4604</t>
  </si>
  <si>
    <t>REPL OPEN HEAD XP EPDM SEALS</t>
  </si>
  <si>
    <t>6-4605</t>
  </si>
  <si>
    <t>REPL VIT PRV OPEN HEAD XP</t>
  </si>
  <si>
    <t>6-4606</t>
  </si>
  <si>
    <t>REPL OPEN HEAD XP ACID PRV SEALS</t>
  </si>
  <si>
    <t>6-4607</t>
  </si>
  <si>
    <t>REPL PRV OPEN HEAD XP XTRM SEALS</t>
  </si>
  <si>
    <t>6-4608</t>
  </si>
  <si>
    <t>REPL EDPM PRV OPEN HEAD XP</t>
  </si>
  <si>
    <t>6-4609</t>
  </si>
  <si>
    <t>REPL PUMP ASSY UNIV VIT</t>
  </si>
  <si>
    <t>6-4610</t>
  </si>
  <si>
    <t>REPL PUMP ASSY ERGO UNIV VIT</t>
  </si>
  <si>
    <t>6-4611</t>
  </si>
  <si>
    <t>REPL 14" BARREL ASSY XTRM</t>
  </si>
  <si>
    <t>6-4612</t>
  </si>
  <si>
    <t>REPL KIT 14" PUMP/ROD ASSY XTRM</t>
  </si>
  <si>
    <t>6-4617</t>
  </si>
  <si>
    <t>REPL PUMP ASSY ERGO W/ VIT</t>
  </si>
  <si>
    <t>6-4618</t>
  </si>
  <si>
    <t>REPL PUMP ROD ASSY 3P OH</t>
  </si>
  <si>
    <t>6-4619</t>
  </si>
  <si>
    <t>REPL PUMP ASSY 8" VIT</t>
  </si>
  <si>
    <t>6-4620</t>
  </si>
  <si>
    <t>REPL PUMP/ROD 7" NIT D-HNDL</t>
  </si>
  <si>
    <t>6-4622</t>
  </si>
  <si>
    <t>REPL PUMP/ROD ASSY 12" NIT D</t>
  </si>
  <si>
    <t>6-4623</t>
  </si>
  <si>
    <t>REPL PUMP ASSY S-N-S</t>
  </si>
  <si>
    <t>6-4624</t>
  </si>
  <si>
    <t>REPL PUMP ASSY ERGO W/SPLASH GUARD VIT</t>
  </si>
  <si>
    <t>6-4624-2</t>
  </si>
  <si>
    <t>REPL PUMP ASSY ERGO W/SPLASH GUARD EPDM</t>
  </si>
  <si>
    <t>6-4625</t>
  </si>
  <si>
    <t>REPL S/O 3-6060-25</t>
  </si>
  <si>
    <t>6-4626</t>
  </si>
  <si>
    <t>REPL S/O 3-6065-4 BLISTER KIT</t>
  </si>
  <si>
    <t>6-4627</t>
  </si>
  <si>
    <t>REPL KIT OH/CF/PL W/BLISTER</t>
  </si>
  <si>
    <t>6-4629</t>
  </si>
  <si>
    <t>REPL KIT OH/PY/FT VIT W/BLISTER</t>
  </si>
  <si>
    <t>6-4631</t>
  </si>
  <si>
    <t>REPL NOZ 1-4567 W/RETAINER (6PK)</t>
  </si>
  <si>
    <t>6-4634</t>
  </si>
  <si>
    <t>REPL PUMP ASSY PRIME MTL HNDL VIT</t>
  </si>
  <si>
    <t>6-4634-3</t>
  </si>
  <si>
    <t>REPL PUMP ASSY PRIME MTL HNDL XTRM</t>
  </si>
  <si>
    <t>6-4634-6</t>
  </si>
  <si>
    <t>REPL PUMP ASSY PRIME MTL HNDL AFLAS</t>
  </si>
  <si>
    <t>6-4635</t>
  </si>
  <si>
    <t>REPL PUMP ASSY PRIME PY HNDL VIT</t>
  </si>
  <si>
    <t>6-4638</t>
  </si>
  <si>
    <t>REPL S/O 3-6065-1 W/BLISTER</t>
  </si>
  <si>
    <t>6-4641</t>
  </si>
  <si>
    <t>REPL GARD HOSE S/O W/ GRIP</t>
  </si>
  <si>
    <t>6-4642</t>
  </si>
  <si>
    <t>REPL PUMP ASSY UNIV VIT VALVE</t>
  </si>
  <si>
    <t>6-4642-2</t>
  </si>
  <si>
    <t>REPL PUMP ASSY UNIV EPDM</t>
  </si>
  <si>
    <t>6-4645</t>
  </si>
  <si>
    <t>REPL RELIEF VALVE 1-4990 W/BLISTER (6PK)</t>
  </si>
  <si>
    <t>6-4646</t>
  </si>
  <si>
    <t>REPL BAG ASSY OH XTRM</t>
  </si>
  <si>
    <t>6-4648</t>
  </si>
  <si>
    <t>REPL ADPTR BOTTLE TO S/O PL</t>
  </si>
  <si>
    <t>6-4649</t>
  </si>
  <si>
    <t>REPL HANGER TOOL PY LG</t>
  </si>
  <si>
    <t>6-4650</t>
  </si>
  <si>
    <t>REPL BR FAN NOZ .5GPM (M) 80 DEG</t>
  </si>
  <si>
    <t>6-4651</t>
  </si>
  <si>
    <t>REPL TEASPOON ORFICE SCREW</t>
  </si>
  <si>
    <t>6-4652</t>
  </si>
  <si>
    <t>REPL ANTI SIPHON ASSY</t>
  </si>
  <si>
    <t>6-4653</t>
  </si>
  <si>
    <t>REPL TANK ADPTR GASKET</t>
  </si>
  <si>
    <t>6-4654</t>
  </si>
  <si>
    <t>REPL DEFLECTOR</t>
  </si>
  <si>
    <t>6-4655</t>
  </si>
  <si>
    <t>REPL MTL SPRAY HNDL</t>
  </si>
  <si>
    <t>6-4656</t>
  </si>
  <si>
    <t>REPL NOZ ASSY BR FAN CAP/ PY BODY GRAY</t>
  </si>
  <si>
    <t>6-4703</t>
  </si>
  <si>
    <t>REPL BR FAN NOZ .4GPM 80 DEG</t>
  </si>
  <si>
    <t>6-4707</t>
  </si>
  <si>
    <t>REPL BR FAN NOZ .1GPM 80 DEG</t>
  </si>
  <si>
    <t>SPR 4G BKP DPHM CHAPIN</t>
  </si>
  <si>
    <t>6-4824</t>
  </si>
  <si>
    <t>REPL NOZ ASST GEN PURP W/BLISTER</t>
  </si>
  <si>
    <t>SPR 15G ATV SPOT GAME KEEPERS</t>
  </si>
  <si>
    <t>6-5327</t>
  </si>
  <si>
    <t>REPL NOZ ASSY 3-6003-6 ACID W/BLISTER</t>
  </si>
  <si>
    <t>6-5351</t>
  </si>
  <si>
    <t>REPL KIT SNG SEALS W/BLISTER</t>
  </si>
  <si>
    <t>6-5353</t>
  </si>
  <si>
    <t>REPL SNG SHIELD</t>
  </si>
  <si>
    <t>6-5354</t>
  </si>
  <si>
    <t>REPL HOSE 34" CLEAR BLISTER</t>
  </si>
  <si>
    <t>6-5364</t>
  </si>
  <si>
    <t>REPL 4OZ MEASURING CUP</t>
  </si>
  <si>
    <t>6-5368</t>
  </si>
  <si>
    <t>REPL KIT PRO+ &amp; PRO SERIES SEALS</t>
  </si>
  <si>
    <t>6-5369</t>
  </si>
  <si>
    <t>REPL PRV ACID STAIN PUMP</t>
  </si>
  <si>
    <t>6-5370</t>
  </si>
  <si>
    <t>REPL ACID STAINING EXT TUBE ASSY</t>
  </si>
  <si>
    <t>6-5371</t>
  </si>
  <si>
    <t>REPL S/O 3-6080-24ACID STAINING</t>
  </si>
  <si>
    <t>6-5372</t>
  </si>
  <si>
    <t>REPL KIT PY ADJ NOZ ACID STAINING</t>
  </si>
  <si>
    <t>6-5374</t>
  </si>
  <si>
    <t>REPL RELIEF VALVE ACID STAINING KIT</t>
  </si>
  <si>
    <t>6-5378</t>
  </si>
  <si>
    <t>REPL KIT XTRM CONVERSION W/BLISTER</t>
  </si>
  <si>
    <t>6-5379</t>
  </si>
  <si>
    <t>REPL NOZ 3PC W/RTNR KIT</t>
  </si>
  <si>
    <t>6-5380</t>
  </si>
  <si>
    <t>REPL S/O 301219 XTRM</t>
  </si>
  <si>
    <t>6-5383</t>
  </si>
  <si>
    <t>REPL RELIEF VALVE KIT PRO+ W/ BLISTER</t>
  </si>
  <si>
    <t>6-5384</t>
  </si>
  <si>
    <t>REPL KIT SEAL C&amp;D ACID STAIN PUMP</t>
  </si>
  <si>
    <t>6-5385</t>
  </si>
  <si>
    <t>REPL SPRAY SHIELD SURESPRAY</t>
  </si>
  <si>
    <t>6-5387</t>
  </si>
  <si>
    <t>REPL PRO &amp; PRO+ SERIES SEALS</t>
  </si>
  <si>
    <t>6-5580</t>
  </si>
  <si>
    <t>REPL KIT D-HNDL</t>
  </si>
  <si>
    <t>6-5581</t>
  </si>
  <si>
    <t>REPL D-HNDL</t>
  </si>
  <si>
    <t>6-5587</t>
  </si>
  <si>
    <t>REPL KIT PUMP HDW</t>
  </si>
  <si>
    <t>6-5599</t>
  </si>
  <si>
    <t>REPL (M) HEX ADPTR</t>
  </si>
  <si>
    <t>6-5671</t>
  </si>
  <si>
    <t>REPL BR FAN NOZ .6GPM (F)</t>
  </si>
  <si>
    <t>6-5796</t>
  </si>
  <si>
    <t>REPL NOZ MULTI SPRAY BR</t>
  </si>
  <si>
    <t>6-5797</t>
  </si>
  <si>
    <t>REPL NOZ BR 1-5941 W/BLISTER (6PK)</t>
  </si>
  <si>
    <t>6-5798</t>
  </si>
  <si>
    <t>REPL NOZ PY/BR 301272-1 W/BLISTER (6PK)</t>
  </si>
  <si>
    <t>6-5859</t>
  </si>
  <si>
    <t>REPL OUTLET TUBE ASSY W/ VIT O-RING</t>
  </si>
  <si>
    <t>6-5859-3</t>
  </si>
  <si>
    <t>REPL OUTLET TUBE ASSY W/ XTRM O-RING</t>
  </si>
  <si>
    <t>6-5915</t>
  </si>
  <si>
    <t>REPL NOZ BR FAN .10GPM (F) 80 DEG</t>
  </si>
  <si>
    <t>6-5916</t>
  </si>
  <si>
    <t>REPL NOZ BR FAN .10GPM (M) 80 DEG</t>
  </si>
  <si>
    <t>6-5933</t>
  </si>
  <si>
    <t>REPL NOZ BR FAN .20GPM</t>
  </si>
  <si>
    <t>6-5934</t>
  </si>
  <si>
    <t>REPL NOZ BR FAN .2GPM (M) 80 DEG</t>
  </si>
  <si>
    <t>6-5935</t>
  </si>
  <si>
    <t>REPL NOZ BR FAN 1GPM 110 DEG</t>
  </si>
  <si>
    <t>6-5937</t>
  </si>
  <si>
    <t>REPL NOZ BR FAN .3GPM (M) 80 DEG</t>
  </si>
  <si>
    <t>6-5939</t>
  </si>
  <si>
    <t>REPL NOZ BR 1-5939 W/HANGER BAG</t>
  </si>
  <si>
    <t>6-5940</t>
  </si>
  <si>
    <t>REPL NOZ BR FAN .5GPM</t>
  </si>
  <si>
    <t>6-5943</t>
  </si>
  <si>
    <t>REPL NOZ BR 1-5943 W/BLISTER</t>
  </si>
  <si>
    <t>6-6000</t>
  </si>
  <si>
    <t>REPL BR NOZ 3-6000 W/BLISTER (6PK)</t>
  </si>
  <si>
    <t>6-6001</t>
  </si>
  <si>
    <t>REPL NOZ ASSY - BR FAN VIT</t>
  </si>
  <si>
    <t>6-6002</t>
  </si>
  <si>
    <t>REPL NOZ BR 3-6002 W/BLISTER (6PK)</t>
  </si>
  <si>
    <t>6-6003</t>
  </si>
  <si>
    <t>REPL NOZ PY 3-6003 W/BLISTER (6PK)</t>
  </si>
  <si>
    <t>6-6004</t>
  </si>
  <si>
    <t>REPL FOAMER NOZ KIT</t>
  </si>
  <si>
    <t>6-6006</t>
  </si>
  <si>
    <t>REPL FINE MIST NOZ 3-6006</t>
  </si>
  <si>
    <t>6-6062</t>
  </si>
  <si>
    <t>REPL S/O 3-6062-7CH W/BLISTER (6PK)</t>
  </si>
  <si>
    <t>6-6091</t>
  </si>
  <si>
    <t>REPL KIT HOSE 3-6091-48 W/BLISTER</t>
  </si>
  <si>
    <t>6-6092</t>
  </si>
  <si>
    <t>REPL HOSE IND 48" HEAVY DUTY</t>
  </si>
  <si>
    <t>6-6093</t>
  </si>
  <si>
    <t>REPL 48" HOSE BLK XTRM LDBH KIT</t>
  </si>
  <si>
    <t>6-6100</t>
  </si>
  <si>
    <t>REPL FORM OIL EXT KIT</t>
  </si>
  <si>
    <t>6-6136</t>
  </si>
  <si>
    <t>REPL KIT HOSE 42" W/BLISTER</t>
  </si>
  <si>
    <t>6-6141</t>
  </si>
  <si>
    <t>REPL HOSE 48" BROWN LDBH W/BLISTER</t>
  </si>
  <si>
    <t>6-6142</t>
  </si>
  <si>
    <t>REPL HOSE 10' DUST ABATEMENT WATER SUP</t>
  </si>
  <si>
    <t>6-7006-3</t>
  </si>
  <si>
    <t>REPL 14" BR BBL ASSY VIT</t>
  </si>
  <si>
    <t>6-7006-5</t>
  </si>
  <si>
    <t>REPL 12" BR BBL ASSY VIT</t>
  </si>
  <si>
    <t>SPR 2G SURESPRAY GAME KEEPERS LF/T</t>
  </si>
  <si>
    <t>6-7280</t>
  </si>
  <si>
    <t>REPL COVER ASSY 3P OH</t>
  </si>
  <si>
    <t>6-7331-1</t>
  </si>
  <si>
    <t>REPL KIT 12" PUMP/ROD ASSY VIT</t>
  </si>
  <si>
    <t>6-7350-12</t>
  </si>
  <si>
    <t>REPL PUMP ASSY 12" BR VIT</t>
  </si>
  <si>
    <t>6-7534-1</t>
  </si>
  <si>
    <t>REPL KIT 9" PUMP ROD</t>
  </si>
  <si>
    <t>6-7535-1</t>
  </si>
  <si>
    <t>REPL KIT 12" PUMP/ROD ASSY OH VIT</t>
  </si>
  <si>
    <t>6-7536-1</t>
  </si>
  <si>
    <t>REPL KIT 14" PUMP/ROD ASSY OH VIT</t>
  </si>
  <si>
    <t>6-7537-1</t>
  </si>
  <si>
    <t>6-7548</t>
  </si>
  <si>
    <t>REPL PUMP ASSY RB NIT</t>
  </si>
  <si>
    <t>6-7701</t>
  </si>
  <si>
    <t>REPL KIT EXT TUBE 3-7701 W/BLISTER</t>
  </si>
  <si>
    <t>6-7703</t>
  </si>
  <si>
    <t>REPL EXT TUBE 3-7762 CURVED O-RING</t>
  </si>
  <si>
    <t>6-7704</t>
  </si>
  <si>
    <t>REPL KIT EXT TUBE 3-7704 W/BLISTER</t>
  </si>
  <si>
    <t>6-7705</t>
  </si>
  <si>
    <t>REPL EXT TUBE 3-7762-3 CURVED O-RING</t>
  </si>
  <si>
    <t>6-7711</t>
  </si>
  <si>
    <t>REPL EXT TUBE 3-7761 W/BLISTER</t>
  </si>
  <si>
    <t>6-7713</t>
  </si>
  <si>
    <t>REPL KIT EXT TUBE 36" CURVED BR WAND</t>
  </si>
  <si>
    <t>6-7720</t>
  </si>
  <si>
    <t>REPL KIT EXT WAND 24" BR STR</t>
  </si>
  <si>
    <t>6-7726</t>
  </si>
  <si>
    <t>REPL KIT EXT WAND 18" BR STR</t>
  </si>
  <si>
    <t>6-7734</t>
  </si>
  <si>
    <t>REPL EXT TUBE 3-7734 CURVED O-RING</t>
  </si>
  <si>
    <t>6-7742</t>
  </si>
  <si>
    <t>REPL KIT EXT TUBE 3-7742 W/BLISTER</t>
  </si>
  <si>
    <t>6-7745</t>
  </si>
  <si>
    <t>REPL OUTLET TUBE ASSY W/FILTER 3.5G</t>
  </si>
  <si>
    <t>6-7748</t>
  </si>
  <si>
    <t>REPL KIT EXT TUBE 301140-1 W/BLISTER</t>
  </si>
  <si>
    <t>6-7749</t>
  </si>
  <si>
    <t>REPL KIT EXT TUBE 301141-1 W/BLISTER</t>
  </si>
  <si>
    <t>6-7750</t>
  </si>
  <si>
    <t>REPL EPDM EXT TUBE 301141-2</t>
  </si>
  <si>
    <t>6-7755</t>
  </si>
  <si>
    <t>REPL KIT EXT TUBE 3-7755-12 W/BLISTER</t>
  </si>
  <si>
    <t>6-7756</t>
  </si>
  <si>
    <t>REPL KIT EXT TUBE 3-7755-16 W/BLISTER</t>
  </si>
  <si>
    <t>6-7770</t>
  </si>
  <si>
    <t>REPL TELESCOPING EXT 3-7770 W/BLISTER</t>
  </si>
  <si>
    <t>6-7771</t>
  </si>
  <si>
    <t>REPL 1M PY WAND ASSY CHAPIN</t>
  </si>
  <si>
    <t>6-7772</t>
  </si>
  <si>
    <t>REPL 1M CHROME WAND ASSY CHAPIN</t>
  </si>
  <si>
    <t>6-7773</t>
  </si>
  <si>
    <t>REPL SPOT SHIELD 80 DEG KIT</t>
  </si>
  <si>
    <t>6-7780</t>
  </si>
  <si>
    <t>REPL 2 NOZ BOOM ASSY</t>
  </si>
  <si>
    <t>6-7781</t>
  </si>
  <si>
    <t>REPL 3 NOZ BOOM ASSY</t>
  </si>
  <si>
    <t>6-7782</t>
  </si>
  <si>
    <t>REPL 4 NOZ BOOM ASSY</t>
  </si>
  <si>
    <t>6-7783</t>
  </si>
  <si>
    <t>REPL BOOM BRACKET SUPPORT</t>
  </si>
  <si>
    <t>REPL CHAPIN 1.3G MOE CHEM TANK KIT</t>
  </si>
  <si>
    <t>REPL CHAPIN 2G CHEM TANK MOE KIT</t>
  </si>
  <si>
    <t>6-8063</t>
  </si>
  <si>
    <t>REPL CHAPIN MECH MOE CHEM TANK ASSY</t>
  </si>
  <si>
    <t>6-8093</t>
  </si>
  <si>
    <t>REPL PY ADJ NOZ BPK</t>
  </si>
  <si>
    <t>6-8096</t>
  </si>
  <si>
    <t>REPL FLAT FAN SPRAY JET NOZ</t>
  </si>
  <si>
    <t>6-8105</t>
  </si>
  <si>
    <t>REPL HOSE 48" BPK KIT</t>
  </si>
  <si>
    <t>6-8109</t>
  </si>
  <si>
    <t>REPL ADPTR W/HANGER BAG</t>
  </si>
  <si>
    <t>6-8111</t>
  </si>
  <si>
    <t>REPL RETAINING NUT BPK HOSE</t>
  </si>
  <si>
    <t>6-8112B</t>
  </si>
  <si>
    <t>REPL RETAINING NUT W/HANGER BAG</t>
  </si>
  <si>
    <t>6-8115</t>
  </si>
  <si>
    <t>REPL O-RING W/ HANGER BAG</t>
  </si>
  <si>
    <t>6-8116</t>
  </si>
  <si>
    <t>REPL O-RING W/HANGER BAG</t>
  </si>
  <si>
    <t>6-8120B</t>
  </si>
  <si>
    <t>REPL S/O BPK VALVE KIT</t>
  </si>
  <si>
    <t>6-8122</t>
  </si>
  <si>
    <t>REPL BR ADJ NOZ BKP</t>
  </si>
  <si>
    <t>6-8130</t>
  </si>
  <si>
    <t>REPL HOSE 48" W/BLISTER 7221831 KIT</t>
  </si>
  <si>
    <t>6-8131</t>
  </si>
  <si>
    <t>REPL NOZ 301478 W/BLISTER 7221856 (6PK)</t>
  </si>
  <si>
    <t>6-8132</t>
  </si>
  <si>
    <t>REPL KIT SEAL ERGO/BPK W/BLISTER 7221872</t>
  </si>
  <si>
    <t>6-8133</t>
  </si>
  <si>
    <t>REPL WAND ASSY 302032 W/BLISTER 7221815</t>
  </si>
  <si>
    <t>6-8134</t>
  </si>
  <si>
    <t>REPL PISTON COLLAR 49MM KIT</t>
  </si>
  <si>
    <t>6-8135</t>
  </si>
  <si>
    <t>REPL DRIPLESS S/O &amp; WAND IND XTRM 19"</t>
  </si>
  <si>
    <t>6-8136</t>
  </si>
  <si>
    <t>REPL XTRM DPL VALVE SEAT ASSY</t>
  </si>
  <si>
    <t>6-8137</t>
  </si>
  <si>
    <t>REPL CARRYING STRAP BPK</t>
  </si>
  <si>
    <t>6-8137-1</t>
  </si>
  <si>
    <t>REPL CARRYING STRAP THICK PAD BPK</t>
  </si>
  <si>
    <t>6-8138</t>
  </si>
  <si>
    <t>REPL S/O (7221823) CHAPIN</t>
  </si>
  <si>
    <t>6-8140</t>
  </si>
  <si>
    <t>REPL PY FAN NOZ ASSY 61700</t>
  </si>
  <si>
    <t>6-8141</t>
  </si>
  <si>
    <t>REPL BPK PY WAND NIT</t>
  </si>
  <si>
    <t>6-8146</t>
  </si>
  <si>
    <t>REPL FILTER BASKET &amp; CAP ASSY 4" BPK</t>
  </si>
  <si>
    <t>6-8146-1</t>
  </si>
  <si>
    <t>REPL FILTER BASKET &amp; CAP ASSY 6" BPK</t>
  </si>
  <si>
    <t>6-8146-2</t>
  </si>
  <si>
    <t>REPL FILTER BASKET &amp; CAP ASSY 5.25" BPK</t>
  </si>
  <si>
    <t>6-8148</t>
  </si>
  <si>
    <t>REPL ELBOW KIT 61800</t>
  </si>
  <si>
    <t>6-8149</t>
  </si>
  <si>
    <t>REPL BR WAND ASSY BPK</t>
  </si>
  <si>
    <t>6-8150</t>
  </si>
  <si>
    <t>REPL VERTICAL WAND CLIP STOW-AWAY HNDL</t>
  </si>
  <si>
    <t>6-8151</t>
  </si>
  <si>
    <t>REPL PRESSURE REGULATOR BPK</t>
  </si>
  <si>
    <t>6-8152</t>
  </si>
  <si>
    <t>REPL BPK PY WAND CLIPS</t>
  </si>
  <si>
    <t>6-8153</t>
  </si>
  <si>
    <t>REPL DISCHG O-RING KIT BPK VIT</t>
  </si>
  <si>
    <t>6-8156</t>
  </si>
  <si>
    <t>REPL RELIEF VALVE W HANGER BAG</t>
  </si>
  <si>
    <t>6-8169</t>
  </si>
  <si>
    <t>REPL REMOVABLE FILTERS BPK</t>
  </si>
  <si>
    <t>6-8173</t>
  </si>
  <si>
    <t>REPL 520MM CHROME WAND ASSY CHAPIN</t>
  </si>
  <si>
    <t>6-8175</t>
  </si>
  <si>
    <t>REPL S/O ASSY PY W/GUAGE</t>
  </si>
  <si>
    <t>6-8177</t>
  </si>
  <si>
    <t>REPL PRESSURE GAUGE BKP S/O</t>
  </si>
  <si>
    <t>6-8178</t>
  </si>
  <si>
    <t>REPL 49MM PISTON CYLINDER ASSY</t>
  </si>
  <si>
    <t>6-8179</t>
  </si>
  <si>
    <t>REPL 49MM PISTON ASSY</t>
  </si>
  <si>
    <t>6-8180</t>
  </si>
  <si>
    <t>REPL PISTON REPAIR KIT 49MM</t>
  </si>
  <si>
    <t>6-8181</t>
  </si>
  <si>
    <t>REPL DELUX STRAP ASSY BPK</t>
  </si>
  <si>
    <t>6-8182</t>
  </si>
  <si>
    <t>REPL DELUX STRAP ASSY W/BACKPAD</t>
  </si>
  <si>
    <t>6-8183</t>
  </si>
  <si>
    <t>REPL DPHM PUMP ASSY W/LEVER</t>
  </si>
  <si>
    <t>6-8189</t>
  </si>
  <si>
    <t>REPL WAND CLIPS 61900,62000 (SET 2)</t>
  </si>
  <si>
    <t>6-8193</t>
  </si>
  <si>
    <t>REPL 3/4.5G PUMP HNDL &amp; CLIPS</t>
  </si>
  <si>
    <t>6-8197</t>
  </si>
  <si>
    <t>REPL EURO BPK PUMP SEAL KIT</t>
  </si>
  <si>
    <t>6-8202</t>
  </si>
  <si>
    <t>REPL BPK HOSE ASSY KIT</t>
  </si>
  <si>
    <t>6-8206</t>
  </si>
  <si>
    <t>REPL EURO SHOULDER STRAPS DOUBLE THICK</t>
  </si>
  <si>
    <t>6-8207</t>
  </si>
  <si>
    <t>REPL EURO FILTER BASKET AND CAP ASSY</t>
  </si>
  <si>
    <t>6-8208</t>
  </si>
  <si>
    <t>REPL 4G PRESS CHAMBER EURO BPK PRV</t>
  </si>
  <si>
    <t>6-8209</t>
  </si>
  <si>
    <t>REPL EURO BPK LINK ARM 4G</t>
  </si>
  <si>
    <t>6-8210</t>
  </si>
  <si>
    <t>REPL EURO PUMP SEAL KIT VIT</t>
  </si>
  <si>
    <t>6-8212</t>
  </si>
  <si>
    <t>REPL EURO BPK SEAL KIT</t>
  </si>
  <si>
    <t>6-8213</t>
  </si>
  <si>
    <t>REPL EURO BPK VALVE CARTRIDGE 61500</t>
  </si>
  <si>
    <t>6-8214</t>
  </si>
  <si>
    <t>REPL EU BPK VALVE CARTRIDGE BLCH</t>
  </si>
  <si>
    <t>6-8215</t>
  </si>
  <si>
    <t>REPL EURO BPK BLCH PUMP SEAL KIT</t>
  </si>
  <si>
    <t>6-8216</t>
  </si>
  <si>
    <t>REPL EU BPK PISTON CYLINDER KIT</t>
  </si>
  <si>
    <t>6-8217</t>
  </si>
  <si>
    <t>REPL S/O VALVE BLCH BPK KIT</t>
  </si>
  <si>
    <t>6-8218</t>
  </si>
  <si>
    <t>REPL S/O BPK BLCH W/GRIP</t>
  </si>
  <si>
    <t>6-8219</t>
  </si>
  <si>
    <t>REPL EXT WAND PY BKP OM</t>
  </si>
  <si>
    <t>6-8223</t>
  </si>
  <si>
    <t>REPL 4G EURO BPK PRESSURE CHAMBER GEN2</t>
  </si>
  <si>
    <t>6-8224</t>
  </si>
  <si>
    <t>REPL PISTON/DPHM PUMP ASSY</t>
  </si>
  <si>
    <t>6-8225</t>
  </si>
  <si>
    <t>REPL PISTON COLLAR ASSY BPK</t>
  </si>
  <si>
    <t>6-8230</t>
  </si>
  <si>
    <t>REPL PISTON PUMP ASSY</t>
  </si>
  <si>
    <t>6-8231</t>
  </si>
  <si>
    <t>REPL S/O ASSY OPP BPK NIT</t>
  </si>
  <si>
    <t>6-8232</t>
  </si>
  <si>
    <t>REPL WAND ASSY OPP BPK</t>
  </si>
  <si>
    <t>6-8233</t>
  </si>
  <si>
    <t>REPL STRAPS OPP BPK</t>
  </si>
  <si>
    <t>6-8234</t>
  </si>
  <si>
    <t>REPL PUMP PISTON ASSY OPP BPK</t>
  </si>
  <si>
    <t>6-8235</t>
  </si>
  <si>
    <t>REPL PISTON PUMP REPAIR KIT OPP BPK NIT</t>
  </si>
  <si>
    <t>6-8236</t>
  </si>
  <si>
    <t>REPL SINGLE SIDED BAFFLE</t>
  </si>
  <si>
    <t>6-8238</t>
  </si>
  <si>
    <t>REPL 24V BATT &amp; CHGR CHAPIN</t>
  </si>
  <si>
    <t>6-8241</t>
  </si>
  <si>
    <t>REPL S/O BODY ASSY EPDM</t>
  </si>
  <si>
    <t>6-8242</t>
  </si>
  <si>
    <t>REPL EXT WAND PY BPK EPDM</t>
  </si>
  <si>
    <t>6-8244</t>
  </si>
  <si>
    <t>REPL REPAIR PARTS KIT</t>
  </si>
  <si>
    <t>6-8245</t>
  </si>
  <si>
    <t>REPL HOSE ASSY EURO VINEGAR</t>
  </si>
  <si>
    <t>6-8246</t>
  </si>
  <si>
    <t>REPL PISTON CYL KIT EURO VINEGAR</t>
  </si>
  <si>
    <t>6-8247</t>
  </si>
  <si>
    <t>REPL PRESSURE CHAMBER HOUSING VINEGAR EU</t>
  </si>
  <si>
    <t>6-8248</t>
  </si>
  <si>
    <t>REPL PUMP SEAL KIT VINEGAR BPK EU</t>
  </si>
  <si>
    <t>6-8249</t>
  </si>
  <si>
    <t>REPL VALVE CARTRIDGE KIT VINEGAR EU</t>
  </si>
  <si>
    <t>6-8250</t>
  </si>
  <si>
    <t>REPL EURO VINEGAR O-RING KIT</t>
  </si>
  <si>
    <t>6-8251</t>
  </si>
  <si>
    <t>REPL FILTER BASKET &amp; CAP VINEGAR EU</t>
  </si>
  <si>
    <t>6-8254</t>
  </si>
  <si>
    <t>REPL PUMP ASSY 1GPM 18V BARBED</t>
  </si>
  <si>
    <t>6-8257</t>
  </si>
  <si>
    <t>REPL KIT CAR CHARGER W/ 24V BATT</t>
  </si>
  <si>
    <t>6-8265</t>
  </si>
  <si>
    <t>REPL KIT AC CHARGER W/24V BATT CHAPIN</t>
  </si>
  <si>
    <t>6-8272</t>
  </si>
  <si>
    <t>REPL FACEPLATE ASSY 15G MOE</t>
  </si>
  <si>
    <t>6-8273</t>
  </si>
  <si>
    <t>REPL FACEPLATE ASSY 25G MOE</t>
  </si>
  <si>
    <t>6-8290</t>
  </si>
  <si>
    <t>REPL ERGO HNDL GLOSS BLK</t>
  </si>
  <si>
    <t>6-8291</t>
  </si>
  <si>
    <t>REPL DRIPLESS S/O WAND IND 19" W/NOZ</t>
  </si>
  <si>
    <t>6-8301</t>
  </si>
  <si>
    <t>REPL BR NOZ ASSY</t>
  </si>
  <si>
    <t>6-8302</t>
  </si>
  <si>
    <t>REPL NOZ TEEJET 11008 VS 6PK</t>
  </si>
  <si>
    <t>6-8320</t>
  </si>
  <si>
    <t>REPL WIRE HARNESS 302412 W/ BLISTER</t>
  </si>
  <si>
    <t>6-8321</t>
  </si>
  <si>
    <t>REPL INLET FILTER ATV W/ BLISTER</t>
  </si>
  <si>
    <t>6-8322</t>
  </si>
  <si>
    <t>REPL NOZ FLOOD TIP 3.0 GRAY W/BLISTER</t>
  </si>
  <si>
    <t>6-8323</t>
  </si>
  <si>
    <t>REPL FLOOD NOZ TIP 7.5 W/BLISTER</t>
  </si>
  <si>
    <t>6-8324</t>
  </si>
  <si>
    <t>REPL EX WAND CLIP W/ BLISTER</t>
  </si>
  <si>
    <t>6-8325</t>
  </si>
  <si>
    <t>REPL DRAIN CAP ATV W/ BLISTER</t>
  </si>
  <si>
    <t>6-8326</t>
  </si>
  <si>
    <t>REPL NOZ/HDW 6428 W/BLISTER</t>
  </si>
  <si>
    <t>6-8327</t>
  </si>
  <si>
    <t>REPL NOZ/HDW 6429 BAG ASSY</t>
  </si>
  <si>
    <t>6-8501</t>
  </si>
  <si>
    <t>REPL CFV GEN II RED &amp; ADAP W/BLISTER NIT</t>
  </si>
  <si>
    <t>6-8502</t>
  </si>
  <si>
    <t>REPL CFV GEN II YELL &amp; ADPTR NIT</t>
  </si>
  <si>
    <t>6-8503</t>
  </si>
  <si>
    <t>REPL CFV GEN II BLUE &amp; ADPTR NIT</t>
  </si>
  <si>
    <t>6-8805-12</t>
  </si>
  <si>
    <t>REPL 12" ROD ASSY</t>
  </si>
  <si>
    <t>6-8805-7</t>
  </si>
  <si>
    <t>REPL ROD ASSY 7" F/T  SITEONE</t>
  </si>
  <si>
    <t>6-9000</t>
  </si>
  <si>
    <t>REPL RAIN COVER SPD W/HEADER CARD</t>
  </si>
  <si>
    <t>6-9001</t>
  </si>
  <si>
    <t>REPL SPD GRATE</t>
  </si>
  <si>
    <t>6-9004</t>
  </si>
  <si>
    <t>REPL AXLECAP DRIVER/IDLER 8" SPD</t>
  </si>
  <si>
    <t>6-9005</t>
  </si>
  <si>
    <t>REPL 8"/10" SPD TIRE HDW</t>
  </si>
  <si>
    <t>6-9006</t>
  </si>
  <si>
    <t>REPL WHEEL 10" SOLID SPD</t>
  </si>
  <si>
    <t>6-9007</t>
  </si>
  <si>
    <t>REPL AXLECAP DRIVER/IDLER 10" SPD</t>
  </si>
  <si>
    <t>6-9008</t>
  </si>
  <si>
    <t>REPL PRO SPD HOPPER BASE ASSY</t>
  </si>
  <si>
    <t>6-9009</t>
  </si>
  <si>
    <t>REPL PRO SPD DRIVE SHAFT &amp; BEARING</t>
  </si>
  <si>
    <t>6-9012</t>
  </si>
  <si>
    <t>REPL PROF SPD GATE CONTROL</t>
  </si>
  <si>
    <t>6-9014</t>
  </si>
  <si>
    <t>REPL SPD IMPELLER</t>
  </si>
  <si>
    <t>6-9015</t>
  </si>
  <si>
    <t>REPL WHEEL 14" PNEUMATIC SPD</t>
  </si>
  <si>
    <t>6-9016</t>
  </si>
  <si>
    <t>REPL HNDL GRIPS SPD</t>
  </si>
  <si>
    <t>6-9017</t>
  </si>
  <si>
    <t>REPL PROF SPD HDW BAG</t>
  </si>
  <si>
    <t>6-9019</t>
  </si>
  <si>
    <t>REPL RES SPD BAIL ASSY</t>
  </si>
  <si>
    <t>6-9020</t>
  </si>
  <si>
    <t>REPL WHEEL RES W/HDW</t>
  </si>
  <si>
    <t>6-9021</t>
  </si>
  <si>
    <t>REPL THUMB NUTS RES SPD</t>
  </si>
  <si>
    <t>6-9022</t>
  </si>
  <si>
    <t>REPL HDW BAG RES SPD</t>
  </si>
  <si>
    <t>6-9025</t>
  </si>
  <si>
    <t>REPL BAFFLE SPD RES/PRO</t>
  </si>
  <si>
    <t>6-9027</t>
  </si>
  <si>
    <t>REPL GEARBOX ASSY RES SPD "N"</t>
  </si>
  <si>
    <t>6-9028</t>
  </si>
  <si>
    <t>REPL BAFFLE SYSTEM SPD OPP</t>
  </si>
  <si>
    <t>6-9029</t>
  </si>
  <si>
    <t>REPL AUGER/R-PIN SALT KIT</t>
  </si>
  <si>
    <t>6-9030</t>
  </si>
  <si>
    <t>REPL GATE/TRIM CONTROL ASSY (N)</t>
  </si>
  <si>
    <t>6-9031</t>
  </si>
  <si>
    <t>REPL GEARBOX ASSY (N) PRO/CONT</t>
  </si>
  <si>
    <t>6-9032</t>
  </si>
  <si>
    <t>REPL HOPPER BASE ASSY (PRO "N")</t>
  </si>
  <si>
    <t>6-9037</t>
  </si>
  <si>
    <t>REPL KIT SINGLE SIDED BAFFLE</t>
  </si>
  <si>
    <t>6-9038</t>
  </si>
  <si>
    <t>REPL KIT GATE CONTROL  SS</t>
  </si>
  <si>
    <t>6-9039</t>
  </si>
  <si>
    <t>REPL GEAR BOX ASSY RES SPD "B"</t>
  </si>
  <si>
    <t>6-9040</t>
  </si>
  <si>
    <t>REPL DRIVE SHAFT W /BEARING RES "B"</t>
  </si>
  <si>
    <t>6-9041</t>
  </si>
  <si>
    <t>REPL GEAR BOX W/IMPELLER ASSY</t>
  </si>
  <si>
    <t>6-9042</t>
  </si>
  <si>
    <t>REPL DRIVE SHAFT W/BEARING</t>
  </si>
  <si>
    <t>6-9043</t>
  </si>
  <si>
    <t>REPL BAIL ASSY BIG BOX</t>
  </si>
  <si>
    <t>6-9044</t>
  </si>
  <si>
    <t>REPL TIRE HDW BIG BOX</t>
  </si>
  <si>
    <t>6-9045</t>
  </si>
  <si>
    <t>REPL HDW BAG BIG BOX</t>
  </si>
  <si>
    <t>6-9046</t>
  </si>
  <si>
    <t>REPL LOWER LINK KIT SPD</t>
  </si>
  <si>
    <t>6-9047</t>
  </si>
  <si>
    <t>REPL BAFFLE SYSTEM BIG BOX</t>
  </si>
  <si>
    <t>6-9048</t>
  </si>
  <si>
    <t>REPL AUGER BIG BOX</t>
  </si>
  <si>
    <t>6-9050</t>
  </si>
  <si>
    <t>REPL KIT REAR BAFFLE (UNIVERSAL REAR)</t>
  </si>
  <si>
    <t>6-9051</t>
  </si>
  <si>
    <t>REPL KIT GATE ASSY</t>
  </si>
  <si>
    <t>6-9052</t>
  </si>
  <si>
    <t>REPL KIT HNDL/ HDW BAG</t>
  </si>
  <si>
    <t>6-9053</t>
  </si>
  <si>
    <t>REPL GRATE ASSY</t>
  </si>
  <si>
    <t>6-9054</t>
  </si>
  <si>
    <t>REPL RAIN GUARD</t>
  </si>
  <si>
    <t>6-9056</t>
  </si>
  <si>
    <t>REPL KIT GATE CONTOL SS SPD</t>
  </si>
  <si>
    <t>6-9058</t>
  </si>
  <si>
    <t>REPL IMPELLER KIT   (014030)</t>
  </si>
  <si>
    <t>6-9059</t>
  </si>
  <si>
    <t>REPL GEARBOX ASSY</t>
  </si>
  <si>
    <t>6-9060</t>
  </si>
  <si>
    <t>REPL GATE CONTROL ASSY</t>
  </si>
  <si>
    <t>6-9061</t>
  </si>
  <si>
    <t>REPL IMPELLER</t>
  </si>
  <si>
    <t>6-9062</t>
  </si>
  <si>
    <t>REPL HNDL GRIPS</t>
  </si>
  <si>
    <t>6-9063</t>
  </si>
  <si>
    <t>REPL HDW BAG ASSY</t>
  </si>
  <si>
    <t>6-9064</t>
  </si>
  <si>
    <t>REPL GRATE ROUND HOPPER</t>
  </si>
  <si>
    <t>6-9065</t>
  </si>
  <si>
    <t>REPL RAIN COVER ROUND HOPPER</t>
  </si>
  <si>
    <t>6-9066</t>
  </si>
  <si>
    <t>REPL AUGER FLAT BAR</t>
  </si>
  <si>
    <t>6-9067</t>
  </si>
  <si>
    <t>REPL SPIKED AUGER KIT</t>
  </si>
  <si>
    <t>6-9068</t>
  </si>
  <si>
    <t>REPL GEAR BOX ASSY</t>
  </si>
  <si>
    <t>6-9069</t>
  </si>
  <si>
    <t>REPL REAR BAFFLE UNI</t>
  </si>
  <si>
    <t>6-9070</t>
  </si>
  <si>
    <t>REPL SPD GRATE SPH</t>
  </si>
  <si>
    <t>6-9071</t>
  </si>
  <si>
    <t>6-9075</t>
  </si>
  <si>
    <t>REPL NOZ CAP WHT W/ BLISTER</t>
  </si>
  <si>
    <t>6-9076</t>
  </si>
  <si>
    <t>REPL BOOM ASSY 97900</t>
  </si>
  <si>
    <t>6-9077</t>
  </si>
  <si>
    <t>REPL HDW BAG 97900</t>
  </si>
  <si>
    <t>6-9078</t>
  </si>
  <si>
    <t>REPL WHEEL 12" SPD</t>
  </si>
  <si>
    <t>6-9079</t>
  </si>
  <si>
    <t>REPL AXLE CART SPR</t>
  </si>
  <si>
    <t>6-9080</t>
  </si>
  <si>
    <t>REPL WHEEL OPP SPD</t>
  </si>
  <si>
    <t>6-9081</t>
  </si>
  <si>
    <t>REPL BUSHING OPP SPD</t>
  </si>
  <si>
    <t>6-9082</t>
  </si>
  <si>
    <t>REPL WHEEL OPP STEP UP</t>
  </si>
  <si>
    <t>6-9083</t>
  </si>
  <si>
    <t>REPL BAFFLE ASSY SPHR</t>
  </si>
  <si>
    <t>6-9087</t>
  </si>
  <si>
    <t>REPL HOPPER BASE ASSY</t>
  </si>
  <si>
    <t>REPL PY BACKFLOW PREVENTER</t>
  </si>
  <si>
    <t>REPL BR BACKFLOW PREVENTER</t>
  </si>
  <si>
    <t>6-9093</t>
  </si>
  <si>
    <t>REPL KIT PRO SPD SS</t>
  </si>
  <si>
    <t>6-9096</t>
  </si>
  <si>
    <t>REPL KIT AUGERS &amp; NUTS</t>
  </si>
  <si>
    <t>6-9100</t>
  </si>
  <si>
    <t>REPL HDW W/NOZ BOOM KIT</t>
  </si>
  <si>
    <t>6-9101</t>
  </si>
  <si>
    <t>REPL NOZ ASSY NO BOOM</t>
  </si>
  <si>
    <t>6-9103</t>
  </si>
  <si>
    <t>REPL HDW BAG NO BOOM KIT</t>
  </si>
  <si>
    <t>6-9123</t>
  </si>
  <si>
    <t>REPL KIT TIRE &amp; HDW ATV TRAILER</t>
  </si>
  <si>
    <t>6-9125</t>
  </si>
  <si>
    <t>REPL KIT AUGERS</t>
  </si>
  <si>
    <t>6-9138</t>
  </si>
  <si>
    <t>REPL 2.5GPM DPHM PUMP 1.5CAM CHAPIN</t>
  </si>
  <si>
    <t>6-9152</t>
  </si>
  <si>
    <t>REPL REAR BAFFLE TOW-BHD</t>
  </si>
  <si>
    <t>6-9170</t>
  </si>
  <si>
    <t>REPL WHEEL 4.10/3.5-6-1/2 PERISTALTIC</t>
  </si>
  <si>
    <t>6-9201</t>
  </si>
  <si>
    <t>REPL CAP ASSY OH XP</t>
  </si>
  <si>
    <t>6-9202</t>
  </si>
  <si>
    <t>REPL MOE PUMP 1.3/1.5 HDW</t>
  </si>
  <si>
    <t>6-9203</t>
  </si>
  <si>
    <t>REPL SUCTION HOSE ASSY MOE</t>
  </si>
  <si>
    <t>6-9204</t>
  </si>
  <si>
    <t>REPL 23/32" RUBBER GROMMET</t>
  </si>
  <si>
    <t>6-9205</t>
  </si>
  <si>
    <t>REPL 15' REINFORCED HOSE ASSY</t>
  </si>
  <si>
    <t>6-9206</t>
  </si>
  <si>
    <t>REPL 1GPM DPHM PUMP CHAPIN</t>
  </si>
  <si>
    <t>6-9211</t>
  </si>
  <si>
    <t>REPL MOE CHEM TANK CHECK VALVE ASSY KIT</t>
  </si>
  <si>
    <t>6-9213</t>
  </si>
  <si>
    <t>REPL KIT 2GPM DPHM PUMP CHAPIN</t>
  </si>
  <si>
    <t>6-9214</t>
  </si>
  <si>
    <t>REPL KIT 3GPM DPHM PUMP CHAPIN</t>
  </si>
  <si>
    <t>6-9215</t>
  </si>
  <si>
    <t>REPL KIT 4GPM DPHM PUMP CHAPIN</t>
  </si>
  <si>
    <t>6-9216</t>
  </si>
  <si>
    <t>REPL KIT 5GPM DPHM PUMP CHAPIN</t>
  </si>
  <si>
    <t>6-9217</t>
  </si>
  <si>
    <t>REPL KIT 7GPM DPHM PUMP CHAPIN</t>
  </si>
  <si>
    <t>6-9219</t>
  </si>
  <si>
    <t>REPL KIT 1GPM DPHM PUMP CLAMSHELL CHAPIN</t>
  </si>
  <si>
    <t>6-9221</t>
  </si>
  <si>
    <t>REPL MANIFOLD ASSY W/O GAUGE</t>
  </si>
  <si>
    <t>6-9222</t>
  </si>
  <si>
    <t>REPL THDFORM 1" SCREWS PUMP 1.3/1.5 HDW</t>
  </si>
  <si>
    <t>6-9223</t>
  </si>
  <si>
    <t>REPL SUCTION HOSE ASSY SPOT</t>
  </si>
  <si>
    <t>6-9224</t>
  </si>
  <si>
    <t>REPL Q-DISC FITTINGS</t>
  </si>
  <si>
    <t>6-9230</t>
  </si>
  <si>
    <t>REPL 2.5GPM DPHM 3-CHAM PUMP CHAPIN</t>
  </si>
  <si>
    <t>6-9300</t>
  </si>
  <si>
    <t>REPL KIT - 3/8" STR BARB, 90 BARB</t>
  </si>
  <si>
    <t>6-9301</t>
  </si>
  <si>
    <t>REPL KIT 3/8" 90 BARB</t>
  </si>
  <si>
    <t>6-9302</t>
  </si>
  <si>
    <t>REPL KIT 1/2" STRGHT 90 DEG FNPT BARB</t>
  </si>
  <si>
    <t>6-9400</t>
  </si>
  <si>
    <t>REPL GOOSENECK W/S/O(20PK)</t>
  </si>
  <si>
    <t>6-9401</t>
  </si>
  <si>
    <t>REPL HOSE S/O (20PK)</t>
  </si>
  <si>
    <t>6-9402</t>
  </si>
  <si>
    <t>REPL (F) MTL Q-CONN (20PK)</t>
  </si>
  <si>
    <t>6-9403</t>
  </si>
  <si>
    <t>REPL (M) MTL Q-CONN (20PK)</t>
  </si>
  <si>
    <t>6-9404</t>
  </si>
  <si>
    <t>REPL PROD-END SET Q-CONN (20PK)</t>
  </si>
  <si>
    <t>6-9405</t>
  </si>
  <si>
    <t>REPL 5/8"-3/4" (M) HOSE MEND (20PK)</t>
  </si>
  <si>
    <t>6-9406</t>
  </si>
  <si>
    <t>REPL 5/8"-3/4" (F) HOSE MEND (20PK)</t>
  </si>
  <si>
    <t>6-9407</t>
  </si>
  <si>
    <t>REPL 5/8"-3/4" HOSE REPAIR (20PK)</t>
  </si>
  <si>
    <t>6-9408</t>
  </si>
  <si>
    <t>REPL 5/8" (M) MTL MEND (20PK)</t>
  </si>
  <si>
    <t>6-9409</t>
  </si>
  <si>
    <t>REPL 5/8" (F) MTL MEND (20PK)</t>
  </si>
  <si>
    <t>6-9410</t>
  </si>
  <si>
    <t>REPL HOSE WASHER/O-RING COMBO (80PK)</t>
  </si>
  <si>
    <t>6-9411</t>
  </si>
  <si>
    <t>REPL NR-GRIP TWIST NOZ (20PK)</t>
  </si>
  <si>
    <t>6-9412</t>
  </si>
  <si>
    <t>REPL 4-WAY S/O MANIFOLD (6PK)</t>
  </si>
  <si>
    <t>6-9413</t>
  </si>
  <si>
    <t>REPL 2-WAY S/O MTL (20PK)</t>
  </si>
  <si>
    <t>6-9414</t>
  </si>
  <si>
    <t>REPL GOOSENECK HOSE CONN (20PK)</t>
  </si>
  <si>
    <t>6-9415</t>
  </si>
  <si>
    <t>REPL DLX 1-WAY S/O (15PK)</t>
  </si>
  <si>
    <t>6-9416</t>
  </si>
  <si>
    <t>REPL DLX 2-WAY S/O (8PK)</t>
  </si>
  <si>
    <t>6-9417</t>
  </si>
  <si>
    <t>REPL DLX 1-WAY KINK-FREE S/O (9PK)</t>
  </si>
  <si>
    <t>6-9418</t>
  </si>
  <si>
    <t>REPL DLX 2-WAY KINK-FREE S/O (4PK)</t>
  </si>
  <si>
    <t>6-9419</t>
  </si>
  <si>
    <t>REPL DLX 4-WAY MANIFOLD S/O (4PK)</t>
  </si>
  <si>
    <t>6-9420</t>
  </si>
  <si>
    <t>REPL 5/8"-3/4" (M) DLX REPAIR (20PK)</t>
  </si>
  <si>
    <t>6-9421</t>
  </si>
  <si>
    <t>REPL 5/8"-3/4" (F) DLX REPAIR (20PK)</t>
  </si>
  <si>
    <t>6-9422</t>
  </si>
  <si>
    <t>REPL 5/8"-3/4" DLX MEND (15PK)</t>
  </si>
  <si>
    <t>6-9423</t>
  </si>
  <si>
    <t>REPL CIRCLE SPOT SPRKLR (12PK)</t>
  </si>
  <si>
    <t>6-9424</t>
  </si>
  <si>
    <t>REPL SQUARE SPOT SPRKLR (12PK)</t>
  </si>
  <si>
    <t>6-9425</t>
  </si>
  <si>
    <t>REPL RECTANGLE SPOT SPRKLR (12PK)</t>
  </si>
  <si>
    <t>6-9426</t>
  </si>
  <si>
    <t>REPL KINK-FREE GARD HOSE EXT (20PK)</t>
  </si>
  <si>
    <t>6-9427</t>
  </si>
  <si>
    <t>REPL SPRKLR IMPACT HEAD (6PK)</t>
  </si>
  <si>
    <t>6-9428</t>
  </si>
  <si>
    <t>REPL 4-WAY S/O PLAS (6PK)</t>
  </si>
  <si>
    <t>6-9429</t>
  </si>
  <si>
    <t>REPL 2-WAY S/O PLAS (8PK)</t>
  </si>
  <si>
    <t>6-9430</t>
  </si>
  <si>
    <t>REPL 1-WAY S/O PLAS (15PK)</t>
  </si>
  <si>
    <t>6-9431</t>
  </si>
  <si>
    <t>REPL (F) Q-CONN (M) 3/4" PLAS (20PK)</t>
  </si>
  <si>
    <t>6-9432</t>
  </si>
  <si>
    <t>REPL GARD HOSE Q-CONN SET PLAS (20PK)</t>
  </si>
  <si>
    <t>6-9433</t>
  </si>
  <si>
    <t>REPL 5PC Q-CONN STARTER KIT PLAS (10PK)</t>
  </si>
  <si>
    <t>6-9434</t>
  </si>
  <si>
    <t>REPL 20PC GASKET END CAP KIT (12PCS)</t>
  </si>
  <si>
    <t>6-9435</t>
  </si>
  <si>
    <t>REPL 3-PC HOSE-FILTER WASHER SET (12PK)</t>
  </si>
  <si>
    <t>6-9436</t>
  </si>
  <si>
    <t>REPL HOSE FEM Q-CONN ADPTR PLAS (20PK)</t>
  </si>
  <si>
    <t>6-9437</t>
  </si>
  <si>
    <t>REPL 5/8"-3/4" (F) HOSE-REP PLAS (20PK)</t>
  </si>
  <si>
    <t>6-9438</t>
  </si>
  <si>
    <t>REPL 5/8"-3/4" (M) HOSE-REP PLAS (20PK)</t>
  </si>
  <si>
    <t>6-9439</t>
  </si>
  <si>
    <t>REPL 5/8"-3/4" HOSE-REP MEND PLAS (20PK)</t>
  </si>
  <si>
    <t>6-9440</t>
  </si>
  <si>
    <t>REPL 1/2" HOSE-REP MEND PLAS (20PK)</t>
  </si>
  <si>
    <t>6-9441</t>
  </si>
  <si>
    <t>REPL 1/2" (F) HOSE-REP PLAS (20PK)</t>
  </si>
  <si>
    <t>6-9442</t>
  </si>
  <si>
    <t>REPL 1/2" (M) HOSE-REP PLAS (20PK)</t>
  </si>
  <si>
    <t>6-9443</t>
  </si>
  <si>
    <t>REPL 10-PC HOSE WASHER SET (12PK)</t>
  </si>
  <si>
    <t>6-9444</t>
  </si>
  <si>
    <t>REPL HOSE (M) Q-CONN ADPTR PLAS (20PK)</t>
  </si>
  <si>
    <t>6-9445</t>
  </si>
  <si>
    <t>REPL 5/8" MEND CLAMP MTL (20PK)</t>
  </si>
  <si>
    <t>6-9446</t>
  </si>
  <si>
    <t>REPL 3-PC WASHER SET FOR BR Q-CONN(12PK)</t>
  </si>
  <si>
    <t>6-9447</t>
  </si>
  <si>
    <t>REPL SPRKLR TWIN SPOT MTL (20PK)</t>
  </si>
  <si>
    <t>6-9550</t>
  </si>
  <si>
    <t>REPL BR 1/2" P&amp;H SWVL CONN (12PK)</t>
  </si>
  <si>
    <t>6-9551</t>
  </si>
  <si>
    <t>REPL BR 1/2" P&amp;H HEX CONN (12PK)</t>
  </si>
  <si>
    <t>6-9552</t>
  </si>
  <si>
    <t>REPL 2-PC BR END CAP (12PK)</t>
  </si>
  <si>
    <t>6-9553</t>
  </si>
  <si>
    <t>REPL BR (F) COUPLER (20PK)</t>
  </si>
  <si>
    <t>6-9554</t>
  </si>
  <si>
    <t>REPL BR (M) COUPLER (20PK)</t>
  </si>
  <si>
    <t>6-9555</t>
  </si>
  <si>
    <t>REPL CP 1-WAY S/O (20PK)</t>
  </si>
  <si>
    <t>6-9556</t>
  </si>
  <si>
    <t>REPL MTL Y-CONN (16PK)</t>
  </si>
  <si>
    <t>6-9557</t>
  </si>
  <si>
    <t>REPL CP 2-WAY S/O CONN (20PK)</t>
  </si>
  <si>
    <t>6-9558</t>
  </si>
  <si>
    <t>REPL BR P&amp;H CONN 3/4" (M)-(F) (12PK)</t>
  </si>
  <si>
    <t>6-9559</t>
  </si>
  <si>
    <t>REPL BR P&amp;H HEX CONN (F)-(FM) (12PK)</t>
  </si>
  <si>
    <t>6-9560</t>
  </si>
  <si>
    <t>REPL BR P&amp;H HEX CONN DBL (F) (12PK)</t>
  </si>
  <si>
    <t>6-9561</t>
  </si>
  <si>
    <t>REPL BR P&amp;H CONN DBL (M) (12PK)</t>
  </si>
  <si>
    <t>6-9562</t>
  </si>
  <si>
    <t>REPL BR P&amp;H 1/2"-3/4" CONN (M)-(M)(12PK)</t>
  </si>
  <si>
    <t>6-9563</t>
  </si>
  <si>
    <t>REPL BR P&amp;H CONN 3/4"(M)-1/2"(F) (12PK)</t>
  </si>
  <si>
    <t>6-9564</t>
  </si>
  <si>
    <t>6-9565</t>
  </si>
  <si>
    <t>REPL PLAS 1-WAY S/O (20PK)</t>
  </si>
  <si>
    <t>6-9566</t>
  </si>
  <si>
    <t>REPL PLAS Y-CONN 2-WAY S/O (20PK)</t>
  </si>
  <si>
    <t>6-9567</t>
  </si>
  <si>
    <t>REPL BR Q-CONN (M)&amp;(F) SET (12PK)</t>
  </si>
  <si>
    <t>6-9568</t>
  </si>
  <si>
    <t>REPL BR (M) ADPTR (12PK)</t>
  </si>
  <si>
    <t>6-9569</t>
  </si>
  <si>
    <t>REPL BR P&amp;H SWVL CONN DBL (F) (12PK)</t>
  </si>
  <si>
    <t>6-9570</t>
  </si>
  <si>
    <t>REPL BR P&amp;H CONN DBL (M) NH-NH (12PK)</t>
  </si>
  <si>
    <t>6-9572</t>
  </si>
  <si>
    <t>REPL Q-CONN BR (F) ADPTR (12PK)</t>
  </si>
  <si>
    <t>75111</t>
  </si>
  <si>
    <t>WEED BURNER 1# PROPANE TORCH</t>
  </si>
  <si>
    <t>75113</t>
  </si>
  <si>
    <t>WEED BURNER 20# PROPANE TORCH</t>
  </si>
  <si>
    <t>OIL CATCH PAN CHAPIN</t>
  </si>
  <si>
    <t>SPD 65# CHAPIN OPP TURF (3PK)</t>
  </si>
  <si>
    <t>SPD 70# CHAPIN OPP STEP UP TURF</t>
  </si>
  <si>
    <t>SPD 70# OPP PUSH SALT CHAPIN</t>
  </si>
  <si>
    <t>SPD 80# TURF PUSH CHAPIN ASSEMBLED</t>
  </si>
  <si>
    <t>SPD 80# CHAPIN PUSH SALT</t>
  </si>
  <si>
    <t>SPD 80# TURF PUSH GAME KEEPERS</t>
  </si>
  <si>
    <t>SPD 80# CHAPIN RES RED</t>
  </si>
  <si>
    <t>SPD 80# CHAPIN RES PUSH SALT</t>
  </si>
  <si>
    <t>SPD 70# CNTR TURF PUSH CHAPIN RD</t>
  </si>
  <si>
    <t>SPD 80# CHAPIN PROF CNTR SALT</t>
  </si>
  <si>
    <t>SPD 100# CHAPIN PROF SALT</t>
  </si>
  <si>
    <t>SPD 100# PROF CHAPIN</t>
  </si>
  <si>
    <t>SPD 100# PROF SS CHAPIN</t>
  </si>
  <si>
    <t>SPD 80# CONT PUSH CHAPIN TURF</t>
  </si>
  <si>
    <t>SPD 100# CONT PUSH CHAPIN TURF RED</t>
  </si>
  <si>
    <t>SPD 100# PRO CHAPIN TURF</t>
  </si>
  <si>
    <t>SPD 80# PRO CHAPIN TURF</t>
  </si>
  <si>
    <t>SPD 25# BROADCAST SHOULDER PROF CHAPIN</t>
  </si>
  <si>
    <t>SPD 200# PROF DROP SS CHAPIN</t>
  </si>
  <si>
    <t>SPD 150# TOW-BHD CHAPIN</t>
  </si>
  <si>
    <t>SPD 25# CHEST CHAPIN</t>
  </si>
  <si>
    <t>GARD SEEDER CHAPIN</t>
  </si>
  <si>
    <t>SPD 3L HAND CRANK SALT CHAPIN</t>
  </si>
  <si>
    <t>SPD 1.6L HAND CRANK (3PK) DISP CHAPIN</t>
  </si>
  <si>
    <t>SPD HAND SHAKER CHAPIN (6PK)</t>
  </si>
  <si>
    <t>SPD HAND SHAKER DISP CHAPIN (24PK) *EA*</t>
  </si>
  <si>
    <t>SPD 80# LANDSCAPER CHAPIN</t>
  </si>
  <si>
    <t>SPD 50# CHAPIN LANDSCAPER</t>
  </si>
  <si>
    <t>SPD 80# CHAPIN LANDSCAPER W/BAFFLE</t>
  </si>
  <si>
    <t>SPR 15G ATV SPOT CHAPIN W/O GRIP</t>
  </si>
  <si>
    <t>SPR 15G ATV DLX CHAPIN</t>
  </si>
  <si>
    <t>SPR 15G ATV DLX MOE CHAPIN</t>
  </si>
  <si>
    <t>SPR 25G ATV SPOT CHAPIN</t>
  </si>
  <si>
    <t>SPR 25G ATV DISINFECTANT CHAPIN</t>
  </si>
  <si>
    <t>SPR 25G ATV BRINE CHAPIN</t>
  </si>
  <si>
    <t>SPR 25G ATV DLX CHAPIN</t>
  </si>
  <si>
    <t>SPR 25G ATV DLX MOE CHAPIN</t>
  </si>
  <si>
    <t>SPR 15G ATV DLX TOW-BHD CHAPIN L&amp;G</t>
  </si>
  <si>
    <t>SPR 15G ATV CHAPIN PERISTALTIC TRLR</t>
  </si>
  <si>
    <t>SPR 15G ATV DLX MOE TOW-BHD CHAPIN</t>
  </si>
  <si>
    <t>SPR 25G ATV TOW-BHD CHAPIN L&amp;G</t>
  </si>
  <si>
    <t>SPR 25G ATV CHAPIN TOW-BHD</t>
  </si>
  <si>
    <t>SPR 25G ATV MOE CHAPIN TOW-BHD</t>
  </si>
  <si>
    <t>SPR 12G CART CONTRACTOR CHAPIN</t>
  </si>
  <si>
    <t>SPR 1G CHAPIN COMPRESSION</t>
  </si>
  <si>
    <t>SPR 2G CHAPIN COMPRESSION</t>
  </si>
  <si>
    <t>SPR 2G CHAPIN HORT VINEGAR</t>
  </si>
  <si>
    <t>SPR 3G OH COMPRESSION CHAPIN</t>
  </si>
  <si>
    <t>SPR HOSE END 16OZ CHAPIN (6PK)</t>
  </si>
  <si>
    <t>SPR HOSE END 32OZ CHAPIN (6PK)</t>
  </si>
  <si>
    <t>G377D</t>
  </si>
  <si>
    <t>SPR HOSE END 32OZ MONTEREY (6PK)</t>
  </si>
  <si>
    <t>SPR HOSE END 32OZ FOAMER CHAPIN (6PK)</t>
  </si>
  <si>
    <t>SPR HOSE END WET/DRY CHAPIN (4PK)</t>
  </si>
  <si>
    <t>HK-1001M</t>
  </si>
  <si>
    <t>SPR 1.5QT HVST-KING (6PK)</t>
  </si>
  <si>
    <t>HK-26018M</t>
  </si>
  <si>
    <t>SPR 1G SURESPRAY HVST-KING LF/T</t>
  </si>
  <si>
    <t>HK-26028M</t>
  </si>
  <si>
    <t>SPR 2G SURESPRAY HVST-KING LF/T</t>
  </si>
  <si>
    <t>HK-26038M</t>
  </si>
  <si>
    <t>SPR 3G SURESPRAY HVST-KING LF/T</t>
  </si>
  <si>
    <t>HK-61805M</t>
  </si>
  <si>
    <t>SPR 4G BKP HVST-KING</t>
  </si>
  <si>
    <t>RP00001</t>
  </si>
  <si>
    <t>HOSE 15FT 3/8" RUBBER</t>
  </si>
  <si>
    <t>RP00010N</t>
  </si>
  <si>
    <t>REPL NOZ FLOOD TIP 3.0 GRAY</t>
  </si>
  <si>
    <t>RP00011N</t>
  </si>
  <si>
    <t>REPL NOZ FLOOD TIP 7.5</t>
  </si>
  <si>
    <t>RP00129N</t>
  </si>
  <si>
    <t>REPL KIT HITCH BRACKET ASSY</t>
  </si>
  <si>
    <t>CustNum</t>
  </si>
  <si>
    <t>Quantity</t>
  </si>
</sst>
</file>

<file path=xl/styles.xml><?xml version="1.0" encoding="utf-8"?>
<styleSheet xmlns:mc="http://schemas.openxmlformats.org/markup-compatibility/2006" xmlns:x14ac="http://schemas.microsoft.com/office/spreadsheetml/2009/9/ac" xmlns="http://schemas.openxmlformats.org/spreadsheetml/2006/main" mc:Ignorable="x14ac">
  <numFmts count="1">
    <numFmt numFmtId="164" formatCode="$#,##0"/>
  </numFmts>
  <fonts count="15">
    <font>
      <sz val="11"/>
      <name val="Calibri"/>
      <charset val="0"/>
    </font>
    <font>
      <sz val="11"/>
      <name val="Calibri"/>
      <charset val="0"/>
    </font>
    <font>
      <sz val="11"/>
      <name val="Calibri"/>
      <charset val="0"/>
    </font>
    <font>
      <sz val="11"/>
      <name val="Calibri"/>
      <charset val="0"/>
    </font>
    <font>
      <sz val="11"/>
      <name val="Calibri"/>
      <charset val="0"/>
    </font>
    <font>
      <sz val="20"/>
      <name val="Calibri"/>
      <charset val="0"/>
    </font>
    <font>
      <b/>
      <sz val="20"/>
      <name val="Calibri"/>
      <charset val="0"/>
    </font>
    <font>
      <sz val="12"/>
      <name val="Calibri"/>
      <charset val="0"/>
    </font>
    <font>
      <b/>
      <sz val="12"/>
      <name val="Calibri"/>
      <charset val="0"/>
    </font>
    <font>
      <sz val="11"/>
      <color indexed="10"/>
      <name val="Calibri"/>
      <charset val="0"/>
    </font>
    <font>
      <sz val="12"/>
      <color indexed="10"/>
      <name val="Calibri"/>
      <charset val="0"/>
    </font>
    <font>
      <b/>
      <sz val="12"/>
      <color indexed="10"/>
      <name val="Calibri"/>
      <charset val="0"/>
    </font>
    <font>
      <sz val="14"/>
      <name val="Calibri"/>
      <charset val="0"/>
    </font>
    <font>
      <b/>
      <sz val="14"/>
      <name val="Calibri"/>
      <charset val="0"/>
    </font>
    <font>
      <sz val="11"/>
      <color indexed="12"/>
      <name val="Calibri"/>
      <charset val="0"/>
    </font>
  </fonts>
  <fills count="2">
    <fill>
      <patternFill patternType="none">
        <fgColor indexed="64"/>
        <bgColor indexed="65"/>
      </patternFill>
    </fill>
    <fill>
      <patternFill patternType="gray125">
        <fgColor indexed="64"/>
        <bgColor indexed="65"/>
      </patternFill>
    </fill>
  </fills>
  <borders count="1">
    <border>
      <left/>
      <right/>
      <top/>
      <bottom/>
      <diagonal/>
    </border>
  </borders>
  <cellStyleXfs count="35">
    <xf numFmtId="0" fontId="0" fillId="0" borderId="0"/>
    <xf numFmtId="0" fontId="1" fillId="0" borderId="0" applyAlignment="0" applyBorder="0" applyNumberFormat="0" applyFill="0" applyProtection="0"/>
    <xf numFmtId="0" fontId="1" fillId="0" borderId="0" applyAlignment="0" applyBorder="0" applyNumberFormat="0" applyFill="0" applyProtection="0"/>
    <xf numFmtId="0" fontId="2" fillId="0" borderId="0" applyAlignment="0" applyBorder="0" applyNumberFormat="0" applyFill="0" applyProtection="0"/>
    <xf numFmtId="0" fontId="2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0" fontId="0" fillId="0" borderId="0" applyAlignment="0" applyBorder="0" applyNumberFormat="0" applyFill="0" applyProtection="0"/>
    <xf numFmtId="43" fontId="1" fillId="0" borderId="0" applyAlignment="0" applyBorder="0" applyFont="0" applyFill="0" applyProtection="0"/>
    <xf numFmtId="41" fontId="1" fillId="0" borderId="0" applyAlignment="0" applyBorder="0" applyFont="0" applyFill="0" applyProtection="0"/>
    <xf numFmtId="44" fontId="1" fillId="0" borderId="0" applyAlignment="0" applyBorder="0" applyFont="0" applyFill="0" applyProtection="0"/>
    <xf numFmtId="42" fontId="1" fillId="0" borderId="0" applyAlignment="0" applyBorder="0" applyFont="0" applyFill="0" applyProtection="0"/>
    <xf numFmtId="9" fontId="1" fillId="0" borderId="0" applyAlignment="0" applyBorder="0" applyFont="0" applyFill="0" applyProtection="0"/>
  </cellStyleXfs>
  <cellXfs>
    <xf numFmtId="0" fontId="0" fillId="0" borderId="0" xfId="0"/>
    <xf numFmtId="0" fontId="6" fillId="0" borderId="0" xfId="0" applyAlignment="1" applyFont="1">
      <alignment horizontal="center"/>
    </xf>
    <xf numFmtId="0" fontId="8" fillId="0" borderId="0" xfId="0" applyAlignment="1" applyFont="1">
      <alignment horizontal="right"/>
    </xf>
    <xf numFmtId="0" fontId="8" fillId="0" borderId="0" xfId="0" applyAlignment="1" applyFont="1">
      <alignment horizontal="center"/>
    </xf>
    <xf numFmtId="0" fontId="11" fillId="0" borderId="0" xfId="0" applyAlignment="1" applyFont="1">
      <alignment horizontal="center"/>
    </xf>
    <xf numFmtId="0" fontId="13" fillId="0" borderId="0" xfId="0" applyAlignment="1" applyFont="1">
      <alignment horizontal="right"/>
    </xf>
    <xf numFmtId="0" fontId="8" fillId="0" borderId="0" xfId="0" applyAlignment="1" applyFont="1">
      <alignment horizontal="left"/>
    </xf>
    <xf numFmtId="0" fontId="14" fillId="0" borderId="0" xfId="0" applyFont="1"/>
    <xf numFmtId="49" fontId="0" fillId="0" borderId="0" xfId="0" applyNumberFormat="1"/>
    <xf numFmtId="49" fontId="8" fillId="0" borderId="0" xfId="0" applyAlignment="1" applyFont="1" applyNumberFormat="1">
      <alignment horizontal="left"/>
    </xf>
    <xf numFmtId="4" fontId="0" fillId="0" borderId="0" xfId="0" applyNumberFormat="1"/>
    <xf numFmtId="4" fontId="14" fillId="0" borderId="0" xfId="0" applyFont="1" applyNumberFormat="1"/>
    <xf numFmtId="3" fontId="0" fillId="0" borderId="0" xfId="0" applyNumberFormat="1"/>
    <xf numFmtId="164" fontId="0" fillId="0" borderId="0" xfId="0" applyNumberFormat="1"/>
    <xf numFmtId="14" fontId="0" fillId="0" borderId="0" xfId="0" applyNumberFormat="1"/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0"/>
  <tableStyle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styles" Target="styles.xml" /><Relationship Id="rId7" Type="http://schemas.openxmlformats.org/officeDocument/2006/relationships/sharedStrings" Target="sharedStrings.xml" /><Relationship Id="rId8" Type="http://schemas.microsoft.com/office/2006/relationships/vbaProject" Target="vbaProject.bin" /></Relationships>
</file>

<file path=xl/worksheets/sheet1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1"/>
  <dimension ref="A1:E18"/>
  <sheetViews>
    <sheetView view="normal" tabSelected="1" workbookViewId="0">
      <selection pane="topLeft" activeCell="A1" sqref="A1"/>
    </sheetView>
  </sheetViews>
  <sheetFormatPr defaultRowHeight="15"/>
  <cols>
    <col min="1" max="3" width="25.7109375" customWidth="1"/>
    <col min="4" max="4" width="30.7109375" customWidth="1"/>
    <col min="5" max="5" width="25.7109375" customWidth="1"/>
  </cols>
  <sheetData>
    <row r="1" spans="3:3">
      <c r="C1" s="1" t="s">
        <v>0</v>
      </c>
    </row>
    <row r="3" spans="2:5">
      <c r="B3" s="2" t="s">
        <v>1</v>
      </c>
      <c r="C3" s="3" t="s">
        <v>2</v>
      </c>
      <c r="D3" s="2" t="s">
        <v>3</v>
      </c>
      <c r="E3" s="4" t="s">
        <v>4</v>
      </c>
    </row>
    <row r="7" spans="1:3">
      <c r="A7" s="2" t="s">
        <v>5</v>
      </c>
      <c r="B7" t="s">
        <v>23</v>
      </c>
      <c r="C7" s="2" t="s">
        <v>16</v>
      </c>
    </row>
    <row r="8" spans="1:3">
      <c r="A8" s="2" t="s">
        <v>6</v>
      </c>
      <c r="B8" t="s">
        <v>24</v>
      </c>
      <c r="C8" s="2" t="s">
        <v>17</v>
      </c>
    </row>
    <row r="9" spans="1:3">
      <c r="A9" s="2" t="s">
        <v>7</v>
      </c>
      <c r="C9" s="2" t="s">
        <v>18</v>
      </c>
    </row>
    <row r="10" spans="1:3">
      <c r="A10" s="2" t="s">
        <v>8</v>
      </c>
      <c r="C10" s="2" t="s">
        <v>19</v>
      </c>
    </row>
    <row r="12" spans="1:1">
      <c r="A12" s="5" t="s">
        <v>9</v>
      </c>
    </row>
    <row r="13" spans="1:4">
      <c r="A13" s="2" t="s">
        <v>10</v>
      </c>
      <c r="B13" t="s">
        <v>24</v>
      </c>
      <c r="C13" s="2" t="s">
        <v>0</v>
      </c>
      <c r="D13" t="s">
        <v>29</v>
      </c>
    </row>
    <row r="14" spans="1:4">
      <c r="A14" s="2" t="s">
        <v>11</v>
      </c>
      <c r="B14" t="s">
        <v>25</v>
      </c>
      <c r="C14" s="2" t="s">
        <v>20</v>
      </c>
      <c r="D14" t="s">
        <v>30</v>
      </c>
    </row>
    <row r="15" spans="1:4">
      <c r="A15" s="2" t="s">
        <v>12</v>
      </c>
      <c r="C15" s="2" t="s">
        <v>21</v>
      </c>
      <c r="D15" t="s">
        <v>31</v>
      </c>
    </row>
    <row r="16" spans="1:4">
      <c r="A16" s="2" t="s">
        <v>13</v>
      </c>
      <c r="B16" t="s">
        <v>26</v>
      </c>
      <c r="C16" s="2" t="s">
        <v>22</v>
      </c>
      <c r="D16" t="s">
        <v>32</v>
      </c>
    </row>
    <row r="17" spans="1:2">
      <c r="A17" s="2" t="s">
        <v>14</v>
      </c>
      <c r="B17" t="s">
        <v>27</v>
      </c>
    </row>
    <row r="18" spans="1:2">
      <c r="A18" s="2" t="s">
        <v>15</v>
      </c>
      <c r="B18" t="s">
        <v>28</v>
      </c>
    </row>
  </sheetData>
  <pageMargins left="0.7" right="0.7" top="0.75" bottom="0.75" header="0.3" footer="0.3"/>
  <headerFooter scaleWithDoc="1" alignWithMargins="0" differentFirst="0" differentOddEven="0"/>
  <extLst/>
</worksheet>
</file>

<file path=xl/worksheets/sheet2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2"/>
  <dimension ref="A1:I257"/>
  <sheetViews>
    <sheetView view="normal" workbookViewId="0">
      <selection pane="topLeft" activeCell="A1" sqref="A1"/>
    </sheetView>
  </sheetViews>
  <sheetFormatPr defaultRowHeight="15"/>
  <cols>
    <col min="1" max="3" width="15.7109375" customWidth="1"/>
    <col min="4" max="4" width="5.7109375" customWidth="1"/>
    <col min="5" max="5" width="40.7109375" customWidth="1"/>
    <col min="6" max="6" width="25.7109375" customWidth="1"/>
    <col min="7" max="8" width="15.7109375" customWidth="1"/>
    <col min="9" max="9" width="40.7109375" customWidth="1"/>
    <col min="10" max="10" width="5.7109375" customWidth="1"/>
  </cols>
  <sheetData>
    <row r="1" spans="1:1">
      <c r="A1" s="8"/>
    </row>
    <row r="2" spans="1:1">
      <c r="A2" s="8"/>
    </row>
    <row r="3" spans="1:2">
      <c r="A3" s="8"/>
      <c r="B3" s="6" t="s">
        <v>33</v>
      </c>
    </row>
    <row r="4" spans="1:2">
      <c r="A4" s="8"/>
      <c r="B4" s="6" t="s">
        <v>34</v>
      </c>
    </row>
    <row r="5" spans="1:1">
      <c r="A5" s="8"/>
    </row>
    <row r="6" spans="1:7">
      <c r="A6" s="8"/>
      <c r="G6" s="3" t="s">
        <v>43</v>
      </c>
    </row>
    <row r="7" spans="1:9">
      <c r="A7" s="9" t="s">
        <v>35</v>
      </c>
      <c r="B7" s="2" t="s">
        <v>36</v>
      </c>
      <c r="C7" s="2" t="s">
        <v>39</v>
      </c>
      <c r="E7" s="6" t="s">
        <v>37</v>
      </c>
      <c r="F7" s="2" t="s">
        <v>38</v>
      </c>
      <c r="G7" s="2" t="s">
        <v>40</v>
      </c>
      <c r="H7" s="2" t="s">
        <v>41</v>
      </c>
      <c r="I7" s="6" t="s">
        <v>42</v>
      </c>
    </row>
    <row r="8" spans="1:8">
      <c r="A8" s="8" t="s">
        <v>44</v>
      </c>
      <c r="B8" s="10">
        <v>35.01</v>
      </c>
      <c r="C8" s="11">
        <f ca="1">IFERROR(VLOOKUP(A8, ItemList!$A:$D, 4, FALSE), "")</f>
        <v>0</v>
      </c>
      <c r="E8">
        <f ca="1">IFERROR(VLOOKUP(A8, ItemList!$A:$D, 2, FALSE), "")</f>
        <v>0</v>
      </c>
      <c r="F8" s="10">
        <v>35.01</v>
      </c>
      <c r="G8" s="12">
        <f ca="1">IFERROR(VLOOKUP(A8, LYSalesList!$B:$D, 2, FALSE), "")</f>
        <v>0</v>
      </c>
      <c r="H8" s="13">
        <f ca="1">IFERROR(VLOOKUP(A8, LYSalesList!$B:$D, 3, FALSE), "")</f>
        <v>0</v>
      </c>
    </row>
    <row r="9" spans="1:8">
      <c r="A9" s="8" t="s">
        <v>45</v>
      </c>
      <c r="B9" s="10">
        <v>52.84</v>
      </c>
      <c r="C9" s="11">
        <f ca="1">IFERROR(VLOOKUP(A9, ItemList!$A:$D, 4, FALSE), "")</f>
        <v>0</v>
      </c>
      <c r="E9">
        <f ca="1">IFERROR(VLOOKUP(A9, ItemList!$A:$D, 2, FALSE), "")</f>
        <v>0</v>
      </c>
      <c r="F9" s="10">
        <v>52.84</v>
      </c>
      <c r="G9" s="12">
        <f ca="1">IFERROR(VLOOKUP(A9, LYSalesList!$B:$D, 2, FALSE), "")</f>
        <v>0</v>
      </c>
      <c r="H9" s="13">
        <f ca="1">IFERROR(VLOOKUP(A9, LYSalesList!$B:$D, 3, FALSE), "")</f>
        <v>0</v>
      </c>
    </row>
    <row r="10" spans="1:8">
      <c r="A10" s="8" t="s">
        <v>46</v>
      </c>
      <c r="B10" s="10">
        <v>46.57</v>
      </c>
      <c r="C10" s="11">
        <f ca="1">IFERROR(VLOOKUP(A10, ItemList!$A:$D, 4, FALSE), "")</f>
        <v>0</v>
      </c>
      <c r="E10">
        <f ca="1">IFERROR(VLOOKUP(A10, ItemList!$A:$D, 2, FALSE), "")</f>
        <v>0</v>
      </c>
      <c r="F10" s="10">
        <v>46.57</v>
      </c>
      <c r="G10" s="12">
        <f ca="1">IFERROR(VLOOKUP(A10, LYSalesList!$B:$D, 2, FALSE), "")</f>
        <v>0</v>
      </c>
      <c r="H10" s="13">
        <f ca="1">IFERROR(VLOOKUP(A10, LYSalesList!$B:$D, 3, FALSE), "")</f>
        <v>0</v>
      </c>
    </row>
    <row r="11" spans="1:8">
      <c r="A11" s="8" t="s">
        <v>47</v>
      </c>
      <c r="B11" s="10">
        <v>27.63</v>
      </c>
      <c r="C11" s="11">
        <f ca="1">IFERROR(VLOOKUP(A11, ItemList!$A:$D, 4, FALSE), "")</f>
        <v>0</v>
      </c>
      <c r="E11">
        <f ca="1">IFERROR(VLOOKUP(A11, ItemList!$A:$D, 2, FALSE), "")</f>
        <v>0</v>
      </c>
      <c r="F11" s="10">
        <v>27.63</v>
      </c>
      <c r="G11" s="12">
        <f ca="1">IFERROR(VLOOKUP(A11, LYSalesList!$B:$D, 2, FALSE), "")</f>
        <v>0</v>
      </c>
      <c r="H11" s="13">
        <f ca="1">IFERROR(VLOOKUP(A11, LYSalesList!$B:$D, 3, FALSE), "")</f>
        <v>0</v>
      </c>
    </row>
    <row r="12" spans="1:8">
      <c r="A12" s="8" t="s">
        <v>48</v>
      </c>
      <c r="B12" s="10">
        <v>65.04</v>
      </c>
      <c r="C12" s="11">
        <f ca="1">IFERROR(VLOOKUP(A12, ItemList!$A:$D, 4, FALSE), "")</f>
        <v>0</v>
      </c>
      <c r="E12">
        <f ca="1">IFERROR(VLOOKUP(A12, ItemList!$A:$D, 2, FALSE), "")</f>
        <v>0</v>
      </c>
      <c r="F12" s="10">
        <v>65.04</v>
      </c>
      <c r="G12" s="12">
        <f ca="1">IFERROR(VLOOKUP(A12, LYSalesList!$B:$D, 2, FALSE), "")</f>
        <v>0</v>
      </c>
      <c r="H12" s="13">
        <f ca="1">IFERROR(VLOOKUP(A12, LYSalesList!$B:$D, 3, FALSE), "")</f>
        <v>0</v>
      </c>
    </row>
    <row r="13" spans="1:8">
      <c r="A13" s="8" t="s">
        <v>49</v>
      </c>
      <c r="B13" s="10">
        <v>93.16</v>
      </c>
      <c r="C13" s="11">
        <f ca="1">IFERROR(VLOOKUP(A13, ItemList!$A:$D, 4, FALSE), "")</f>
        <v>0</v>
      </c>
      <c r="E13">
        <f ca="1">IFERROR(VLOOKUP(A13, ItemList!$A:$D, 2, FALSE), "")</f>
        <v>0</v>
      </c>
      <c r="F13" s="10">
        <v>93.16</v>
      </c>
      <c r="G13" s="12">
        <f ca="1">IFERROR(VLOOKUP(A13, LYSalesList!$B:$D, 2, FALSE), "")</f>
        <v>0</v>
      </c>
      <c r="H13" s="13">
        <f ca="1">IFERROR(VLOOKUP(A13, LYSalesList!$B:$D, 3, FALSE), "")</f>
        <v>0</v>
      </c>
    </row>
    <row r="14" spans="1:8">
      <c r="A14" s="8" t="s">
        <v>50</v>
      </c>
      <c r="B14" s="10">
        <v>49.36</v>
      </c>
      <c r="C14" s="11">
        <f ca="1">IFERROR(VLOOKUP(A14, ItemList!$A:$D, 4, FALSE), "")</f>
        <v>0</v>
      </c>
      <c r="E14">
        <f ca="1">IFERROR(VLOOKUP(A14, ItemList!$A:$D, 2, FALSE), "")</f>
        <v>0</v>
      </c>
      <c r="F14" s="10">
        <v>49.36</v>
      </c>
      <c r="G14" s="12">
        <f ca="1">IFERROR(VLOOKUP(A14, LYSalesList!$B:$D, 2, FALSE), "")</f>
        <v>0</v>
      </c>
      <c r="H14" s="13">
        <f ca="1">IFERROR(VLOOKUP(A14, LYSalesList!$B:$D, 3, FALSE), "")</f>
        <v>0</v>
      </c>
    </row>
    <row r="15" spans="1:8">
      <c r="A15" s="8" t="s">
        <v>51</v>
      </c>
      <c r="B15" s="10">
        <v>37.63</v>
      </c>
      <c r="C15" s="11">
        <f ca="1">IFERROR(VLOOKUP(A15, ItemList!$A:$D, 4, FALSE), "")</f>
        <v>0</v>
      </c>
      <c r="E15">
        <f ca="1">IFERROR(VLOOKUP(A15, ItemList!$A:$D, 2, FALSE), "")</f>
        <v>0</v>
      </c>
      <c r="F15" s="10">
        <v>37.63</v>
      </c>
      <c r="G15" s="12">
        <f ca="1">IFERROR(VLOOKUP(A15, LYSalesList!$B:$D, 2, FALSE), "")</f>
        <v>0</v>
      </c>
      <c r="H15" s="13">
        <f ca="1">IFERROR(VLOOKUP(A15, LYSalesList!$B:$D, 3, FALSE), "")</f>
        <v>0</v>
      </c>
    </row>
    <row r="16" spans="1:8">
      <c r="A16" s="8" t="s">
        <v>52</v>
      </c>
      <c r="B16" s="10">
        <v>23.53</v>
      </c>
      <c r="C16" s="11">
        <f ca="1">IFERROR(VLOOKUP(A16, ItemList!$A:$D, 4, FALSE), "")</f>
        <v>0</v>
      </c>
      <c r="E16">
        <f ca="1">IFERROR(VLOOKUP(A16, ItemList!$A:$D, 2, FALSE), "")</f>
        <v>0</v>
      </c>
      <c r="F16" s="10">
        <v>23.53</v>
      </c>
      <c r="G16" s="12">
        <f ca="1">IFERROR(VLOOKUP(A16, LYSalesList!$B:$D, 2, FALSE), "")</f>
        <v>0</v>
      </c>
      <c r="H16" s="13">
        <f ca="1">IFERROR(VLOOKUP(A16, LYSalesList!$B:$D, 3, FALSE), "")</f>
        <v>0</v>
      </c>
    </row>
    <row r="17" spans="1:8">
      <c r="A17" s="8" t="s">
        <v>53</v>
      </c>
      <c r="B17" s="10">
        <v>20.77</v>
      </c>
      <c r="C17" s="11">
        <f ca="1">IFERROR(VLOOKUP(A17, ItemList!$A:$D, 4, FALSE), "")</f>
        <v>0</v>
      </c>
      <c r="E17">
        <f ca="1">IFERROR(VLOOKUP(A17, ItemList!$A:$D, 2, FALSE), "")</f>
        <v>0</v>
      </c>
      <c r="F17" s="10">
        <v>20.77</v>
      </c>
      <c r="G17" s="12">
        <f ca="1">IFERROR(VLOOKUP(A17, LYSalesList!$B:$D, 2, FALSE), "")</f>
        <v>0</v>
      </c>
      <c r="H17" s="13">
        <f ca="1">IFERROR(VLOOKUP(A17, LYSalesList!$B:$D, 3, FALSE), "")</f>
        <v>0</v>
      </c>
    </row>
    <row r="18" spans="1:8">
      <c r="A18" s="8" t="s">
        <v>54</v>
      </c>
      <c r="B18" s="10">
        <v>23.22</v>
      </c>
      <c r="C18" s="11">
        <f ca="1">IFERROR(VLOOKUP(A18, ItemList!$A:$D, 4, FALSE), "")</f>
        <v>0</v>
      </c>
      <c r="E18">
        <f ca="1">IFERROR(VLOOKUP(A18, ItemList!$A:$D, 2, FALSE), "")</f>
        <v>0</v>
      </c>
      <c r="F18" s="10">
        <v>23.22</v>
      </c>
      <c r="G18" s="12">
        <f ca="1">IFERROR(VLOOKUP(A18, LYSalesList!$B:$D, 2, FALSE), "")</f>
        <v>0</v>
      </c>
      <c r="H18" s="13">
        <f ca="1">IFERROR(VLOOKUP(A18, LYSalesList!$B:$D, 3, FALSE), "")</f>
        <v>0</v>
      </c>
    </row>
    <row r="19" spans="1:8">
      <c r="A19" s="8" t="s">
        <v>55</v>
      </c>
      <c r="B19" s="10">
        <v>15.89</v>
      </c>
      <c r="C19" s="11">
        <f ca="1">IFERROR(VLOOKUP(A19, ItemList!$A:$D, 4, FALSE), "")</f>
        <v>0</v>
      </c>
      <c r="E19">
        <f ca="1">IFERROR(VLOOKUP(A19, ItemList!$A:$D, 2, FALSE), "")</f>
        <v>0</v>
      </c>
      <c r="F19" s="10">
        <v>15.89</v>
      </c>
      <c r="G19" s="12">
        <f ca="1">IFERROR(VLOOKUP(A19, LYSalesList!$B:$D, 2, FALSE), "")</f>
        <v>0</v>
      </c>
      <c r="H19" s="13">
        <f ca="1">IFERROR(VLOOKUP(A19, LYSalesList!$B:$D, 3, FALSE), "")</f>
        <v>0</v>
      </c>
    </row>
    <row r="20" spans="1:8">
      <c r="A20" s="8" t="s">
        <v>56</v>
      </c>
      <c r="B20" s="10">
        <v>24</v>
      </c>
      <c r="C20" s="11">
        <f ca="1">IFERROR(VLOOKUP(A20, ItemList!$A:$D, 4, FALSE), "")</f>
        <v>0</v>
      </c>
      <c r="E20">
        <f ca="1">IFERROR(VLOOKUP(A20, ItemList!$A:$D, 2, FALSE), "")</f>
        <v>0</v>
      </c>
      <c r="F20" s="10">
        <v>24</v>
      </c>
      <c r="G20" s="12">
        <f ca="1">IFERROR(VLOOKUP(A20, LYSalesList!$B:$D, 2, FALSE), "")</f>
        <v>0</v>
      </c>
      <c r="H20" s="13">
        <f ca="1">IFERROR(VLOOKUP(A20, LYSalesList!$B:$D, 3, FALSE), "")</f>
        <v>0</v>
      </c>
    </row>
    <row r="21" spans="1:8">
      <c r="A21" s="8" t="s">
        <v>57</v>
      </c>
      <c r="B21" s="10">
        <v>10.8</v>
      </c>
      <c r="C21" s="11">
        <f ca="1">IFERROR(VLOOKUP(A21, ItemList!$A:$D, 4, FALSE), "")</f>
        <v>0</v>
      </c>
      <c r="E21">
        <f ca="1">IFERROR(VLOOKUP(A21, ItemList!$A:$D, 2, FALSE), "")</f>
        <v>0</v>
      </c>
      <c r="F21" s="10">
        <v>10.8</v>
      </c>
      <c r="G21" s="12">
        <f ca="1">IFERROR(VLOOKUP(A21, LYSalesList!$B:$D, 2, FALSE), "")</f>
        <v>0</v>
      </c>
      <c r="H21" s="13">
        <f ca="1">IFERROR(VLOOKUP(A21, LYSalesList!$B:$D, 3, FALSE), "")</f>
        <v>0</v>
      </c>
    </row>
    <row r="22" spans="1:8">
      <c r="A22" s="8" t="s">
        <v>58</v>
      </c>
      <c r="B22" s="10">
        <v>14.23</v>
      </c>
      <c r="C22" s="11">
        <f ca="1">IFERROR(VLOOKUP(A22, ItemList!$A:$D, 4, FALSE), "")</f>
        <v>0</v>
      </c>
      <c r="E22">
        <f ca="1">IFERROR(VLOOKUP(A22, ItemList!$A:$D, 2, FALSE), "")</f>
        <v>0</v>
      </c>
      <c r="F22" s="10">
        <v>14.23</v>
      </c>
      <c r="G22" s="12">
        <f ca="1">IFERROR(VLOOKUP(A22, LYSalesList!$B:$D, 2, FALSE), "")</f>
        <v>0</v>
      </c>
      <c r="H22" s="13">
        <f ca="1">IFERROR(VLOOKUP(A22, LYSalesList!$B:$D, 3, FALSE), "")</f>
        <v>0</v>
      </c>
    </row>
    <row r="23" spans="1:8">
      <c r="A23" s="8" t="s">
        <v>59</v>
      </c>
      <c r="B23" s="10">
        <v>66.65</v>
      </c>
      <c r="C23" s="11">
        <f ca="1">IFERROR(VLOOKUP(A23, ItemList!$A:$D, 4, FALSE), "")</f>
        <v>0</v>
      </c>
      <c r="E23">
        <f ca="1">IFERROR(VLOOKUP(A23, ItemList!$A:$D, 2, FALSE), "")</f>
        <v>0</v>
      </c>
      <c r="F23" s="10">
        <v>66.65</v>
      </c>
      <c r="G23" s="12">
        <f ca="1">IFERROR(VLOOKUP(A23, LYSalesList!$B:$D, 2, FALSE), "")</f>
        <v>0</v>
      </c>
      <c r="H23" s="13">
        <f ca="1">IFERROR(VLOOKUP(A23, LYSalesList!$B:$D, 3, FALSE), "")</f>
        <v>0</v>
      </c>
    </row>
    <row r="24" spans="1:8">
      <c r="A24" s="8" t="s">
        <v>60</v>
      </c>
      <c r="B24" s="10">
        <v>9.13</v>
      </c>
      <c r="C24" s="11">
        <f ca="1">IFERROR(VLOOKUP(A24, ItemList!$A:$D, 4, FALSE), "")</f>
        <v>0</v>
      </c>
      <c r="E24">
        <f ca="1">IFERROR(VLOOKUP(A24, ItemList!$A:$D, 2, FALSE), "")</f>
        <v>0</v>
      </c>
      <c r="F24" s="10">
        <v>9.13</v>
      </c>
      <c r="G24" s="12">
        <f ca="1">IFERROR(VLOOKUP(A24, LYSalesList!$B:$D, 2, FALSE), "")</f>
        <v>0</v>
      </c>
      <c r="H24" s="13">
        <f ca="1">IFERROR(VLOOKUP(A24, LYSalesList!$B:$D, 3, FALSE), "")</f>
        <v>0</v>
      </c>
    </row>
    <row r="25" spans="1:8">
      <c r="A25" s="8" t="s">
        <v>61</v>
      </c>
      <c r="B25" s="10">
        <v>29.5</v>
      </c>
      <c r="C25" s="11">
        <f ca="1">IFERROR(VLOOKUP(A25, ItemList!$A:$D, 4, FALSE), "")</f>
        <v>0</v>
      </c>
      <c r="E25">
        <f ca="1">IFERROR(VLOOKUP(A25, ItemList!$A:$D, 2, FALSE), "")</f>
        <v>0</v>
      </c>
      <c r="F25" s="10">
        <v>29.5</v>
      </c>
      <c r="G25" s="12">
        <f ca="1">IFERROR(VLOOKUP(A25, LYSalesList!$B:$D, 2, FALSE), "")</f>
        <v>0</v>
      </c>
      <c r="H25" s="13">
        <f ca="1">IFERROR(VLOOKUP(A25, LYSalesList!$B:$D, 3, FALSE), "")</f>
        <v>0</v>
      </c>
    </row>
    <row r="26" spans="1:8">
      <c r="A26" s="8" t="s">
        <v>62</v>
      </c>
      <c r="B26" s="10">
        <v>3.59</v>
      </c>
      <c r="C26" s="11">
        <f ca="1">IFERROR(VLOOKUP(A26, ItemList!$A:$D, 4, FALSE), "")</f>
        <v>0</v>
      </c>
      <c r="E26">
        <f ca="1">IFERROR(VLOOKUP(A26, ItemList!$A:$D, 2, FALSE), "")</f>
        <v>0</v>
      </c>
      <c r="F26" s="10">
        <v>3.59</v>
      </c>
      <c r="G26" s="12">
        <f ca="1">IFERROR(VLOOKUP(A26, LYSalesList!$B:$D, 2, FALSE), "")</f>
        <v>0</v>
      </c>
      <c r="H26" s="13">
        <f ca="1">IFERROR(VLOOKUP(A26, LYSalesList!$B:$D, 3, FALSE), "")</f>
        <v>0</v>
      </c>
    </row>
    <row r="27" spans="1:8">
      <c r="A27" s="8" t="s">
        <v>63</v>
      </c>
      <c r="B27" s="10">
        <v>62.89</v>
      </c>
      <c r="C27" s="11">
        <f ca="1">IFERROR(VLOOKUP(A27, ItemList!$A:$D, 4, FALSE), "")</f>
        <v>0</v>
      </c>
      <c r="E27">
        <f ca="1">IFERROR(VLOOKUP(A27, ItemList!$A:$D, 2, FALSE), "")</f>
        <v>0</v>
      </c>
      <c r="F27" s="10">
        <v>62.89</v>
      </c>
      <c r="G27" s="12">
        <f ca="1">IFERROR(VLOOKUP(A27, LYSalesList!$B:$D, 2, FALSE), "")</f>
        <v>0</v>
      </c>
      <c r="H27" s="13">
        <f ca="1">IFERROR(VLOOKUP(A27, LYSalesList!$B:$D, 3, FALSE), "")</f>
        <v>0</v>
      </c>
    </row>
    <row r="28" spans="1:8">
      <c r="A28" s="8" t="s">
        <v>64</v>
      </c>
      <c r="B28" s="10">
        <v>144.82</v>
      </c>
      <c r="C28" s="11">
        <f ca="1">IFERROR(VLOOKUP(A28, ItemList!$A:$D, 4, FALSE), "")</f>
        <v>0</v>
      </c>
      <c r="E28">
        <f ca="1">IFERROR(VLOOKUP(A28, ItemList!$A:$D, 2, FALSE), "")</f>
        <v>0</v>
      </c>
      <c r="F28" s="10">
        <v>144.82</v>
      </c>
      <c r="G28" s="12">
        <f ca="1">IFERROR(VLOOKUP(A28, LYSalesList!$B:$D, 2, FALSE), "")</f>
        <v>0</v>
      </c>
      <c r="H28" s="13">
        <f ca="1">IFERROR(VLOOKUP(A28, LYSalesList!$B:$D, 3, FALSE), "")</f>
        <v>0</v>
      </c>
    </row>
    <row r="29" spans="1:8">
      <c r="A29" s="8" t="s">
        <v>65</v>
      </c>
      <c r="B29" s="10">
        <v>139.33</v>
      </c>
      <c r="C29" s="11">
        <f ca="1">IFERROR(VLOOKUP(A29, ItemList!$A:$D, 4, FALSE), "")</f>
        <v>0</v>
      </c>
      <c r="E29">
        <f ca="1">IFERROR(VLOOKUP(A29, ItemList!$A:$D, 2, FALSE), "")</f>
        <v>0</v>
      </c>
      <c r="F29" s="10">
        <v>139.33</v>
      </c>
      <c r="G29" s="12">
        <f ca="1">IFERROR(VLOOKUP(A29, LYSalesList!$B:$D, 2, FALSE), "")</f>
        <v>0</v>
      </c>
      <c r="H29" s="13">
        <f ca="1">IFERROR(VLOOKUP(A29, LYSalesList!$B:$D, 3, FALSE), "")</f>
        <v>0</v>
      </c>
    </row>
    <row r="30" spans="1:8">
      <c r="A30" s="8" t="s">
        <v>66</v>
      </c>
      <c r="B30" s="10">
        <v>78.67</v>
      </c>
      <c r="C30" s="11">
        <f ca="1">IFERROR(VLOOKUP(A30, ItemList!$A:$D, 4, FALSE), "")</f>
        <v>0</v>
      </c>
      <c r="E30">
        <f ca="1">IFERROR(VLOOKUP(A30, ItemList!$A:$D, 2, FALSE), "")</f>
        <v>0</v>
      </c>
      <c r="F30" s="10">
        <v>78.67</v>
      </c>
      <c r="G30" s="12">
        <f ca="1">IFERROR(VLOOKUP(A30, LYSalesList!$B:$D, 2, FALSE), "")</f>
        <v>0</v>
      </c>
      <c r="H30" s="13">
        <f ca="1">IFERROR(VLOOKUP(A30, LYSalesList!$B:$D, 3, FALSE), "")</f>
        <v>0</v>
      </c>
    </row>
    <row r="31" spans="1:8">
      <c r="A31" s="8" t="s">
        <v>67</v>
      </c>
      <c r="B31" s="10">
        <v>26.83</v>
      </c>
      <c r="C31" s="11">
        <f ca="1">IFERROR(VLOOKUP(A31, ItemList!$A:$D, 4, FALSE), "")</f>
        <v>0</v>
      </c>
      <c r="E31">
        <f ca="1">IFERROR(VLOOKUP(A31, ItemList!$A:$D, 2, FALSE), "")</f>
        <v>0</v>
      </c>
      <c r="F31" s="10">
        <v>26.83</v>
      </c>
      <c r="G31" s="12">
        <f ca="1">IFERROR(VLOOKUP(A31, LYSalesList!$B:$D, 2, FALSE), "")</f>
        <v>0</v>
      </c>
      <c r="H31" s="13">
        <f ca="1">IFERROR(VLOOKUP(A31, LYSalesList!$B:$D, 3, FALSE), "")</f>
        <v>0</v>
      </c>
    </row>
    <row r="32" spans="1:8">
      <c r="A32" s="8" t="s">
        <v>68</v>
      </c>
      <c r="B32" s="10">
        <v>22.66</v>
      </c>
      <c r="C32" s="11">
        <f ca="1">IFERROR(VLOOKUP(A32, ItemList!$A:$D, 4, FALSE), "")</f>
        <v>0</v>
      </c>
      <c r="E32">
        <f ca="1">IFERROR(VLOOKUP(A32, ItemList!$A:$D, 2, FALSE), "")</f>
        <v>0</v>
      </c>
      <c r="F32" s="10">
        <v>22.66</v>
      </c>
      <c r="G32" s="12">
        <f ca="1">IFERROR(VLOOKUP(A32, LYSalesList!$B:$D, 2, FALSE), "")</f>
        <v>0</v>
      </c>
      <c r="H32" s="13">
        <f ca="1">IFERROR(VLOOKUP(A32, LYSalesList!$B:$D, 3, FALSE), "")</f>
        <v>0</v>
      </c>
    </row>
    <row r="33" spans="1:8">
      <c r="A33" s="8" t="s">
        <v>69</v>
      </c>
      <c r="B33" s="10">
        <v>17.99</v>
      </c>
      <c r="C33" s="11">
        <f ca="1">IFERROR(VLOOKUP(A33, ItemList!$A:$D, 4, FALSE), "")</f>
        <v>0</v>
      </c>
      <c r="E33">
        <f ca="1">IFERROR(VLOOKUP(A33, ItemList!$A:$D, 2, FALSE), "")</f>
        <v>0</v>
      </c>
      <c r="F33" s="10">
        <v>17.99</v>
      </c>
      <c r="G33" s="12">
        <f ca="1">IFERROR(VLOOKUP(A33, LYSalesList!$B:$D, 2, FALSE), "")</f>
        <v>0</v>
      </c>
      <c r="H33" s="13">
        <f ca="1">IFERROR(VLOOKUP(A33, LYSalesList!$B:$D, 3, FALSE), "")</f>
        <v>0</v>
      </c>
    </row>
    <row r="34" spans="1:8">
      <c r="A34" s="8" t="s">
        <v>70</v>
      </c>
      <c r="B34" s="10">
        <v>69.85</v>
      </c>
      <c r="C34" s="11">
        <f ca="1">IFERROR(VLOOKUP(A34, ItemList!$A:$D, 4, FALSE), "")</f>
        <v>0</v>
      </c>
      <c r="E34">
        <f ca="1">IFERROR(VLOOKUP(A34, ItemList!$A:$D, 2, FALSE), "")</f>
        <v>0</v>
      </c>
      <c r="F34" s="10">
        <v>69.85</v>
      </c>
      <c r="G34" s="12">
        <f ca="1">IFERROR(VLOOKUP(A34, LYSalesList!$B:$D, 2, FALSE), "")</f>
        <v>0</v>
      </c>
      <c r="H34" s="13">
        <f ca="1">IFERROR(VLOOKUP(A34, LYSalesList!$B:$D, 3, FALSE), "")</f>
        <v>0</v>
      </c>
    </row>
    <row r="35" spans="1:8">
      <c r="A35" s="8" t="s">
        <v>71</v>
      </c>
      <c r="B35" s="10">
        <v>26.58</v>
      </c>
      <c r="C35" s="11">
        <f ca="1">IFERROR(VLOOKUP(A35, ItemList!$A:$D, 4, FALSE), "")</f>
        <v>0</v>
      </c>
      <c r="E35">
        <f ca="1">IFERROR(VLOOKUP(A35, ItemList!$A:$D, 2, FALSE), "")</f>
        <v>0</v>
      </c>
      <c r="F35" s="10">
        <v>26.58</v>
      </c>
      <c r="G35" s="12">
        <f ca="1">IFERROR(VLOOKUP(A35, LYSalesList!$B:$D, 2, FALSE), "")</f>
        <v>0</v>
      </c>
      <c r="H35" s="13">
        <f ca="1">IFERROR(VLOOKUP(A35, LYSalesList!$B:$D, 3, FALSE), "")</f>
        <v>0</v>
      </c>
    </row>
    <row r="36" spans="1:8">
      <c r="A36" s="8" t="s">
        <v>72</v>
      </c>
      <c r="B36" s="10">
        <v>59.02</v>
      </c>
      <c r="C36" s="11">
        <f ca="1">IFERROR(VLOOKUP(A36, ItemList!$A:$D, 4, FALSE), "")</f>
        <v>0</v>
      </c>
      <c r="E36">
        <f ca="1">IFERROR(VLOOKUP(A36, ItemList!$A:$D, 2, FALSE), "")</f>
        <v>0</v>
      </c>
      <c r="F36" s="10">
        <v>59.02</v>
      </c>
      <c r="G36" s="12">
        <f ca="1">IFERROR(VLOOKUP(A36, LYSalesList!$B:$D, 2, FALSE), "")</f>
        <v>0</v>
      </c>
      <c r="H36" s="13">
        <f ca="1">IFERROR(VLOOKUP(A36, LYSalesList!$B:$D, 3, FALSE), "")</f>
        <v>0</v>
      </c>
    </row>
    <row r="37" spans="1:8">
      <c r="A37" s="8" t="s">
        <v>73</v>
      </c>
      <c r="B37" s="10">
        <v>66.14</v>
      </c>
      <c r="C37" s="11">
        <f ca="1">IFERROR(VLOOKUP(A37, ItemList!$A:$D, 4, FALSE), "")</f>
        <v>0</v>
      </c>
      <c r="E37">
        <f ca="1">IFERROR(VLOOKUP(A37, ItemList!$A:$D, 2, FALSE), "")</f>
        <v>0</v>
      </c>
      <c r="F37" s="10">
        <v>66.14</v>
      </c>
      <c r="G37" s="12">
        <f ca="1">IFERROR(VLOOKUP(A37, LYSalesList!$B:$D, 2, FALSE), "")</f>
        <v>0</v>
      </c>
      <c r="H37" s="13">
        <f ca="1">IFERROR(VLOOKUP(A37, LYSalesList!$B:$D, 3, FALSE), "")</f>
        <v>0</v>
      </c>
    </row>
    <row r="38" spans="1:8">
      <c r="A38" s="8" t="s">
        <v>74</v>
      </c>
      <c r="B38" s="10">
        <v>17.13</v>
      </c>
      <c r="C38" s="11">
        <f ca="1">IFERROR(VLOOKUP(A38, ItemList!$A:$D, 4, FALSE), "")</f>
        <v>0</v>
      </c>
      <c r="E38">
        <f ca="1">IFERROR(VLOOKUP(A38, ItemList!$A:$D, 2, FALSE), "")</f>
        <v>0</v>
      </c>
      <c r="F38" s="10">
        <v>17.13</v>
      </c>
      <c r="G38" s="12">
        <f ca="1">IFERROR(VLOOKUP(A38, LYSalesList!$B:$D, 2, FALSE), "")</f>
        <v>0</v>
      </c>
      <c r="H38" s="13">
        <f ca="1">IFERROR(VLOOKUP(A38, LYSalesList!$B:$D, 3, FALSE), "")</f>
        <v>0</v>
      </c>
    </row>
    <row r="39" spans="1:8">
      <c r="A39" s="8" t="s">
        <v>75</v>
      </c>
      <c r="B39" s="10">
        <v>63.17</v>
      </c>
      <c r="C39" s="11">
        <f ca="1">IFERROR(VLOOKUP(A39, ItemList!$A:$D, 4, FALSE), "")</f>
        <v>0</v>
      </c>
      <c r="E39">
        <f ca="1">IFERROR(VLOOKUP(A39, ItemList!$A:$D, 2, FALSE), "")</f>
        <v>0</v>
      </c>
      <c r="F39" s="10">
        <v>63.17</v>
      </c>
      <c r="G39" s="12">
        <f ca="1">IFERROR(VLOOKUP(A39, LYSalesList!$B:$D, 2, FALSE), "")</f>
        <v>0</v>
      </c>
      <c r="H39" s="13">
        <f ca="1">IFERROR(VLOOKUP(A39, LYSalesList!$B:$D, 3, FALSE), "")</f>
        <v>0</v>
      </c>
    </row>
    <row r="40" spans="1:8">
      <c r="A40" s="8" t="s">
        <v>76</v>
      </c>
      <c r="B40" s="10">
        <v>54.4</v>
      </c>
      <c r="C40" s="11">
        <f ca="1">IFERROR(VLOOKUP(A40, ItemList!$A:$D, 4, FALSE), "")</f>
        <v>0</v>
      </c>
      <c r="E40">
        <f ca="1">IFERROR(VLOOKUP(A40, ItemList!$A:$D, 2, FALSE), "")</f>
        <v>0</v>
      </c>
      <c r="F40" s="10">
        <v>54.4</v>
      </c>
      <c r="G40" s="12">
        <f ca="1">IFERROR(VLOOKUP(A40, LYSalesList!$B:$D, 2, FALSE), "")</f>
        <v>0</v>
      </c>
      <c r="H40" s="13">
        <f ca="1">IFERROR(VLOOKUP(A40, LYSalesList!$B:$D, 3, FALSE), "")</f>
        <v>0</v>
      </c>
    </row>
    <row r="41" spans="1:8">
      <c r="A41" s="8" t="s">
        <v>77</v>
      </c>
      <c r="B41" s="10">
        <v>32.28</v>
      </c>
      <c r="C41" s="11">
        <f ca="1">IFERROR(VLOOKUP(A41, ItemList!$A:$D, 4, FALSE), "")</f>
        <v>0</v>
      </c>
      <c r="E41">
        <f ca="1">IFERROR(VLOOKUP(A41, ItemList!$A:$D, 2, FALSE), "")</f>
        <v>0</v>
      </c>
      <c r="F41" s="10">
        <v>32.28</v>
      </c>
      <c r="G41" s="12">
        <f ca="1">IFERROR(VLOOKUP(A41, LYSalesList!$B:$D, 2, FALSE), "")</f>
        <v>0</v>
      </c>
      <c r="H41" s="13">
        <f ca="1">IFERROR(VLOOKUP(A41, LYSalesList!$B:$D, 3, FALSE), "")</f>
        <v>0</v>
      </c>
    </row>
    <row r="42" spans="1:8">
      <c r="A42" s="8" t="s">
        <v>78</v>
      </c>
      <c r="B42" s="10">
        <v>26.2</v>
      </c>
      <c r="C42" s="11">
        <f ca="1">IFERROR(VLOOKUP(A42, ItemList!$A:$D, 4, FALSE), "")</f>
        <v>0</v>
      </c>
      <c r="E42">
        <f ca="1">IFERROR(VLOOKUP(A42, ItemList!$A:$D, 2, FALSE), "")</f>
        <v>0</v>
      </c>
      <c r="F42" s="10">
        <v>26.2</v>
      </c>
      <c r="G42" s="12">
        <f ca="1">IFERROR(VLOOKUP(A42, LYSalesList!$B:$D, 2, FALSE), "")</f>
        <v>0</v>
      </c>
      <c r="H42" s="13">
        <f ca="1">IFERROR(VLOOKUP(A42, LYSalesList!$B:$D, 3, FALSE), "")</f>
        <v>0</v>
      </c>
    </row>
    <row r="43" spans="1:8">
      <c r="A43" s="8" t="s">
        <v>79</v>
      </c>
      <c r="B43" s="10">
        <v>62.75</v>
      </c>
      <c r="C43" s="11">
        <f ca="1">IFERROR(VLOOKUP(A43, ItemList!$A:$D, 4, FALSE), "")</f>
        <v>0</v>
      </c>
      <c r="E43">
        <f ca="1">IFERROR(VLOOKUP(A43, ItemList!$A:$D, 2, FALSE), "")</f>
        <v>0</v>
      </c>
      <c r="F43" s="10">
        <v>62.75</v>
      </c>
      <c r="G43" s="12">
        <f ca="1">IFERROR(VLOOKUP(A43, LYSalesList!$B:$D, 2, FALSE), "")</f>
        <v>0</v>
      </c>
      <c r="H43" s="13">
        <f ca="1">IFERROR(VLOOKUP(A43, LYSalesList!$B:$D, 3, FALSE), "")</f>
        <v>0</v>
      </c>
    </row>
    <row r="44" spans="1:8">
      <c r="A44" s="8" t="s">
        <v>80</v>
      </c>
      <c r="B44" s="10">
        <v>54.55</v>
      </c>
      <c r="C44" s="11">
        <f ca="1">IFERROR(VLOOKUP(A44, ItemList!$A:$D, 4, FALSE), "")</f>
        <v>0</v>
      </c>
      <c r="E44">
        <f ca="1">IFERROR(VLOOKUP(A44, ItemList!$A:$D, 2, FALSE), "")</f>
        <v>0</v>
      </c>
      <c r="F44" s="10">
        <v>54.55</v>
      </c>
      <c r="G44" s="12">
        <f ca="1">IFERROR(VLOOKUP(A44, LYSalesList!$B:$D, 2, FALSE), "")</f>
        <v>0</v>
      </c>
      <c r="H44" s="13">
        <f ca="1">IFERROR(VLOOKUP(A44, LYSalesList!$B:$D, 3, FALSE), "")</f>
        <v>0</v>
      </c>
    </row>
    <row r="45" spans="1:8">
      <c r="A45" s="8" t="s">
        <v>81</v>
      </c>
      <c r="B45" s="10">
        <v>150.46</v>
      </c>
      <c r="C45" s="11">
        <f ca="1">IFERROR(VLOOKUP(A45, ItemList!$A:$D, 4, FALSE), "")</f>
        <v>0</v>
      </c>
      <c r="E45">
        <f ca="1">IFERROR(VLOOKUP(A45, ItemList!$A:$D, 2, FALSE), "")</f>
        <v>0</v>
      </c>
      <c r="F45" s="10">
        <v>150.46</v>
      </c>
      <c r="G45" s="12">
        <f ca="1">IFERROR(VLOOKUP(A45, LYSalesList!$B:$D, 2, FALSE), "")</f>
        <v>0</v>
      </c>
      <c r="H45" s="13">
        <f ca="1">IFERROR(VLOOKUP(A45, LYSalesList!$B:$D, 3, FALSE), "")</f>
        <v>0</v>
      </c>
    </row>
    <row r="46" spans="1:8">
      <c r="A46" s="8" t="s">
        <v>82</v>
      </c>
      <c r="B46" s="10">
        <v>150.46</v>
      </c>
      <c r="C46" s="11">
        <f ca="1">IFERROR(VLOOKUP(A46, ItemList!$A:$D, 4, FALSE), "")</f>
        <v>0</v>
      </c>
      <c r="E46">
        <f ca="1">IFERROR(VLOOKUP(A46, ItemList!$A:$D, 2, FALSE), "")</f>
        <v>0</v>
      </c>
      <c r="F46" s="10">
        <v>150.46</v>
      </c>
      <c r="G46" s="12">
        <f ca="1">IFERROR(VLOOKUP(A46, LYSalesList!$B:$D, 2, FALSE), "")</f>
        <v>0</v>
      </c>
      <c r="H46" s="13">
        <f ca="1">IFERROR(VLOOKUP(A46, LYSalesList!$B:$D, 3, FALSE), "")</f>
        <v>0</v>
      </c>
    </row>
    <row r="47" spans="1:8">
      <c r="A47" s="8" t="s">
        <v>83</v>
      </c>
      <c r="B47" s="10">
        <v>278.27</v>
      </c>
      <c r="C47" s="11">
        <f ca="1">IFERROR(VLOOKUP(A47, ItemList!$A:$D, 4, FALSE), "")</f>
        <v>0</v>
      </c>
      <c r="E47">
        <f ca="1">IFERROR(VLOOKUP(A47, ItemList!$A:$D, 2, FALSE), "")</f>
        <v>0</v>
      </c>
      <c r="F47" s="10">
        <v>278.27</v>
      </c>
      <c r="G47" s="12">
        <f ca="1">IFERROR(VLOOKUP(A47, LYSalesList!$B:$D, 2, FALSE), "")</f>
        <v>0</v>
      </c>
      <c r="H47" s="13">
        <f ca="1">IFERROR(VLOOKUP(A47, LYSalesList!$B:$D, 3, FALSE), "")</f>
        <v>0</v>
      </c>
    </row>
    <row r="48" spans="1:8">
      <c r="A48" s="8" t="s">
        <v>84</v>
      </c>
      <c r="B48" s="10">
        <v>73.97</v>
      </c>
      <c r="C48" s="11">
        <f ca="1">IFERROR(VLOOKUP(A48, ItemList!$A:$D, 4, FALSE), "")</f>
        <v>0</v>
      </c>
      <c r="E48">
        <f ca="1">IFERROR(VLOOKUP(A48, ItemList!$A:$D, 2, FALSE), "")</f>
        <v>0</v>
      </c>
      <c r="F48" s="10">
        <v>73.97</v>
      </c>
      <c r="G48" s="12">
        <f ca="1">IFERROR(VLOOKUP(A48, LYSalesList!$B:$D, 2, FALSE), "")</f>
        <v>0</v>
      </c>
      <c r="H48" s="13">
        <f ca="1">IFERROR(VLOOKUP(A48, LYSalesList!$B:$D, 3, FALSE), "")</f>
        <v>0</v>
      </c>
    </row>
    <row r="49" spans="1:8">
      <c r="A49" s="8" t="s">
        <v>85</v>
      </c>
      <c r="B49" s="10">
        <v>117.7</v>
      </c>
      <c r="C49" s="11">
        <f ca="1">IFERROR(VLOOKUP(A49, ItemList!$A:$D, 4, FALSE), "")</f>
        <v>0</v>
      </c>
      <c r="E49">
        <f ca="1">IFERROR(VLOOKUP(A49, ItemList!$A:$D, 2, FALSE), "")</f>
        <v>0</v>
      </c>
      <c r="F49" s="10">
        <v>117.7</v>
      </c>
      <c r="G49" s="12">
        <f ca="1">IFERROR(VLOOKUP(A49, LYSalesList!$B:$D, 2, FALSE), "")</f>
        <v>0</v>
      </c>
      <c r="H49" s="13">
        <f ca="1">IFERROR(VLOOKUP(A49, LYSalesList!$B:$D, 3, FALSE), "")</f>
        <v>0</v>
      </c>
    </row>
    <row r="50" spans="1:8">
      <c r="A50" s="8" t="s">
        <v>86</v>
      </c>
      <c r="B50" s="10">
        <v>67.03</v>
      </c>
      <c r="C50" s="11">
        <f ca="1">IFERROR(VLOOKUP(A50, ItemList!$A:$D, 4, FALSE), "")</f>
        <v>0</v>
      </c>
      <c r="E50">
        <f ca="1">IFERROR(VLOOKUP(A50, ItemList!$A:$D, 2, FALSE), "")</f>
        <v>0</v>
      </c>
      <c r="F50" s="10">
        <v>67.03</v>
      </c>
      <c r="G50" s="12">
        <f ca="1">IFERROR(VLOOKUP(A50, LYSalesList!$B:$D, 2, FALSE), "")</f>
        <v>0</v>
      </c>
      <c r="H50" s="13">
        <f ca="1">IFERROR(VLOOKUP(A50, LYSalesList!$B:$D, 3, FALSE), "")</f>
        <v>0</v>
      </c>
    </row>
    <row r="51" spans="1:8">
      <c r="A51" s="8" t="s">
        <v>87</v>
      </c>
      <c r="B51" s="10">
        <v>85</v>
      </c>
      <c r="C51" s="11">
        <f ca="1">IFERROR(VLOOKUP(A51, ItemList!$A:$D, 4, FALSE), "")</f>
        <v>0</v>
      </c>
      <c r="E51">
        <f ca="1">IFERROR(VLOOKUP(A51, ItemList!$A:$D, 2, FALSE), "")</f>
        <v>0</v>
      </c>
      <c r="F51" s="10">
        <v>85</v>
      </c>
      <c r="G51" s="12">
        <f ca="1">IFERROR(VLOOKUP(A51, LYSalesList!$B:$D, 2, FALSE), "")</f>
        <v>0</v>
      </c>
      <c r="H51" s="13">
        <f ca="1">IFERROR(VLOOKUP(A51, LYSalesList!$B:$D, 3, FALSE), "")</f>
        <v>0</v>
      </c>
    </row>
    <row r="52" spans="1:8">
      <c r="A52" s="8" t="s">
        <v>88</v>
      </c>
      <c r="B52" s="10">
        <v>68.31</v>
      </c>
      <c r="C52" s="11">
        <f ca="1">IFERROR(VLOOKUP(A52, ItemList!$A:$D, 4, FALSE), "")</f>
        <v>0</v>
      </c>
      <c r="E52">
        <f ca="1">IFERROR(VLOOKUP(A52, ItemList!$A:$D, 2, FALSE), "")</f>
        <v>0</v>
      </c>
      <c r="F52" s="10">
        <v>68.31</v>
      </c>
      <c r="G52" s="12">
        <f ca="1">IFERROR(VLOOKUP(A52, LYSalesList!$B:$D, 2, FALSE), "")</f>
        <v>0</v>
      </c>
      <c r="H52" s="13">
        <f ca="1">IFERROR(VLOOKUP(A52, LYSalesList!$B:$D, 3, FALSE), "")</f>
        <v>0</v>
      </c>
    </row>
    <row r="53" spans="1:8">
      <c r="A53" s="8" t="s">
        <v>89</v>
      </c>
      <c r="B53" s="10">
        <v>20.77</v>
      </c>
      <c r="C53" s="11">
        <f ca="1">IFERROR(VLOOKUP(A53, ItemList!$A:$D, 4, FALSE), "")</f>
        <v>0</v>
      </c>
      <c r="E53">
        <f ca="1">IFERROR(VLOOKUP(A53, ItemList!$A:$D, 2, FALSE), "")</f>
        <v>0</v>
      </c>
      <c r="F53" s="10">
        <v>20.77</v>
      </c>
      <c r="G53" s="12">
        <f ca="1">IFERROR(VLOOKUP(A53, LYSalesList!$B:$D, 2, FALSE), "")</f>
        <v>0</v>
      </c>
      <c r="H53" s="13">
        <f ca="1">IFERROR(VLOOKUP(A53, LYSalesList!$B:$D, 3, FALSE), "")</f>
        <v>0</v>
      </c>
    </row>
    <row r="54" spans="1:8">
      <c r="A54" s="8" t="s">
        <v>90</v>
      </c>
      <c r="B54" s="10">
        <v>60.92</v>
      </c>
      <c r="C54" s="11">
        <f ca="1">IFERROR(VLOOKUP(A54, ItemList!$A:$D, 4, FALSE), "")</f>
        <v>0</v>
      </c>
      <c r="E54">
        <f ca="1">IFERROR(VLOOKUP(A54, ItemList!$A:$D, 2, FALSE), "")</f>
        <v>0</v>
      </c>
      <c r="F54" s="10">
        <v>60.92</v>
      </c>
      <c r="G54" s="12">
        <f ca="1">IFERROR(VLOOKUP(A54, LYSalesList!$B:$D, 2, FALSE), "")</f>
        <v>0</v>
      </c>
      <c r="H54" s="13">
        <f ca="1">IFERROR(VLOOKUP(A54, LYSalesList!$B:$D, 3, FALSE), "")</f>
        <v>0</v>
      </c>
    </row>
    <row r="55" spans="1:8">
      <c r="A55" s="8" t="s">
        <v>91</v>
      </c>
      <c r="B55" s="10">
        <v>29.73</v>
      </c>
      <c r="C55" s="11">
        <f ca="1">IFERROR(VLOOKUP(A55, ItemList!$A:$D, 4, FALSE), "")</f>
        <v>0</v>
      </c>
      <c r="E55">
        <f ca="1">IFERROR(VLOOKUP(A55, ItemList!$A:$D, 2, FALSE), "")</f>
        <v>0</v>
      </c>
      <c r="F55" s="10">
        <v>29.73</v>
      </c>
      <c r="G55" s="12">
        <f ca="1">IFERROR(VLOOKUP(A55, LYSalesList!$B:$D, 2, FALSE), "")</f>
        <v>0</v>
      </c>
      <c r="H55" s="13">
        <f ca="1">IFERROR(VLOOKUP(A55, LYSalesList!$B:$D, 3, FALSE), "")</f>
        <v>0</v>
      </c>
    </row>
    <row r="56" spans="1:8">
      <c r="A56" s="8" t="s">
        <v>92</v>
      </c>
      <c r="B56" s="10">
        <v>25.17</v>
      </c>
      <c r="C56" s="11">
        <f ca="1">IFERROR(VLOOKUP(A56, ItemList!$A:$D, 4, FALSE), "")</f>
        <v>0</v>
      </c>
      <c r="E56">
        <f ca="1">IFERROR(VLOOKUP(A56, ItemList!$A:$D, 2, FALSE), "")</f>
        <v>0</v>
      </c>
      <c r="F56" s="10">
        <v>25.17</v>
      </c>
      <c r="G56" s="12">
        <f ca="1">IFERROR(VLOOKUP(A56, LYSalesList!$B:$D, 2, FALSE), "")</f>
        <v>0</v>
      </c>
      <c r="H56" s="13">
        <f ca="1">IFERROR(VLOOKUP(A56, LYSalesList!$B:$D, 3, FALSE), "")</f>
        <v>0</v>
      </c>
    </row>
    <row r="57" spans="1:8">
      <c r="A57" s="8" t="s">
        <v>93</v>
      </c>
      <c r="B57" s="10">
        <v>28.37</v>
      </c>
      <c r="C57" s="11">
        <f ca="1">IFERROR(VLOOKUP(A57, ItemList!$A:$D, 4, FALSE), "")</f>
        <v>0</v>
      </c>
      <c r="E57">
        <f ca="1">IFERROR(VLOOKUP(A57, ItemList!$A:$D, 2, FALSE), "")</f>
        <v>0</v>
      </c>
      <c r="F57" s="10">
        <v>28.37</v>
      </c>
      <c r="G57" s="12">
        <f ca="1">IFERROR(VLOOKUP(A57, LYSalesList!$B:$D, 2, FALSE), "")</f>
        <v>0</v>
      </c>
      <c r="H57" s="13">
        <f ca="1">IFERROR(VLOOKUP(A57, LYSalesList!$B:$D, 3, FALSE), "")</f>
        <v>0</v>
      </c>
    </row>
    <row r="58" spans="1:8">
      <c r="A58" s="8" t="s">
        <v>94</v>
      </c>
      <c r="B58" s="10">
        <v>103.38</v>
      </c>
      <c r="C58" s="11">
        <f ca="1">IFERROR(VLOOKUP(A58, ItemList!$A:$D, 4, FALSE), "")</f>
        <v>0</v>
      </c>
      <c r="E58">
        <f ca="1">IFERROR(VLOOKUP(A58, ItemList!$A:$D, 2, FALSE), "")</f>
        <v>0</v>
      </c>
      <c r="F58" s="10">
        <v>103.38</v>
      </c>
      <c r="G58" s="12">
        <f ca="1">IFERROR(VLOOKUP(A58, LYSalesList!$B:$D, 2, FALSE), "")</f>
        <v>0</v>
      </c>
      <c r="H58" s="13">
        <f ca="1">IFERROR(VLOOKUP(A58, LYSalesList!$B:$D, 3, FALSE), "")</f>
        <v>0</v>
      </c>
    </row>
    <row r="59" spans="1:8">
      <c r="A59" s="8" t="s">
        <v>95</v>
      </c>
      <c r="B59" s="10">
        <v>36.9</v>
      </c>
      <c r="C59" s="11">
        <f ca="1">IFERROR(VLOOKUP(A59, ItemList!$A:$D, 4, FALSE), "")</f>
        <v>0</v>
      </c>
      <c r="E59">
        <f ca="1">IFERROR(VLOOKUP(A59, ItemList!$A:$D, 2, FALSE), "")</f>
        <v>0</v>
      </c>
      <c r="F59" s="10">
        <v>36.9</v>
      </c>
      <c r="G59" s="12">
        <f ca="1">IFERROR(VLOOKUP(A59, LYSalesList!$B:$D, 2, FALSE), "")</f>
        <v>0</v>
      </c>
      <c r="H59" s="13">
        <f ca="1">IFERROR(VLOOKUP(A59, LYSalesList!$B:$D, 3, FALSE), "")</f>
        <v>0</v>
      </c>
    </row>
    <row r="60" spans="1:8">
      <c r="A60" s="8" t="s">
        <v>96</v>
      </c>
      <c r="B60" s="10">
        <v>28.28</v>
      </c>
      <c r="C60" s="11">
        <f ca="1">IFERROR(VLOOKUP(A60, ItemList!$A:$D, 4, FALSE), "")</f>
        <v>0</v>
      </c>
      <c r="E60">
        <f ca="1">IFERROR(VLOOKUP(A60, ItemList!$A:$D, 2, FALSE), "")</f>
        <v>0</v>
      </c>
      <c r="F60" s="10">
        <v>28.28</v>
      </c>
      <c r="G60" s="12">
        <f ca="1">IFERROR(VLOOKUP(A60, LYSalesList!$B:$D, 2, FALSE), "")</f>
        <v>0</v>
      </c>
      <c r="H60" s="13">
        <f ca="1">IFERROR(VLOOKUP(A60, LYSalesList!$B:$D, 3, FALSE), "")</f>
        <v>0</v>
      </c>
    </row>
    <row r="61" spans="1:8">
      <c r="A61" s="8" t="s">
        <v>97</v>
      </c>
      <c r="B61" s="10">
        <v>30.24</v>
      </c>
      <c r="C61" s="11">
        <f ca="1">IFERROR(VLOOKUP(A61, ItemList!$A:$D, 4, FALSE), "")</f>
        <v>0</v>
      </c>
      <c r="E61">
        <f ca="1">IFERROR(VLOOKUP(A61, ItemList!$A:$D, 2, FALSE), "")</f>
        <v>0</v>
      </c>
      <c r="F61" s="10">
        <v>30.24</v>
      </c>
      <c r="G61" s="12">
        <f ca="1">IFERROR(VLOOKUP(A61, LYSalesList!$B:$D, 2, FALSE), "")</f>
        <v>0</v>
      </c>
      <c r="H61" s="13">
        <f ca="1">IFERROR(VLOOKUP(A61, LYSalesList!$B:$D, 3, FALSE), "")</f>
        <v>0</v>
      </c>
    </row>
    <row r="62" spans="1:8">
      <c r="A62" s="8" t="s">
        <v>98</v>
      </c>
      <c r="B62" s="10">
        <v>16.06</v>
      </c>
      <c r="C62" s="11">
        <f ca="1">IFERROR(VLOOKUP(A62, ItemList!$A:$D, 4, FALSE), "")</f>
        <v>0</v>
      </c>
      <c r="E62">
        <f ca="1">IFERROR(VLOOKUP(A62, ItemList!$A:$D, 2, FALSE), "")</f>
        <v>0</v>
      </c>
      <c r="F62" s="10">
        <v>16.06</v>
      </c>
      <c r="G62" s="12">
        <f ca="1">IFERROR(VLOOKUP(A62, LYSalesList!$B:$D, 2, FALSE), "")</f>
        <v>0</v>
      </c>
      <c r="H62" s="13">
        <f ca="1">IFERROR(VLOOKUP(A62, LYSalesList!$B:$D, 3, FALSE), "")</f>
        <v>0</v>
      </c>
    </row>
    <row r="63" spans="1:8">
      <c r="A63" s="8" t="s">
        <v>99</v>
      </c>
      <c r="B63" s="10">
        <v>16.64</v>
      </c>
      <c r="C63" s="11">
        <f ca="1">IFERROR(VLOOKUP(A63, ItemList!$A:$D, 4, FALSE), "")</f>
        <v>0</v>
      </c>
      <c r="E63">
        <f ca="1">IFERROR(VLOOKUP(A63, ItemList!$A:$D, 2, FALSE), "")</f>
        <v>0</v>
      </c>
      <c r="F63" s="10">
        <v>16.64</v>
      </c>
      <c r="G63" s="12">
        <f ca="1">IFERROR(VLOOKUP(A63, LYSalesList!$B:$D, 2, FALSE), "")</f>
        <v>0</v>
      </c>
      <c r="H63" s="13">
        <f ca="1">IFERROR(VLOOKUP(A63, LYSalesList!$B:$D, 3, FALSE), "")</f>
        <v>0</v>
      </c>
    </row>
    <row r="64" spans="1:8">
      <c r="A64" s="8" t="s">
        <v>100</v>
      </c>
      <c r="B64" s="10">
        <v>13.06</v>
      </c>
      <c r="C64" s="11">
        <f ca="1">IFERROR(VLOOKUP(A64, ItemList!$A:$D, 4, FALSE), "")</f>
        <v>0</v>
      </c>
      <c r="E64">
        <f ca="1">IFERROR(VLOOKUP(A64, ItemList!$A:$D, 2, FALSE), "")</f>
        <v>0</v>
      </c>
      <c r="F64" s="10">
        <v>13.06</v>
      </c>
      <c r="G64" s="12">
        <f ca="1">IFERROR(VLOOKUP(A64, LYSalesList!$B:$D, 2, FALSE), "")</f>
        <v>0</v>
      </c>
      <c r="H64" s="13">
        <f ca="1">IFERROR(VLOOKUP(A64, LYSalesList!$B:$D, 3, FALSE), "")</f>
        <v>0</v>
      </c>
    </row>
    <row r="65" spans="1:8">
      <c r="A65" s="8" t="s">
        <v>101</v>
      </c>
      <c r="B65" s="10">
        <v>9.13</v>
      </c>
      <c r="C65" s="11">
        <f ca="1">IFERROR(VLOOKUP(A65, ItemList!$A:$D, 4, FALSE), "")</f>
        <v>0</v>
      </c>
      <c r="E65">
        <f ca="1">IFERROR(VLOOKUP(A65, ItemList!$A:$D, 2, FALSE), "")</f>
        <v>0</v>
      </c>
      <c r="F65" s="10">
        <v>9.13</v>
      </c>
      <c r="G65" s="12">
        <f ca="1">IFERROR(VLOOKUP(A65, LYSalesList!$B:$D, 2, FALSE), "")</f>
        <v>0</v>
      </c>
      <c r="H65" s="13">
        <f ca="1">IFERROR(VLOOKUP(A65, LYSalesList!$B:$D, 3, FALSE), "")</f>
        <v>0</v>
      </c>
    </row>
    <row r="66" spans="1:8">
      <c r="A66" s="8" t="s">
        <v>102</v>
      </c>
      <c r="B66" s="10">
        <v>9.13</v>
      </c>
      <c r="C66" s="11">
        <f ca="1">IFERROR(VLOOKUP(A66, ItemList!$A:$D, 4, FALSE), "")</f>
        <v>0</v>
      </c>
      <c r="E66">
        <f ca="1">IFERROR(VLOOKUP(A66, ItemList!$A:$D, 2, FALSE), "")</f>
        <v>0</v>
      </c>
      <c r="F66" s="10">
        <v>9.13</v>
      </c>
      <c r="G66" s="12">
        <f ca="1">IFERROR(VLOOKUP(A66, LYSalesList!$B:$D, 2, FALSE), "")</f>
        <v>0</v>
      </c>
      <c r="H66" s="13">
        <f ca="1">IFERROR(VLOOKUP(A66, LYSalesList!$B:$D, 3, FALSE), "")</f>
        <v>0</v>
      </c>
    </row>
    <row r="67" spans="1:8">
      <c r="A67" s="8" t="s">
        <v>103</v>
      </c>
      <c r="B67" s="10">
        <v>9.13</v>
      </c>
      <c r="C67" s="11">
        <f ca="1">IFERROR(VLOOKUP(A67, ItemList!$A:$D, 4, FALSE), "")</f>
        <v>0</v>
      </c>
      <c r="E67">
        <f ca="1">IFERROR(VLOOKUP(A67, ItemList!$A:$D, 2, FALSE), "")</f>
        <v>0</v>
      </c>
      <c r="F67" s="10">
        <v>9.13</v>
      </c>
      <c r="G67" s="12">
        <f ca="1">IFERROR(VLOOKUP(A67, LYSalesList!$B:$D, 2, FALSE), "")</f>
        <v>0</v>
      </c>
      <c r="H67" s="13">
        <f ca="1">IFERROR(VLOOKUP(A67, LYSalesList!$B:$D, 3, FALSE), "")</f>
        <v>0</v>
      </c>
    </row>
    <row r="68" spans="1:8">
      <c r="A68" s="8" t="s">
        <v>104</v>
      </c>
      <c r="B68" s="10">
        <v>83.32</v>
      </c>
      <c r="C68" s="11">
        <f ca="1">IFERROR(VLOOKUP(A68, ItemList!$A:$D, 4, FALSE), "")</f>
        <v>0</v>
      </c>
      <c r="E68">
        <f ca="1">IFERROR(VLOOKUP(A68, ItemList!$A:$D, 2, FALSE), "")</f>
        <v>0</v>
      </c>
      <c r="F68" s="10">
        <v>83.32</v>
      </c>
      <c r="G68" s="12">
        <f ca="1">IFERROR(VLOOKUP(A68, LYSalesList!$B:$D, 2, FALSE), "")</f>
        <v>0</v>
      </c>
      <c r="H68" s="13">
        <f ca="1">IFERROR(VLOOKUP(A68, LYSalesList!$B:$D, 3, FALSE), "")</f>
        <v>0</v>
      </c>
    </row>
    <row r="69" spans="1:8">
      <c r="A69" s="8" t="s">
        <v>105</v>
      </c>
      <c r="B69" s="10">
        <v>12.59</v>
      </c>
      <c r="C69" s="11">
        <f ca="1">IFERROR(VLOOKUP(A69, ItemList!$A:$D, 4, FALSE), "")</f>
        <v>0</v>
      </c>
      <c r="E69">
        <f ca="1">IFERROR(VLOOKUP(A69, ItemList!$A:$D, 2, FALSE), "")</f>
        <v>0</v>
      </c>
      <c r="F69" s="10">
        <v>12.59</v>
      </c>
      <c r="G69" s="12">
        <f ca="1">IFERROR(VLOOKUP(A69, LYSalesList!$B:$D, 2, FALSE), "")</f>
        <v>0</v>
      </c>
      <c r="H69" s="13">
        <f ca="1">IFERROR(VLOOKUP(A69, LYSalesList!$B:$D, 3, FALSE), "")</f>
        <v>0</v>
      </c>
    </row>
    <row r="70" spans="1:8">
      <c r="A70" s="8" t="s">
        <v>106</v>
      </c>
      <c r="B70" s="10">
        <v>158.24</v>
      </c>
      <c r="C70" s="11">
        <f ca="1">IFERROR(VLOOKUP(A70, ItemList!$A:$D, 4, FALSE), "")</f>
        <v>0</v>
      </c>
      <c r="E70">
        <f ca="1">IFERROR(VLOOKUP(A70, ItemList!$A:$D, 2, FALSE), "")</f>
        <v>0</v>
      </c>
      <c r="F70" s="10">
        <v>158.24</v>
      </c>
      <c r="G70" s="12">
        <f ca="1">IFERROR(VLOOKUP(A70, LYSalesList!$B:$D, 2, FALSE), "")</f>
        <v>0</v>
      </c>
      <c r="H70" s="13">
        <f ca="1">IFERROR(VLOOKUP(A70, LYSalesList!$B:$D, 3, FALSE), "")</f>
        <v>0</v>
      </c>
    </row>
    <row r="71" spans="1:8">
      <c r="A71" s="8" t="s">
        <v>107</v>
      </c>
      <c r="B71" s="10">
        <v>7.19</v>
      </c>
      <c r="C71" s="11">
        <f ca="1">IFERROR(VLOOKUP(A71, ItemList!$A:$D, 4, FALSE), "")</f>
        <v>0</v>
      </c>
      <c r="E71">
        <f ca="1">IFERROR(VLOOKUP(A71, ItemList!$A:$D, 2, FALSE), "")</f>
        <v>0</v>
      </c>
      <c r="F71" s="10">
        <v>7.19</v>
      </c>
      <c r="G71" s="12">
        <f ca="1">IFERROR(VLOOKUP(A71, LYSalesList!$B:$D, 2, FALSE), "")</f>
        <v>0</v>
      </c>
      <c r="H71" s="13">
        <f ca="1">IFERROR(VLOOKUP(A71, LYSalesList!$B:$D, 3, FALSE), "")</f>
        <v>0</v>
      </c>
    </row>
    <row r="72" spans="1:8">
      <c r="A72" s="8" t="s">
        <v>108</v>
      </c>
      <c r="B72" s="10">
        <v>19.31</v>
      </c>
      <c r="C72" s="11">
        <f ca="1">IFERROR(VLOOKUP(A72, ItemList!$A:$D, 4, FALSE), "")</f>
        <v>0</v>
      </c>
      <c r="E72">
        <f ca="1">IFERROR(VLOOKUP(A72, ItemList!$A:$D, 2, FALSE), "")</f>
        <v>0</v>
      </c>
      <c r="F72" s="10">
        <v>19.31</v>
      </c>
      <c r="G72" s="12">
        <f ca="1">IFERROR(VLOOKUP(A72, LYSalesList!$B:$D, 2, FALSE), "")</f>
        <v>0</v>
      </c>
      <c r="H72" s="13">
        <f ca="1">IFERROR(VLOOKUP(A72, LYSalesList!$B:$D, 3, FALSE), "")</f>
        <v>0</v>
      </c>
    </row>
    <row r="73" spans="1:8">
      <c r="A73" s="8" t="s">
        <v>109</v>
      </c>
      <c r="B73" s="10">
        <v>3.77</v>
      </c>
      <c r="C73" s="11">
        <f ca="1">IFERROR(VLOOKUP(A73, ItemList!$A:$D, 4, FALSE), "")</f>
        <v>0</v>
      </c>
      <c r="E73">
        <f ca="1">IFERROR(VLOOKUP(A73, ItemList!$A:$D, 2, FALSE), "")</f>
        <v>0</v>
      </c>
      <c r="F73" s="10">
        <v>3.77</v>
      </c>
      <c r="G73" s="12">
        <f ca="1">IFERROR(VLOOKUP(A73, LYSalesList!$B:$D, 2, FALSE), "")</f>
        <v>0</v>
      </c>
      <c r="H73" s="13">
        <f ca="1">IFERROR(VLOOKUP(A73, LYSalesList!$B:$D, 3, FALSE), "")</f>
        <v>0</v>
      </c>
    </row>
    <row r="74" spans="1:8">
      <c r="A74" s="8" t="s">
        <v>110</v>
      </c>
      <c r="B74" s="10">
        <v>87.94</v>
      </c>
      <c r="C74" s="11">
        <f ca="1">IFERROR(VLOOKUP(A74, ItemList!$A:$D, 4, FALSE), "")</f>
        <v>0</v>
      </c>
      <c r="E74">
        <f ca="1">IFERROR(VLOOKUP(A74, ItemList!$A:$D, 2, FALSE), "")</f>
        <v>0</v>
      </c>
      <c r="F74" s="10">
        <v>87.94</v>
      </c>
      <c r="G74" s="12">
        <f ca="1">IFERROR(VLOOKUP(A74, LYSalesList!$B:$D, 2, FALSE), "")</f>
        <v>0</v>
      </c>
      <c r="H74" s="13">
        <f ca="1">IFERROR(VLOOKUP(A74, LYSalesList!$B:$D, 3, FALSE), "")</f>
        <v>0</v>
      </c>
    </row>
    <row r="75" spans="1:8">
      <c r="A75" s="8" t="s">
        <v>111</v>
      </c>
      <c r="B75" s="10">
        <v>28.26</v>
      </c>
      <c r="C75" s="11">
        <f ca="1">IFERROR(VLOOKUP(A75, ItemList!$A:$D, 4, FALSE), "")</f>
        <v>0</v>
      </c>
      <c r="E75">
        <f ca="1">IFERROR(VLOOKUP(A75, ItemList!$A:$D, 2, FALSE), "")</f>
        <v>0</v>
      </c>
      <c r="F75" s="10">
        <v>28.26</v>
      </c>
      <c r="G75" s="12">
        <f ca="1">IFERROR(VLOOKUP(A75, LYSalesList!$B:$D, 2, FALSE), "")</f>
        <v>0</v>
      </c>
      <c r="H75" s="13">
        <f ca="1">IFERROR(VLOOKUP(A75, LYSalesList!$B:$D, 3, FALSE), "")</f>
        <v>0</v>
      </c>
    </row>
    <row r="76" spans="1:8">
      <c r="A76" s="8" t="s">
        <v>112</v>
      </c>
      <c r="B76" s="10">
        <v>21.41</v>
      </c>
      <c r="C76" s="11">
        <f ca="1">IFERROR(VLOOKUP(A76, ItemList!$A:$D, 4, FALSE), "")</f>
        <v>0</v>
      </c>
      <c r="E76">
        <f ca="1">IFERROR(VLOOKUP(A76, ItemList!$A:$D, 2, FALSE), "")</f>
        <v>0</v>
      </c>
      <c r="F76" s="10">
        <v>21.41</v>
      </c>
      <c r="G76" s="12">
        <f ca="1">IFERROR(VLOOKUP(A76, LYSalesList!$B:$D, 2, FALSE), "")</f>
        <v>0</v>
      </c>
      <c r="H76" s="13">
        <f ca="1">IFERROR(VLOOKUP(A76, LYSalesList!$B:$D, 3, FALSE), "")</f>
        <v>0</v>
      </c>
    </row>
    <row r="77" spans="1:8">
      <c r="A77" s="8" t="s">
        <v>113</v>
      </c>
      <c r="B77" s="10">
        <v>66.2</v>
      </c>
      <c r="C77" s="11">
        <f ca="1">IFERROR(VLOOKUP(A77, ItemList!$A:$D, 4, FALSE), "")</f>
        <v>0</v>
      </c>
      <c r="E77">
        <f ca="1">IFERROR(VLOOKUP(A77, ItemList!$A:$D, 2, FALSE), "")</f>
        <v>0</v>
      </c>
      <c r="F77" s="10">
        <v>66.2</v>
      </c>
      <c r="G77" s="12">
        <f ca="1">IFERROR(VLOOKUP(A77, LYSalesList!$B:$D, 2, FALSE), "")</f>
        <v>0</v>
      </c>
      <c r="H77" s="13">
        <f ca="1">IFERROR(VLOOKUP(A77, LYSalesList!$B:$D, 3, FALSE), "")</f>
        <v>0</v>
      </c>
    </row>
    <row r="78" spans="1:8">
      <c r="A78" s="8" t="s">
        <v>114</v>
      </c>
      <c r="B78" s="10">
        <v>66.07</v>
      </c>
      <c r="C78" s="11">
        <f ca="1">IFERROR(VLOOKUP(A78, ItemList!$A:$D, 4, FALSE), "")</f>
        <v>0</v>
      </c>
      <c r="E78">
        <f ca="1">IFERROR(VLOOKUP(A78, ItemList!$A:$D, 2, FALSE), "")</f>
        <v>0</v>
      </c>
      <c r="F78" s="10">
        <v>66.07</v>
      </c>
      <c r="G78" s="12">
        <f ca="1">IFERROR(VLOOKUP(A78, LYSalesList!$B:$D, 2, FALSE), "")</f>
        <v>0</v>
      </c>
      <c r="H78" s="13">
        <f ca="1">IFERROR(VLOOKUP(A78, LYSalesList!$B:$D, 3, FALSE), "")</f>
        <v>0</v>
      </c>
    </row>
    <row r="79" spans="1:8">
      <c r="A79" s="8" t="s">
        <v>115</v>
      </c>
      <c r="B79" s="10">
        <v>82.87</v>
      </c>
      <c r="C79" s="11">
        <f ca="1">IFERROR(VLOOKUP(A79, ItemList!$A:$D, 4, FALSE), "")</f>
        <v>0</v>
      </c>
      <c r="E79">
        <f ca="1">IFERROR(VLOOKUP(A79, ItemList!$A:$D, 2, FALSE), "")</f>
        <v>0</v>
      </c>
      <c r="F79" s="10">
        <v>82.87</v>
      </c>
      <c r="G79" s="12">
        <f ca="1">IFERROR(VLOOKUP(A79, LYSalesList!$B:$D, 2, FALSE), "")</f>
        <v>0</v>
      </c>
      <c r="H79" s="13">
        <f ca="1">IFERROR(VLOOKUP(A79, LYSalesList!$B:$D, 3, FALSE), "")</f>
        <v>0</v>
      </c>
    </row>
    <row r="80" spans="1:8">
      <c r="A80" s="8" t="s">
        <v>116</v>
      </c>
      <c r="B80" s="10">
        <v>75.86</v>
      </c>
      <c r="C80" s="11">
        <f ca="1">IFERROR(VLOOKUP(A80, ItemList!$A:$D, 4, FALSE), "")</f>
        <v>0</v>
      </c>
      <c r="E80">
        <f ca="1">IFERROR(VLOOKUP(A80, ItemList!$A:$D, 2, FALSE), "")</f>
        <v>0</v>
      </c>
      <c r="F80" s="10">
        <v>75.86</v>
      </c>
      <c r="G80" s="12">
        <f ca="1">IFERROR(VLOOKUP(A80, LYSalesList!$B:$D, 2, FALSE), "")</f>
        <v>0</v>
      </c>
      <c r="H80" s="13">
        <f ca="1">IFERROR(VLOOKUP(A80, LYSalesList!$B:$D, 3, FALSE), "")</f>
        <v>0</v>
      </c>
    </row>
    <row r="81" spans="1:8">
      <c r="A81" s="8" t="s">
        <v>117</v>
      </c>
      <c r="B81" s="10">
        <v>76.05</v>
      </c>
      <c r="C81" s="11">
        <f ca="1">IFERROR(VLOOKUP(A81, ItemList!$A:$D, 4, FALSE), "")</f>
        <v>0</v>
      </c>
      <c r="E81">
        <f ca="1">IFERROR(VLOOKUP(A81, ItemList!$A:$D, 2, FALSE), "")</f>
        <v>0</v>
      </c>
      <c r="F81" s="10">
        <v>76.05</v>
      </c>
      <c r="G81" s="12">
        <f ca="1">IFERROR(VLOOKUP(A81, LYSalesList!$B:$D, 2, FALSE), "")</f>
        <v>0</v>
      </c>
      <c r="H81" s="13">
        <f ca="1">IFERROR(VLOOKUP(A81, LYSalesList!$B:$D, 3, FALSE), "")</f>
        <v>0</v>
      </c>
    </row>
    <row r="82" spans="1:8">
      <c r="A82" s="8" t="s">
        <v>118</v>
      </c>
      <c r="B82" s="10">
        <v>69.76</v>
      </c>
      <c r="C82" s="11">
        <f ca="1">IFERROR(VLOOKUP(A82, ItemList!$A:$D, 4, FALSE), "")</f>
        <v>0</v>
      </c>
      <c r="E82">
        <f ca="1">IFERROR(VLOOKUP(A82, ItemList!$A:$D, 2, FALSE), "")</f>
        <v>0</v>
      </c>
      <c r="F82" s="10">
        <v>69.76</v>
      </c>
      <c r="G82" s="12">
        <f ca="1">IFERROR(VLOOKUP(A82, LYSalesList!$B:$D, 2, FALSE), "")</f>
        <v>0</v>
      </c>
      <c r="H82" s="13">
        <f ca="1">IFERROR(VLOOKUP(A82, LYSalesList!$B:$D, 3, FALSE), "")</f>
        <v>0</v>
      </c>
    </row>
    <row r="83" spans="1:8">
      <c r="A83" s="8" t="s">
        <v>119</v>
      </c>
      <c r="B83" s="10">
        <v>99.13</v>
      </c>
      <c r="C83" s="11">
        <f ca="1">IFERROR(VLOOKUP(A83, ItemList!$A:$D, 4, FALSE), "")</f>
        <v>0</v>
      </c>
      <c r="E83">
        <f ca="1">IFERROR(VLOOKUP(A83, ItemList!$A:$D, 2, FALSE), "")</f>
        <v>0</v>
      </c>
      <c r="F83" s="10">
        <v>99.13</v>
      </c>
      <c r="G83" s="12">
        <f ca="1">IFERROR(VLOOKUP(A83, LYSalesList!$B:$D, 2, FALSE), "")</f>
        <v>0</v>
      </c>
      <c r="H83" s="13">
        <f ca="1">IFERROR(VLOOKUP(A83, LYSalesList!$B:$D, 3, FALSE), "")</f>
        <v>0</v>
      </c>
    </row>
    <row r="84" spans="1:8">
      <c r="A84" s="8" t="s">
        <v>120</v>
      </c>
      <c r="B84" s="10">
        <v>15.95</v>
      </c>
      <c r="C84" s="11">
        <f ca="1">IFERROR(VLOOKUP(A84, ItemList!$A:$D, 4, FALSE), "")</f>
        <v>0</v>
      </c>
      <c r="E84">
        <f ca="1">IFERROR(VLOOKUP(A84, ItemList!$A:$D, 2, FALSE), "")</f>
        <v>0</v>
      </c>
      <c r="F84" s="10">
        <v>15.95</v>
      </c>
      <c r="G84" s="12">
        <f ca="1">IFERROR(VLOOKUP(A84, LYSalesList!$B:$D, 2, FALSE), "")</f>
        <v>0</v>
      </c>
      <c r="H84" s="13">
        <f ca="1">IFERROR(VLOOKUP(A84, LYSalesList!$B:$D, 3, FALSE), "")</f>
        <v>0</v>
      </c>
    </row>
    <row r="85" spans="1:8">
      <c r="A85" s="8" t="s">
        <v>121</v>
      </c>
      <c r="B85" s="10">
        <v>259.73</v>
      </c>
      <c r="C85" s="11">
        <f ca="1">IFERROR(VLOOKUP(A85, ItemList!$A:$D, 4, FALSE), "")</f>
        <v>0</v>
      </c>
      <c r="E85">
        <f ca="1">IFERROR(VLOOKUP(A85, ItemList!$A:$D, 2, FALSE), "")</f>
        <v>0</v>
      </c>
      <c r="F85" s="10">
        <v>259.73</v>
      </c>
      <c r="G85" s="12">
        <f ca="1">IFERROR(VLOOKUP(A85, LYSalesList!$B:$D, 2, FALSE), "")</f>
        <v>0</v>
      </c>
      <c r="H85" s="13">
        <f ca="1">IFERROR(VLOOKUP(A85, LYSalesList!$B:$D, 3, FALSE), "")</f>
        <v>0</v>
      </c>
    </row>
    <row r="86" spans="1:8">
      <c r="A86" s="8" t="s">
        <v>122</v>
      </c>
      <c r="B86" s="10">
        <v>29.67</v>
      </c>
      <c r="C86" s="11">
        <f ca="1">IFERROR(VLOOKUP(A86, ItemList!$A:$D, 4, FALSE), "")</f>
        <v>0</v>
      </c>
      <c r="E86">
        <f ca="1">IFERROR(VLOOKUP(A86, ItemList!$A:$D, 2, FALSE), "")</f>
        <v>0</v>
      </c>
      <c r="F86" s="10">
        <v>29.67</v>
      </c>
      <c r="G86" s="12">
        <f ca="1">IFERROR(VLOOKUP(A86, LYSalesList!$B:$D, 2, FALSE), "")</f>
        <v>0</v>
      </c>
      <c r="H86" s="13">
        <f ca="1">IFERROR(VLOOKUP(A86, LYSalesList!$B:$D, 3, FALSE), "")</f>
        <v>0</v>
      </c>
    </row>
    <row r="87" spans="1:8">
      <c r="A87" s="8" t="s">
        <v>123</v>
      </c>
      <c r="B87" s="10">
        <v>34.03</v>
      </c>
      <c r="C87" s="11">
        <f ca="1">IFERROR(VLOOKUP(A87, ItemList!$A:$D, 4, FALSE), "")</f>
        <v>0</v>
      </c>
      <c r="E87">
        <f ca="1">IFERROR(VLOOKUP(A87, ItemList!$A:$D, 2, FALSE), "")</f>
        <v>0</v>
      </c>
      <c r="F87" s="10">
        <v>34.03</v>
      </c>
      <c r="G87" s="12">
        <f ca="1">IFERROR(VLOOKUP(A87, LYSalesList!$B:$D, 2, FALSE), "")</f>
        <v>0</v>
      </c>
      <c r="H87" s="13">
        <f ca="1">IFERROR(VLOOKUP(A87, LYSalesList!$B:$D, 3, FALSE), "")</f>
        <v>0</v>
      </c>
    </row>
    <row r="88" spans="1:8">
      <c r="A88" s="8" t="s">
        <v>124</v>
      </c>
      <c r="B88" s="10">
        <v>142.9</v>
      </c>
      <c r="C88" s="11">
        <f ca="1">IFERROR(VLOOKUP(A88, ItemList!$A:$D, 4, FALSE), "")</f>
        <v>0</v>
      </c>
      <c r="E88">
        <f ca="1">IFERROR(VLOOKUP(A88, ItemList!$A:$D, 2, FALSE), "")</f>
        <v>0</v>
      </c>
      <c r="F88" s="10">
        <v>142.9</v>
      </c>
      <c r="G88" s="12">
        <f ca="1">IFERROR(VLOOKUP(A88, LYSalesList!$B:$D, 2, FALSE), "")</f>
        <v>0</v>
      </c>
      <c r="H88" s="13">
        <f ca="1">IFERROR(VLOOKUP(A88, LYSalesList!$B:$D, 3, FALSE), "")</f>
        <v>0</v>
      </c>
    </row>
    <row r="89" spans="1:8">
      <c r="A89" s="8" t="s">
        <v>125</v>
      </c>
      <c r="B89" s="10">
        <v>159.66</v>
      </c>
      <c r="C89" s="11">
        <f ca="1">IFERROR(VLOOKUP(A89, ItemList!$A:$D, 4, FALSE), "")</f>
        <v>0</v>
      </c>
      <c r="E89">
        <f ca="1">IFERROR(VLOOKUP(A89, ItemList!$A:$D, 2, FALSE), "")</f>
        <v>0</v>
      </c>
      <c r="F89" s="10">
        <v>159.66</v>
      </c>
      <c r="G89" s="12">
        <f ca="1">IFERROR(VLOOKUP(A89, LYSalesList!$B:$D, 2, FALSE), "")</f>
        <v>0</v>
      </c>
      <c r="H89" s="13">
        <f ca="1">IFERROR(VLOOKUP(A89, LYSalesList!$B:$D, 3, FALSE), "")</f>
        <v>0</v>
      </c>
    </row>
    <row r="90" spans="1:8">
      <c r="A90" s="8" t="s">
        <v>126</v>
      </c>
      <c r="B90" s="10">
        <v>131.37</v>
      </c>
      <c r="C90" s="11">
        <f ca="1">IFERROR(VLOOKUP(A90, ItemList!$A:$D, 4, FALSE), "")</f>
        <v>0</v>
      </c>
      <c r="E90">
        <f ca="1">IFERROR(VLOOKUP(A90, ItemList!$A:$D, 2, FALSE), "")</f>
        <v>0</v>
      </c>
      <c r="F90" s="10">
        <v>131.37</v>
      </c>
      <c r="G90" s="12">
        <f ca="1">IFERROR(VLOOKUP(A90, LYSalesList!$B:$D, 2, FALSE), "")</f>
        <v>0</v>
      </c>
      <c r="H90" s="13">
        <f ca="1">IFERROR(VLOOKUP(A90, LYSalesList!$B:$D, 3, FALSE), "")</f>
        <v>0</v>
      </c>
    </row>
    <row r="91" spans="1:8">
      <c r="A91" s="8" t="s">
        <v>127</v>
      </c>
      <c r="B91" s="10">
        <v>105.41</v>
      </c>
      <c r="C91" s="11">
        <f ca="1">IFERROR(VLOOKUP(A91, ItemList!$A:$D, 4, FALSE), "")</f>
        <v>0</v>
      </c>
      <c r="E91">
        <f ca="1">IFERROR(VLOOKUP(A91, ItemList!$A:$D, 2, FALSE), "")</f>
        <v>0</v>
      </c>
      <c r="F91" s="10">
        <v>105.41</v>
      </c>
      <c r="G91" s="12">
        <f ca="1">IFERROR(VLOOKUP(A91, LYSalesList!$B:$D, 2, FALSE), "")</f>
        <v>0</v>
      </c>
      <c r="H91" s="13">
        <f ca="1">IFERROR(VLOOKUP(A91, LYSalesList!$B:$D, 3, FALSE), "")</f>
        <v>0</v>
      </c>
    </row>
    <row r="92" spans="1:8">
      <c r="A92" s="8" t="s">
        <v>128</v>
      </c>
      <c r="B92" s="10">
        <v>210.26</v>
      </c>
      <c r="C92" s="11">
        <f ca="1">IFERROR(VLOOKUP(A92, ItemList!$A:$D, 4, FALSE), "")</f>
        <v>0</v>
      </c>
      <c r="E92">
        <f ca="1">IFERROR(VLOOKUP(A92, ItemList!$A:$D, 2, FALSE), "")</f>
        <v>0</v>
      </c>
      <c r="F92" s="10">
        <v>210.26</v>
      </c>
      <c r="G92" s="12">
        <f ca="1">IFERROR(VLOOKUP(A92, LYSalesList!$B:$D, 2, FALSE), "")</f>
        <v>0</v>
      </c>
      <c r="H92" s="13">
        <f ca="1">IFERROR(VLOOKUP(A92, LYSalesList!$B:$D, 3, FALSE), "")</f>
        <v>0</v>
      </c>
    </row>
    <row r="93" spans="1:8">
      <c r="A93" s="8" t="s">
        <v>129</v>
      </c>
      <c r="B93" s="10">
        <v>80.89</v>
      </c>
      <c r="C93" s="11">
        <f ca="1">IFERROR(VLOOKUP(A93, ItemList!$A:$D, 4, FALSE), "")</f>
        <v>0</v>
      </c>
      <c r="E93">
        <f ca="1">IFERROR(VLOOKUP(A93, ItemList!$A:$D, 2, FALSE), "")</f>
        <v>0</v>
      </c>
      <c r="F93" s="10">
        <v>80.89</v>
      </c>
      <c r="G93" s="12">
        <f ca="1">IFERROR(VLOOKUP(A93, LYSalesList!$B:$D, 2, FALSE), "")</f>
        <v>0</v>
      </c>
      <c r="H93" s="13">
        <f ca="1">IFERROR(VLOOKUP(A93, LYSalesList!$B:$D, 3, FALSE), "")</f>
        <v>0</v>
      </c>
    </row>
    <row r="94" spans="1:8">
      <c r="A94" s="8" t="s">
        <v>130</v>
      </c>
      <c r="B94" s="10">
        <v>50.34</v>
      </c>
      <c r="C94" s="11">
        <f ca="1">IFERROR(VLOOKUP(A94, ItemList!$A:$D, 4, FALSE), "")</f>
        <v>0</v>
      </c>
      <c r="E94">
        <f ca="1">IFERROR(VLOOKUP(A94, ItemList!$A:$D, 2, FALSE), "")</f>
        <v>0</v>
      </c>
      <c r="F94" s="10">
        <v>50.34</v>
      </c>
      <c r="G94" s="12">
        <f ca="1">IFERROR(VLOOKUP(A94, LYSalesList!$B:$D, 2, FALSE), "")</f>
        <v>0</v>
      </c>
      <c r="H94" s="13">
        <f ca="1">IFERROR(VLOOKUP(A94, LYSalesList!$B:$D, 3, FALSE), "")</f>
        <v>0</v>
      </c>
    </row>
    <row r="95" spans="1:8">
      <c r="A95" s="8" t="s">
        <v>131</v>
      </c>
      <c r="B95" s="10">
        <v>27.66</v>
      </c>
      <c r="C95" s="11">
        <f ca="1">IFERROR(VLOOKUP(A95, ItemList!$A:$D, 4, FALSE), "")</f>
        <v>0</v>
      </c>
      <c r="E95">
        <f ca="1">IFERROR(VLOOKUP(A95, ItemList!$A:$D, 2, FALSE), "")</f>
        <v>0</v>
      </c>
      <c r="F95" s="10">
        <v>27.66</v>
      </c>
      <c r="G95" s="12">
        <f ca="1">IFERROR(VLOOKUP(A95, LYSalesList!$B:$D, 2, FALSE), "")</f>
        <v>0</v>
      </c>
      <c r="H95" s="13">
        <f ca="1">IFERROR(VLOOKUP(A95, LYSalesList!$B:$D, 3, FALSE), "")</f>
        <v>0</v>
      </c>
    </row>
    <row r="96" spans="1:8">
      <c r="A96" s="8" t="s">
        <v>132</v>
      </c>
      <c r="B96" s="10">
        <v>52.29</v>
      </c>
      <c r="C96" s="11">
        <f ca="1">IFERROR(VLOOKUP(A96, ItemList!$A:$D, 4, FALSE), "")</f>
        <v>0</v>
      </c>
      <c r="E96">
        <f ca="1">IFERROR(VLOOKUP(A96, ItemList!$A:$D, 2, FALSE), "")</f>
        <v>0</v>
      </c>
      <c r="F96" s="10">
        <v>52.29</v>
      </c>
      <c r="G96" s="12">
        <f ca="1">IFERROR(VLOOKUP(A96, LYSalesList!$B:$D, 2, FALSE), "")</f>
        <v>0</v>
      </c>
      <c r="H96" s="13">
        <f ca="1">IFERROR(VLOOKUP(A96, LYSalesList!$B:$D, 3, FALSE), "")</f>
        <v>0</v>
      </c>
    </row>
    <row r="97" spans="1:8">
      <c r="A97" s="8" t="s">
        <v>133</v>
      </c>
      <c r="B97" s="10">
        <v>40.61</v>
      </c>
      <c r="C97" s="11">
        <f ca="1">IFERROR(VLOOKUP(A97, ItemList!$A:$D, 4, FALSE), "")</f>
        <v>0</v>
      </c>
      <c r="E97">
        <f ca="1">IFERROR(VLOOKUP(A97, ItemList!$A:$D, 2, FALSE), "")</f>
        <v>0</v>
      </c>
      <c r="F97" s="10">
        <v>40.61</v>
      </c>
      <c r="G97" s="12">
        <f ca="1">IFERROR(VLOOKUP(A97, LYSalesList!$B:$D, 2, FALSE), "")</f>
        <v>0</v>
      </c>
      <c r="H97" s="13">
        <f ca="1">IFERROR(VLOOKUP(A97, LYSalesList!$B:$D, 3, FALSE), "")</f>
        <v>0</v>
      </c>
    </row>
    <row r="98" spans="1:8">
      <c r="A98" s="8" t="s">
        <v>134</v>
      </c>
      <c r="B98" s="10">
        <v>65.22</v>
      </c>
      <c r="C98" s="11">
        <f ca="1">IFERROR(VLOOKUP(A98, ItemList!$A:$D, 4, FALSE), "")</f>
        <v>0</v>
      </c>
      <c r="E98">
        <f ca="1">IFERROR(VLOOKUP(A98, ItemList!$A:$D, 2, FALSE), "")</f>
        <v>0</v>
      </c>
      <c r="F98" s="10">
        <v>65.22</v>
      </c>
      <c r="G98" s="12">
        <f ca="1">IFERROR(VLOOKUP(A98, LYSalesList!$B:$D, 2, FALSE), "")</f>
        <v>0</v>
      </c>
      <c r="H98" s="13">
        <f ca="1">IFERROR(VLOOKUP(A98, LYSalesList!$B:$D, 3, FALSE), "")</f>
        <v>0</v>
      </c>
    </row>
    <row r="99" spans="1:8">
      <c r="A99" s="8" t="s">
        <v>135</v>
      </c>
      <c r="B99" s="10">
        <v>98.58</v>
      </c>
      <c r="C99" s="11">
        <f ca="1">IFERROR(VLOOKUP(A99, ItemList!$A:$D, 4, FALSE), "")</f>
        <v>0</v>
      </c>
      <c r="E99">
        <f ca="1">IFERROR(VLOOKUP(A99, ItemList!$A:$D, 2, FALSE), "")</f>
        <v>0</v>
      </c>
      <c r="F99" s="10">
        <v>98.58</v>
      </c>
      <c r="G99" s="12">
        <f ca="1">IFERROR(VLOOKUP(A99, LYSalesList!$B:$D, 2, FALSE), "")</f>
        <v>0</v>
      </c>
      <c r="H99" s="13">
        <f ca="1">IFERROR(VLOOKUP(A99, LYSalesList!$B:$D, 3, FALSE), "")</f>
        <v>0</v>
      </c>
    </row>
    <row r="100" spans="1:8">
      <c r="A100" s="8" t="s">
        <v>136</v>
      </c>
      <c r="B100" s="10">
        <v>90.41</v>
      </c>
      <c r="C100" s="11">
        <f ca="1">IFERROR(VLOOKUP(A100, ItemList!$A:$D, 4, FALSE), "")</f>
        <v>0</v>
      </c>
      <c r="E100">
        <f ca="1">IFERROR(VLOOKUP(A100, ItemList!$A:$D, 2, FALSE), "")</f>
        <v>0</v>
      </c>
      <c r="F100" s="10">
        <v>90.41</v>
      </c>
      <c r="G100" s="12">
        <f ca="1">IFERROR(VLOOKUP(A100, LYSalesList!$B:$D, 2, FALSE), "")</f>
        <v>0</v>
      </c>
      <c r="H100" s="13">
        <f ca="1">IFERROR(VLOOKUP(A100, LYSalesList!$B:$D, 3, FALSE), "")</f>
        <v>0</v>
      </c>
    </row>
    <row r="101" spans="1:8">
      <c r="A101" s="8" t="s">
        <v>137</v>
      </c>
      <c r="B101" s="10">
        <v>70.05</v>
      </c>
      <c r="C101" s="11">
        <f ca="1">IFERROR(VLOOKUP(A101, ItemList!$A:$D, 4, FALSE), "")</f>
        <v>0</v>
      </c>
      <c r="E101">
        <f ca="1">IFERROR(VLOOKUP(A101, ItemList!$A:$D, 2, FALSE), "")</f>
        <v>0</v>
      </c>
      <c r="F101" s="10">
        <v>70.05</v>
      </c>
      <c r="G101" s="12">
        <f ca="1">IFERROR(VLOOKUP(A101, LYSalesList!$B:$D, 2, FALSE), "")</f>
        <v>0</v>
      </c>
      <c r="H101" s="13">
        <f ca="1">IFERROR(VLOOKUP(A101, LYSalesList!$B:$D, 3, FALSE), "")</f>
        <v>0</v>
      </c>
    </row>
    <row r="102" spans="1:8">
      <c r="A102" s="8" t="s">
        <v>138</v>
      </c>
      <c r="B102" s="10">
        <v>20.85</v>
      </c>
      <c r="C102" s="11">
        <f ca="1">IFERROR(VLOOKUP(A102, ItemList!$A:$D, 4, FALSE), "")</f>
        <v>0</v>
      </c>
      <c r="E102">
        <f ca="1">IFERROR(VLOOKUP(A102, ItemList!$A:$D, 2, FALSE), "")</f>
        <v>0</v>
      </c>
      <c r="F102" s="10">
        <v>20.85</v>
      </c>
      <c r="G102" s="12">
        <f ca="1">IFERROR(VLOOKUP(A102, LYSalesList!$B:$D, 2, FALSE), "")</f>
        <v>0</v>
      </c>
      <c r="H102" s="13">
        <f ca="1">IFERROR(VLOOKUP(A102, LYSalesList!$B:$D, 3, FALSE), "")</f>
        <v>0</v>
      </c>
    </row>
    <row r="103" spans="1:8">
      <c r="A103" s="8" t="s">
        <v>139</v>
      </c>
      <c r="B103" s="10">
        <v>80.43</v>
      </c>
      <c r="C103" s="11">
        <f ca="1">IFERROR(VLOOKUP(A103, ItemList!$A:$D, 4, FALSE), "")</f>
        <v>0</v>
      </c>
      <c r="E103">
        <f ca="1">IFERROR(VLOOKUP(A103, ItemList!$A:$D, 2, FALSE), "")</f>
        <v>0</v>
      </c>
      <c r="F103" s="10">
        <v>80.43</v>
      </c>
      <c r="G103" s="12">
        <f ca="1">IFERROR(VLOOKUP(A103, LYSalesList!$B:$D, 2, FALSE), "")</f>
        <v>0</v>
      </c>
      <c r="H103" s="13">
        <f ca="1">IFERROR(VLOOKUP(A103, LYSalesList!$B:$D, 3, FALSE), "")</f>
        <v>0</v>
      </c>
    </row>
    <row r="104" spans="1:8">
      <c r="A104" s="8" t="s">
        <v>140</v>
      </c>
      <c r="B104" s="10">
        <v>72.34</v>
      </c>
      <c r="C104" s="11">
        <f ca="1">IFERROR(VLOOKUP(A104, ItemList!$A:$D, 4, FALSE), "")</f>
        <v>0</v>
      </c>
      <c r="E104">
        <f ca="1">IFERROR(VLOOKUP(A104, ItemList!$A:$D, 2, FALSE), "")</f>
        <v>0</v>
      </c>
      <c r="F104" s="10">
        <v>72.34</v>
      </c>
      <c r="G104" s="12">
        <f ca="1">IFERROR(VLOOKUP(A104, LYSalesList!$B:$D, 2, FALSE), "")</f>
        <v>0</v>
      </c>
      <c r="H104" s="13">
        <f ca="1">IFERROR(VLOOKUP(A104, LYSalesList!$B:$D, 3, FALSE), "")</f>
        <v>0</v>
      </c>
    </row>
    <row r="105" spans="1:8">
      <c r="A105" s="8" t="s">
        <v>141</v>
      </c>
      <c r="B105" s="10">
        <v>73.97</v>
      </c>
      <c r="C105" s="11">
        <f ca="1">IFERROR(VLOOKUP(A105, ItemList!$A:$D, 4, FALSE), "")</f>
        <v>0</v>
      </c>
      <c r="E105">
        <f ca="1">IFERROR(VLOOKUP(A105, ItemList!$A:$D, 2, FALSE), "")</f>
        <v>0</v>
      </c>
      <c r="F105" s="10">
        <v>73.97</v>
      </c>
      <c r="G105" s="12">
        <f ca="1">IFERROR(VLOOKUP(A105, LYSalesList!$B:$D, 2, FALSE), "")</f>
        <v>0</v>
      </c>
      <c r="H105" s="13">
        <f ca="1">IFERROR(VLOOKUP(A105, LYSalesList!$B:$D, 3, FALSE), "")</f>
        <v>0</v>
      </c>
    </row>
    <row r="106" spans="1:8">
      <c r="A106" s="8" t="s">
        <v>142</v>
      </c>
      <c r="B106" s="10">
        <v>67.95</v>
      </c>
      <c r="C106" s="11">
        <f ca="1">IFERROR(VLOOKUP(A106, ItemList!$A:$D, 4, FALSE), "")</f>
        <v>0</v>
      </c>
      <c r="E106">
        <f ca="1">IFERROR(VLOOKUP(A106, ItemList!$A:$D, 2, FALSE), "")</f>
        <v>0</v>
      </c>
      <c r="F106" s="10">
        <v>67.95</v>
      </c>
      <c r="G106" s="12">
        <f ca="1">IFERROR(VLOOKUP(A106, LYSalesList!$B:$D, 2, FALSE), "")</f>
        <v>0</v>
      </c>
      <c r="H106" s="13">
        <f ca="1">IFERROR(VLOOKUP(A106, LYSalesList!$B:$D, 3, FALSE), "")</f>
        <v>0</v>
      </c>
    </row>
    <row r="107" spans="1:8">
      <c r="A107" s="8" t="s">
        <v>143</v>
      </c>
      <c r="B107" s="10">
        <v>80.43</v>
      </c>
      <c r="C107" s="11">
        <f ca="1">IFERROR(VLOOKUP(A107, ItemList!$A:$D, 4, FALSE), "")</f>
        <v>0</v>
      </c>
      <c r="E107">
        <f ca="1">IFERROR(VLOOKUP(A107, ItemList!$A:$D, 2, FALSE), "")</f>
        <v>0</v>
      </c>
      <c r="F107" s="10">
        <v>80.43</v>
      </c>
      <c r="G107" s="12">
        <f ca="1">IFERROR(VLOOKUP(A107, LYSalesList!$B:$D, 2, FALSE), "")</f>
        <v>0</v>
      </c>
      <c r="H107" s="13">
        <f ca="1">IFERROR(VLOOKUP(A107, LYSalesList!$B:$D, 3, FALSE), "")</f>
        <v>0</v>
      </c>
    </row>
    <row r="108" spans="1:8">
      <c r="A108" s="8" t="s">
        <v>144</v>
      </c>
      <c r="B108" s="10">
        <v>95.57</v>
      </c>
      <c r="C108" s="11">
        <f ca="1">IFERROR(VLOOKUP(A108, ItemList!$A:$D, 4, FALSE), "")</f>
        <v>0</v>
      </c>
      <c r="E108">
        <f ca="1">IFERROR(VLOOKUP(A108, ItemList!$A:$D, 2, FALSE), "")</f>
        <v>0</v>
      </c>
      <c r="F108" s="10">
        <v>95.57</v>
      </c>
      <c r="G108" s="12">
        <f ca="1">IFERROR(VLOOKUP(A108, LYSalesList!$B:$D, 2, FALSE), "")</f>
        <v>0</v>
      </c>
      <c r="H108" s="13">
        <f ca="1">IFERROR(VLOOKUP(A108, LYSalesList!$B:$D, 3, FALSE), "")</f>
        <v>0</v>
      </c>
    </row>
    <row r="109" spans="1:8">
      <c r="A109" s="8" t="s">
        <v>145</v>
      </c>
      <c r="B109" s="10">
        <v>129.01</v>
      </c>
      <c r="C109" s="11">
        <f ca="1">IFERROR(VLOOKUP(A109, ItemList!$A:$D, 4, FALSE), "")</f>
        <v>0</v>
      </c>
      <c r="E109">
        <f ca="1">IFERROR(VLOOKUP(A109, ItemList!$A:$D, 2, FALSE), "")</f>
        <v>0</v>
      </c>
      <c r="F109" s="10">
        <v>129.01</v>
      </c>
      <c r="G109" s="12">
        <f ca="1">IFERROR(VLOOKUP(A109, LYSalesList!$B:$D, 2, FALSE), "")</f>
        <v>0</v>
      </c>
      <c r="H109" s="13">
        <f ca="1">IFERROR(VLOOKUP(A109, LYSalesList!$B:$D, 3, FALSE), "")</f>
        <v>0</v>
      </c>
    </row>
    <row r="110" spans="1:8">
      <c r="A110" s="8" t="s">
        <v>146</v>
      </c>
      <c r="B110" s="10">
        <v>67.98</v>
      </c>
      <c r="C110" s="11">
        <f ca="1">IFERROR(VLOOKUP(A110, ItemList!$A:$D, 4, FALSE), "")</f>
        <v>0</v>
      </c>
      <c r="E110">
        <f ca="1">IFERROR(VLOOKUP(A110, ItemList!$A:$D, 2, FALSE), "")</f>
        <v>0</v>
      </c>
      <c r="F110" s="10">
        <v>67.98</v>
      </c>
      <c r="G110" s="12">
        <f ca="1">IFERROR(VLOOKUP(A110, LYSalesList!$B:$D, 2, FALSE), "")</f>
        <v>0</v>
      </c>
      <c r="H110" s="13">
        <f ca="1">IFERROR(VLOOKUP(A110, LYSalesList!$B:$D, 3, FALSE), "")</f>
        <v>0</v>
      </c>
    </row>
    <row r="111" spans="1:8">
      <c r="A111" s="8" t="s">
        <v>147</v>
      </c>
      <c r="B111" s="10">
        <v>154.65</v>
      </c>
      <c r="C111" s="11">
        <f ca="1">IFERROR(VLOOKUP(A111, ItemList!$A:$D, 4, FALSE), "")</f>
        <v>0</v>
      </c>
      <c r="E111">
        <f ca="1">IFERROR(VLOOKUP(A111, ItemList!$A:$D, 2, FALSE), "")</f>
        <v>0</v>
      </c>
      <c r="F111" s="10">
        <v>154.65</v>
      </c>
      <c r="G111" s="12">
        <f ca="1">IFERROR(VLOOKUP(A111, LYSalesList!$B:$D, 2, FALSE), "")</f>
        <v>0</v>
      </c>
      <c r="H111" s="13">
        <f ca="1">IFERROR(VLOOKUP(A111, LYSalesList!$B:$D, 3, FALSE), "")</f>
        <v>0</v>
      </c>
    </row>
    <row r="112" spans="1:8">
      <c r="A112" s="8" t="s">
        <v>148</v>
      </c>
      <c r="B112" s="10">
        <v>76.87</v>
      </c>
      <c r="C112" s="11">
        <f ca="1">IFERROR(VLOOKUP(A112, ItemList!$A:$D, 4, FALSE), "")</f>
        <v>0</v>
      </c>
      <c r="E112">
        <f ca="1">IFERROR(VLOOKUP(A112, ItemList!$A:$D, 2, FALSE), "")</f>
        <v>0</v>
      </c>
      <c r="F112" s="10">
        <v>76.87</v>
      </c>
      <c r="G112" s="12">
        <f ca="1">IFERROR(VLOOKUP(A112, LYSalesList!$B:$D, 2, FALSE), "")</f>
        <v>0</v>
      </c>
      <c r="H112" s="13">
        <f ca="1">IFERROR(VLOOKUP(A112, LYSalesList!$B:$D, 3, FALSE), "")</f>
        <v>0</v>
      </c>
    </row>
    <row r="113" spans="1:8">
      <c r="A113" s="8" t="s">
        <v>149</v>
      </c>
      <c r="B113" s="10">
        <v>64.36</v>
      </c>
      <c r="C113" s="11">
        <f ca="1">IFERROR(VLOOKUP(A113, ItemList!$A:$D, 4, FALSE), "")</f>
        <v>0</v>
      </c>
      <c r="E113">
        <f ca="1">IFERROR(VLOOKUP(A113, ItemList!$A:$D, 2, FALSE), "")</f>
        <v>0</v>
      </c>
      <c r="F113" s="10">
        <v>64.36</v>
      </c>
      <c r="G113" s="12">
        <f ca="1">IFERROR(VLOOKUP(A113, LYSalesList!$B:$D, 2, FALSE), "")</f>
        <v>0</v>
      </c>
      <c r="H113" s="13">
        <f ca="1">IFERROR(VLOOKUP(A113, LYSalesList!$B:$D, 3, FALSE), "")</f>
        <v>0</v>
      </c>
    </row>
    <row r="114" spans="1:8">
      <c r="A114" s="8" t="s">
        <v>150</v>
      </c>
      <c r="B114" s="10">
        <v>57.55</v>
      </c>
      <c r="C114" s="11">
        <f ca="1">IFERROR(VLOOKUP(A114, ItemList!$A:$D, 4, FALSE), "")</f>
        <v>0</v>
      </c>
      <c r="E114">
        <f ca="1">IFERROR(VLOOKUP(A114, ItemList!$A:$D, 2, FALSE), "")</f>
        <v>0</v>
      </c>
      <c r="F114" s="10">
        <v>57.55</v>
      </c>
      <c r="G114" s="12">
        <f ca="1">IFERROR(VLOOKUP(A114, LYSalesList!$B:$D, 2, FALSE), "")</f>
        <v>0</v>
      </c>
      <c r="H114" s="13">
        <f ca="1">IFERROR(VLOOKUP(A114, LYSalesList!$B:$D, 3, FALSE), "")</f>
        <v>0</v>
      </c>
    </row>
    <row r="115" spans="1:8">
      <c r="A115" s="8" t="s">
        <v>151</v>
      </c>
      <c r="B115" s="10">
        <v>66.36</v>
      </c>
      <c r="C115" s="11">
        <f ca="1">IFERROR(VLOOKUP(A115, ItemList!$A:$D, 4, FALSE), "")</f>
        <v>0</v>
      </c>
      <c r="E115">
        <f ca="1">IFERROR(VLOOKUP(A115, ItemList!$A:$D, 2, FALSE), "")</f>
        <v>0</v>
      </c>
      <c r="F115" s="10">
        <v>66.36</v>
      </c>
      <c r="G115" s="12">
        <f ca="1">IFERROR(VLOOKUP(A115, LYSalesList!$B:$D, 2, FALSE), "")</f>
        <v>0</v>
      </c>
      <c r="H115" s="13">
        <f ca="1">IFERROR(VLOOKUP(A115, LYSalesList!$B:$D, 3, FALSE), "")</f>
        <v>0</v>
      </c>
    </row>
    <row r="116" spans="1:8">
      <c r="A116" s="8" t="s">
        <v>152</v>
      </c>
      <c r="B116" s="10">
        <v>40.55</v>
      </c>
      <c r="C116" s="11">
        <f ca="1">IFERROR(VLOOKUP(A116, ItemList!$A:$D, 4, FALSE), "")</f>
        <v>0</v>
      </c>
      <c r="E116">
        <f ca="1">IFERROR(VLOOKUP(A116, ItemList!$A:$D, 2, FALSE), "")</f>
        <v>0</v>
      </c>
      <c r="F116" s="10">
        <v>40.55</v>
      </c>
      <c r="G116" s="12">
        <f ca="1">IFERROR(VLOOKUP(A116, LYSalesList!$B:$D, 2, FALSE), "")</f>
        <v>0</v>
      </c>
      <c r="H116" s="13">
        <f ca="1">IFERROR(VLOOKUP(A116, LYSalesList!$B:$D, 3, FALSE), "")</f>
        <v>0</v>
      </c>
    </row>
    <row r="117" spans="1:8">
      <c r="A117" s="8" t="s">
        <v>153</v>
      </c>
      <c r="B117" s="10">
        <v>37.76</v>
      </c>
      <c r="C117" s="11">
        <f ca="1">IFERROR(VLOOKUP(A117, ItemList!$A:$D, 4, FALSE), "")</f>
        <v>0</v>
      </c>
      <c r="E117">
        <f ca="1">IFERROR(VLOOKUP(A117, ItemList!$A:$D, 2, FALSE), "")</f>
        <v>0</v>
      </c>
      <c r="F117" s="10">
        <v>37.76</v>
      </c>
      <c r="G117" s="12">
        <f ca="1">IFERROR(VLOOKUP(A117, LYSalesList!$B:$D, 2, FALSE), "")</f>
        <v>0</v>
      </c>
      <c r="H117" s="13">
        <f ca="1">IFERROR(VLOOKUP(A117, LYSalesList!$B:$D, 3, FALSE), "")</f>
        <v>0</v>
      </c>
    </row>
    <row r="118" spans="1:8">
      <c r="A118" s="8" t="s">
        <v>154</v>
      </c>
      <c r="B118" s="10">
        <v>16.92</v>
      </c>
      <c r="C118" s="11">
        <f ca="1">IFERROR(VLOOKUP(A118, ItemList!$A:$D, 4, FALSE), "")</f>
        <v>0</v>
      </c>
      <c r="E118">
        <f ca="1">IFERROR(VLOOKUP(A118, ItemList!$A:$D, 2, FALSE), "")</f>
        <v>0</v>
      </c>
      <c r="F118" s="10">
        <v>16.92</v>
      </c>
      <c r="G118" s="12">
        <f ca="1">IFERROR(VLOOKUP(A118, LYSalesList!$B:$D, 2, FALSE), "")</f>
        <v>0</v>
      </c>
      <c r="H118" s="13">
        <f ca="1">IFERROR(VLOOKUP(A118, LYSalesList!$B:$D, 3, FALSE), "")</f>
        <v>0</v>
      </c>
    </row>
    <row r="119" spans="1:8">
      <c r="A119" s="8" t="s">
        <v>155</v>
      </c>
      <c r="B119" s="10">
        <v>433.46</v>
      </c>
      <c r="C119" s="11">
        <f ca="1">IFERROR(VLOOKUP(A119, ItemList!$A:$D, 4, FALSE), "")</f>
        <v>0</v>
      </c>
      <c r="E119">
        <f ca="1">IFERROR(VLOOKUP(A119, ItemList!$A:$D, 2, FALSE), "")</f>
        <v>0</v>
      </c>
      <c r="F119" s="10">
        <v>433.46</v>
      </c>
      <c r="G119" s="12">
        <f ca="1">IFERROR(VLOOKUP(A119, LYSalesList!$B:$D, 2, FALSE), "")</f>
        <v>0</v>
      </c>
      <c r="H119" s="13">
        <f ca="1">IFERROR(VLOOKUP(A119, LYSalesList!$B:$D, 3, FALSE), "")</f>
        <v>0</v>
      </c>
    </row>
    <row r="120" spans="1:8">
      <c r="A120" s="8" t="s">
        <v>156</v>
      </c>
      <c r="B120" s="10">
        <v>13.04</v>
      </c>
      <c r="C120" s="11">
        <f ca="1">IFERROR(VLOOKUP(A120, ItemList!$A:$D, 4, FALSE), "")</f>
        <v>0</v>
      </c>
      <c r="E120">
        <f ca="1">IFERROR(VLOOKUP(A120, ItemList!$A:$D, 2, FALSE), "")</f>
        <v>0</v>
      </c>
      <c r="F120" s="10">
        <v>13.04</v>
      </c>
      <c r="G120" s="12">
        <f ca="1">IFERROR(VLOOKUP(A120, LYSalesList!$B:$D, 2, FALSE), "")</f>
        <v>0</v>
      </c>
      <c r="H120" s="13">
        <f ca="1">IFERROR(VLOOKUP(A120, LYSalesList!$B:$D, 3, FALSE), "")</f>
        <v>0</v>
      </c>
    </row>
    <row r="121" spans="1:8">
      <c r="A121" s="8" t="s">
        <v>157</v>
      </c>
      <c r="B121" s="10">
        <v>109.9</v>
      </c>
      <c r="C121" s="11">
        <f ca="1">IFERROR(VLOOKUP(A121, ItemList!$A:$D, 4, FALSE), "")</f>
        <v>0</v>
      </c>
      <c r="E121">
        <f ca="1">IFERROR(VLOOKUP(A121, ItemList!$A:$D, 2, FALSE), "")</f>
        <v>0</v>
      </c>
      <c r="F121" s="10">
        <v>109.9</v>
      </c>
      <c r="G121" s="12">
        <f ca="1">IFERROR(VLOOKUP(A121, LYSalesList!$B:$D, 2, FALSE), "")</f>
        <v>0</v>
      </c>
      <c r="H121" s="13">
        <f ca="1">IFERROR(VLOOKUP(A121, LYSalesList!$B:$D, 3, FALSE), "")</f>
        <v>0</v>
      </c>
    </row>
    <row r="122" spans="1:8">
      <c r="A122" s="8" t="s">
        <v>158</v>
      </c>
      <c r="B122" s="10">
        <v>29.24</v>
      </c>
      <c r="C122" s="11">
        <f ca="1">IFERROR(VLOOKUP(A122, ItemList!$A:$D, 4, FALSE), "")</f>
        <v>0</v>
      </c>
      <c r="E122">
        <f ca="1">IFERROR(VLOOKUP(A122, ItemList!$A:$D, 2, FALSE), "")</f>
        <v>0</v>
      </c>
      <c r="F122" s="10">
        <v>29.24</v>
      </c>
      <c r="G122" s="12">
        <f ca="1">IFERROR(VLOOKUP(A122, LYSalesList!$B:$D, 2, FALSE), "")</f>
        <v>0</v>
      </c>
      <c r="H122" s="13">
        <f ca="1">IFERROR(VLOOKUP(A122, LYSalesList!$B:$D, 3, FALSE), "")</f>
        <v>0</v>
      </c>
    </row>
    <row r="123" spans="1:8">
      <c r="A123" s="8" t="s">
        <v>159</v>
      </c>
      <c r="B123" s="10">
        <v>76.04</v>
      </c>
      <c r="C123" s="11">
        <f ca="1">IFERROR(VLOOKUP(A123, ItemList!$A:$D, 4, FALSE), "")</f>
        <v>0</v>
      </c>
      <c r="E123">
        <f ca="1">IFERROR(VLOOKUP(A123, ItemList!$A:$D, 2, FALSE), "")</f>
        <v>0</v>
      </c>
      <c r="F123" s="10">
        <v>76.04</v>
      </c>
      <c r="G123" s="12">
        <f ca="1">IFERROR(VLOOKUP(A123, LYSalesList!$B:$D, 2, FALSE), "")</f>
        <v>0</v>
      </c>
      <c r="H123" s="13">
        <f ca="1">IFERROR(VLOOKUP(A123, LYSalesList!$B:$D, 3, FALSE), "")</f>
        <v>0</v>
      </c>
    </row>
    <row r="124" spans="1:8">
      <c r="A124" s="8" t="s">
        <v>160</v>
      </c>
      <c r="B124" s="10">
        <v>389.69</v>
      </c>
      <c r="C124" s="11">
        <f ca="1">IFERROR(VLOOKUP(A124, ItemList!$A:$D, 4, FALSE), "")</f>
        <v>0</v>
      </c>
      <c r="E124">
        <f ca="1">IFERROR(VLOOKUP(A124, ItemList!$A:$D, 2, FALSE), "")</f>
        <v>0</v>
      </c>
      <c r="F124" s="10">
        <v>389.69</v>
      </c>
      <c r="G124" s="12">
        <f ca="1">IFERROR(VLOOKUP(A124, LYSalesList!$B:$D, 2, FALSE), "")</f>
        <v>0</v>
      </c>
      <c r="H124" s="13">
        <f ca="1">IFERROR(VLOOKUP(A124, LYSalesList!$B:$D, 3, FALSE), "")</f>
        <v>0</v>
      </c>
    </row>
    <row r="125" spans="1:8">
      <c r="A125" s="8" t="s">
        <v>161</v>
      </c>
      <c r="B125" s="10">
        <v>62.07</v>
      </c>
      <c r="C125" s="11">
        <f ca="1">IFERROR(VLOOKUP(A125, ItemList!$A:$D, 4, FALSE), "")</f>
        <v>0</v>
      </c>
      <c r="E125">
        <f ca="1">IFERROR(VLOOKUP(A125, ItemList!$A:$D, 2, FALSE), "")</f>
        <v>0</v>
      </c>
      <c r="F125" s="10">
        <v>62.07</v>
      </c>
      <c r="G125" s="12">
        <f ca="1">IFERROR(VLOOKUP(A125, LYSalesList!$B:$D, 2, FALSE), "")</f>
        <v>0</v>
      </c>
      <c r="H125" s="13">
        <f ca="1">IFERROR(VLOOKUP(A125, LYSalesList!$B:$D, 3, FALSE), "")</f>
        <v>0</v>
      </c>
    </row>
    <row r="126" spans="1:8">
      <c r="A126" s="8" t="s">
        <v>162</v>
      </c>
      <c r="B126" s="10">
        <v>4.67</v>
      </c>
      <c r="C126" s="11">
        <f ca="1">IFERROR(VLOOKUP(A126, ItemList!$A:$D, 4, FALSE), "")</f>
        <v>0</v>
      </c>
      <c r="E126">
        <f ca="1">IFERROR(VLOOKUP(A126, ItemList!$A:$D, 2, FALSE), "")</f>
        <v>0</v>
      </c>
      <c r="F126" s="10">
        <v>4.67</v>
      </c>
      <c r="G126" s="12">
        <f ca="1">IFERROR(VLOOKUP(A126, LYSalesList!$B:$D, 2, FALSE), "")</f>
        <v>0</v>
      </c>
      <c r="H126" s="13">
        <f ca="1">IFERROR(VLOOKUP(A126, LYSalesList!$B:$D, 3, FALSE), "")</f>
        <v>0</v>
      </c>
    </row>
    <row r="127" spans="1:8">
      <c r="A127" s="8" t="s">
        <v>163</v>
      </c>
      <c r="B127" s="10">
        <v>290.85</v>
      </c>
      <c r="C127" s="11">
        <f ca="1">IFERROR(VLOOKUP(A127, ItemList!$A:$D, 4, FALSE), "")</f>
        <v>0</v>
      </c>
      <c r="E127">
        <f ca="1">IFERROR(VLOOKUP(A127, ItemList!$A:$D, 2, FALSE), "")</f>
        <v>0</v>
      </c>
      <c r="F127" s="10">
        <v>290.85</v>
      </c>
      <c r="G127" s="12">
        <f ca="1">IFERROR(VLOOKUP(A127, LYSalesList!$B:$D, 2, FALSE), "")</f>
        <v>0</v>
      </c>
      <c r="H127" s="13">
        <f ca="1">IFERROR(VLOOKUP(A127, LYSalesList!$B:$D, 3, FALSE), "")</f>
        <v>0</v>
      </c>
    </row>
    <row r="128" spans="1:8">
      <c r="A128" s="8" t="s">
        <v>164</v>
      </c>
      <c r="B128" s="10">
        <v>195.4</v>
      </c>
      <c r="C128" s="11">
        <f ca="1">IFERROR(VLOOKUP(A128, ItemList!$A:$D, 4, FALSE), "")</f>
        <v>0</v>
      </c>
      <c r="E128">
        <f ca="1">IFERROR(VLOOKUP(A128, ItemList!$A:$D, 2, FALSE), "")</f>
        <v>0</v>
      </c>
      <c r="F128" s="10">
        <v>195.4</v>
      </c>
      <c r="G128" s="12">
        <f ca="1">IFERROR(VLOOKUP(A128, LYSalesList!$B:$D, 2, FALSE), "")</f>
        <v>0</v>
      </c>
      <c r="H128" s="13">
        <f ca="1">IFERROR(VLOOKUP(A128, LYSalesList!$B:$D, 3, FALSE), "")</f>
        <v>0</v>
      </c>
    </row>
    <row r="129" spans="1:8">
      <c r="A129" s="8" t="s">
        <v>165</v>
      </c>
      <c r="B129" s="10">
        <v>90.31</v>
      </c>
      <c r="C129" s="11">
        <f ca="1">IFERROR(VLOOKUP(A129, ItemList!$A:$D, 4, FALSE), "")</f>
        <v>0</v>
      </c>
      <c r="E129">
        <f ca="1">IFERROR(VLOOKUP(A129, ItemList!$A:$D, 2, FALSE), "")</f>
        <v>0</v>
      </c>
      <c r="F129" s="10">
        <v>90.31</v>
      </c>
      <c r="G129" s="12">
        <f ca="1">IFERROR(VLOOKUP(A129, LYSalesList!$B:$D, 2, FALSE), "")</f>
        <v>0</v>
      </c>
      <c r="H129" s="13">
        <f ca="1">IFERROR(VLOOKUP(A129, LYSalesList!$B:$D, 3, FALSE), "")</f>
        <v>0</v>
      </c>
    </row>
    <row r="130" spans="1:8">
      <c r="A130" s="8" t="s">
        <v>166</v>
      </c>
      <c r="B130" s="10">
        <v>277.76</v>
      </c>
      <c r="C130" s="11">
        <f ca="1">IFERROR(VLOOKUP(A130, ItemList!$A:$D, 4, FALSE), "")</f>
        <v>0</v>
      </c>
      <c r="E130">
        <f ca="1">IFERROR(VLOOKUP(A130, ItemList!$A:$D, 2, FALSE), "")</f>
        <v>0</v>
      </c>
      <c r="F130" s="10">
        <v>277.76</v>
      </c>
      <c r="G130" s="12">
        <f ca="1">IFERROR(VLOOKUP(A130, LYSalesList!$B:$D, 2, FALSE), "")</f>
        <v>0</v>
      </c>
      <c r="H130" s="13">
        <f ca="1">IFERROR(VLOOKUP(A130, LYSalesList!$B:$D, 3, FALSE), "")</f>
        <v>0</v>
      </c>
    </row>
    <row r="131" spans="1:8">
      <c r="A131" s="8" t="s">
        <v>167</v>
      </c>
      <c r="B131" s="10">
        <v>161.99</v>
      </c>
      <c r="C131" s="11">
        <f ca="1">IFERROR(VLOOKUP(A131, ItemList!$A:$D, 4, FALSE), "")</f>
        <v>0</v>
      </c>
      <c r="E131">
        <f ca="1">IFERROR(VLOOKUP(A131, ItemList!$A:$D, 2, FALSE), "")</f>
        <v>0</v>
      </c>
      <c r="F131" s="10">
        <v>161.99</v>
      </c>
      <c r="G131" s="12">
        <f ca="1">IFERROR(VLOOKUP(A131, LYSalesList!$B:$D, 2, FALSE), "")</f>
        <v>0</v>
      </c>
      <c r="H131" s="13">
        <f ca="1">IFERROR(VLOOKUP(A131, LYSalesList!$B:$D, 3, FALSE), "")</f>
        <v>0</v>
      </c>
    </row>
    <row r="132" spans="1:8">
      <c r="A132" s="8" t="s">
        <v>168</v>
      </c>
      <c r="B132" s="10">
        <v>72.21</v>
      </c>
      <c r="C132" s="11">
        <f ca="1">IFERROR(VLOOKUP(A132, ItemList!$A:$D, 4, FALSE), "")</f>
        <v>0</v>
      </c>
      <c r="E132">
        <f ca="1">IFERROR(VLOOKUP(A132, ItemList!$A:$D, 2, FALSE), "")</f>
        <v>0</v>
      </c>
      <c r="F132" s="10">
        <v>72.21</v>
      </c>
      <c r="G132" s="12">
        <f ca="1">IFERROR(VLOOKUP(A132, LYSalesList!$B:$D, 2, FALSE), "")</f>
        <v>0</v>
      </c>
      <c r="H132" s="13">
        <f ca="1">IFERROR(VLOOKUP(A132, LYSalesList!$B:$D, 3, FALSE), "")</f>
        <v>0</v>
      </c>
    </row>
    <row r="133" spans="1:8">
      <c r="A133" s="8" t="s">
        <v>169</v>
      </c>
      <c r="B133" s="10">
        <v>330.58</v>
      </c>
      <c r="C133" s="11">
        <f ca="1">IFERROR(VLOOKUP(A133, ItemList!$A:$D, 4, FALSE), "")</f>
        <v>0</v>
      </c>
      <c r="E133">
        <f ca="1">IFERROR(VLOOKUP(A133, ItemList!$A:$D, 2, FALSE), "")</f>
        <v>0</v>
      </c>
      <c r="F133" s="10">
        <v>330.58</v>
      </c>
      <c r="G133" s="12">
        <f ca="1">IFERROR(VLOOKUP(A133, LYSalesList!$B:$D, 2, FALSE), "")</f>
        <v>0</v>
      </c>
      <c r="H133" s="13">
        <f ca="1">IFERROR(VLOOKUP(A133, LYSalesList!$B:$D, 3, FALSE), "")</f>
        <v>0</v>
      </c>
    </row>
    <row r="134" spans="1:8">
      <c r="A134" s="8" t="s">
        <v>170</v>
      </c>
      <c r="B134" s="10">
        <v>150.07</v>
      </c>
      <c r="C134" s="11">
        <f ca="1">IFERROR(VLOOKUP(A134, ItemList!$A:$D, 4, FALSE), "")</f>
        <v>0</v>
      </c>
      <c r="E134">
        <f ca="1">IFERROR(VLOOKUP(A134, ItemList!$A:$D, 2, FALSE), "")</f>
        <v>0</v>
      </c>
      <c r="F134" s="10">
        <v>150.07</v>
      </c>
      <c r="G134" s="12">
        <f ca="1">IFERROR(VLOOKUP(A134, LYSalesList!$B:$D, 2, FALSE), "")</f>
        <v>0</v>
      </c>
      <c r="H134" s="13">
        <f ca="1">IFERROR(VLOOKUP(A134, LYSalesList!$B:$D, 3, FALSE), "")</f>
        <v>0</v>
      </c>
    </row>
    <row r="135" spans="1:8">
      <c r="A135" s="8" t="s">
        <v>171</v>
      </c>
      <c r="B135" s="10">
        <v>274.64</v>
      </c>
      <c r="C135" s="11">
        <f ca="1">IFERROR(VLOOKUP(A135, ItemList!$A:$D, 4, FALSE), "")</f>
        <v>0</v>
      </c>
      <c r="E135">
        <f ca="1">IFERROR(VLOOKUP(A135, ItemList!$A:$D, 2, FALSE), "")</f>
        <v>0</v>
      </c>
      <c r="F135" s="10">
        <v>274.64</v>
      </c>
      <c r="G135" s="12">
        <f ca="1">IFERROR(VLOOKUP(A135, LYSalesList!$B:$D, 2, FALSE), "")</f>
        <v>0</v>
      </c>
      <c r="H135" s="13">
        <f ca="1">IFERROR(VLOOKUP(A135, LYSalesList!$B:$D, 3, FALSE), "")</f>
        <v>0</v>
      </c>
    </row>
    <row r="136" spans="1:8">
      <c r="A136" s="8" t="s">
        <v>172</v>
      </c>
      <c r="B136" s="10">
        <v>275.67</v>
      </c>
      <c r="C136" s="11">
        <f ca="1">IFERROR(VLOOKUP(A136, ItemList!$A:$D, 4, FALSE), "")</f>
        <v>0</v>
      </c>
      <c r="E136">
        <f ca="1">IFERROR(VLOOKUP(A136, ItemList!$A:$D, 2, FALSE), "")</f>
        <v>0</v>
      </c>
      <c r="F136" s="10">
        <v>275.67</v>
      </c>
      <c r="G136" s="12">
        <f ca="1">IFERROR(VLOOKUP(A136, LYSalesList!$B:$D, 2, FALSE), "")</f>
        <v>0</v>
      </c>
      <c r="H136" s="13">
        <f ca="1">IFERROR(VLOOKUP(A136, LYSalesList!$B:$D, 3, FALSE), "")</f>
        <v>0</v>
      </c>
    </row>
    <row r="137" spans="1:8">
      <c r="A137" s="8" t="s">
        <v>173</v>
      </c>
      <c r="B137" s="10">
        <v>29.21</v>
      </c>
      <c r="C137" s="11">
        <f ca="1">IFERROR(VLOOKUP(A137, ItemList!$A:$D, 4, FALSE), "")</f>
        <v>0</v>
      </c>
      <c r="E137">
        <f ca="1">IFERROR(VLOOKUP(A137, ItemList!$A:$D, 2, FALSE), "")</f>
        <v>0</v>
      </c>
      <c r="F137" s="10">
        <v>29.21</v>
      </c>
      <c r="G137" s="12">
        <f ca="1">IFERROR(VLOOKUP(A137, LYSalesList!$B:$D, 2, FALSE), "")</f>
        <v>0</v>
      </c>
      <c r="H137" s="13">
        <f ca="1">IFERROR(VLOOKUP(A137, LYSalesList!$B:$D, 3, FALSE), "")</f>
        <v>0</v>
      </c>
    </row>
    <row r="138" spans="1:8">
      <c r="A138" s="8" t="s">
        <v>174</v>
      </c>
      <c r="B138" s="10">
        <v>15.74</v>
      </c>
      <c r="C138" s="11">
        <f ca="1">IFERROR(VLOOKUP(A138, ItemList!$A:$D, 4, FALSE), "")</f>
        <v>0</v>
      </c>
      <c r="E138">
        <f ca="1">IFERROR(VLOOKUP(A138, ItemList!$A:$D, 2, FALSE), "")</f>
        <v>0</v>
      </c>
      <c r="F138" s="10">
        <v>15.74</v>
      </c>
      <c r="G138" s="12">
        <f ca="1">IFERROR(VLOOKUP(A138, LYSalesList!$B:$D, 2, FALSE), "")</f>
        <v>0</v>
      </c>
      <c r="H138" s="13">
        <f ca="1">IFERROR(VLOOKUP(A138, LYSalesList!$B:$D, 3, FALSE), "")</f>
        <v>0</v>
      </c>
    </row>
    <row r="139" spans="1:8">
      <c r="A139" s="8" t="s">
        <v>175</v>
      </c>
      <c r="B139" s="10">
        <v>79.99</v>
      </c>
      <c r="C139" s="11">
        <f ca="1">IFERROR(VLOOKUP(A139, ItemList!$A:$D, 4, FALSE), "")</f>
        <v>0</v>
      </c>
      <c r="E139">
        <f ca="1">IFERROR(VLOOKUP(A139, ItemList!$A:$D, 2, FALSE), "")</f>
        <v>0</v>
      </c>
      <c r="F139" s="10">
        <v>79.99</v>
      </c>
      <c r="G139" s="12">
        <f ca="1">IFERROR(VLOOKUP(A139, LYSalesList!$B:$D, 2, FALSE), "")</f>
        <v>0</v>
      </c>
      <c r="H139" s="13">
        <f ca="1">IFERROR(VLOOKUP(A139, LYSalesList!$B:$D, 3, FALSE), "")</f>
        <v>0</v>
      </c>
    </row>
    <row r="140" spans="1:8">
      <c r="A140" s="8" t="s">
        <v>176</v>
      </c>
      <c r="B140" s="10">
        <v>67.35</v>
      </c>
      <c r="C140" s="11">
        <f ca="1">IFERROR(VLOOKUP(A140, ItemList!$A:$D, 4, FALSE), "")</f>
        <v>0</v>
      </c>
      <c r="E140">
        <f ca="1">IFERROR(VLOOKUP(A140, ItemList!$A:$D, 2, FALSE), "")</f>
        <v>0</v>
      </c>
      <c r="F140" s="10">
        <v>67.35</v>
      </c>
      <c r="G140" s="12">
        <f ca="1">IFERROR(VLOOKUP(A140, LYSalesList!$B:$D, 2, FALSE), "")</f>
        <v>0</v>
      </c>
      <c r="H140" s="13">
        <f ca="1">IFERROR(VLOOKUP(A140, LYSalesList!$B:$D, 3, FALSE), "")</f>
        <v>0</v>
      </c>
    </row>
    <row r="141" spans="1:8">
      <c r="A141" s="8" t="s">
        <v>177</v>
      </c>
      <c r="B141" s="10">
        <v>27.99</v>
      </c>
      <c r="C141" s="11">
        <f ca="1">IFERROR(VLOOKUP(A141, ItemList!$A:$D, 4, FALSE), "")</f>
        <v>0</v>
      </c>
      <c r="E141">
        <f ca="1">IFERROR(VLOOKUP(A141, ItemList!$A:$D, 2, FALSE), "")</f>
        <v>0</v>
      </c>
      <c r="F141" s="10">
        <v>27.99</v>
      </c>
      <c r="G141" s="12">
        <f ca="1">IFERROR(VLOOKUP(A141, LYSalesList!$B:$D, 2, FALSE), "")</f>
        <v>0</v>
      </c>
      <c r="H141" s="13">
        <f ca="1">IFERROR(VLOOKUP(A141, LYSalesList!$B:$D, 3, FALSE), "")</f>
        <v>0</v>
      </c>
    </row>
    <row r="142" spans="1:8">
      <c r="A142" s="8" t="s">
        <v>178</v>
      </c>
      <c r="B142" s="10">
        <v>78.41</v>
      </c>
      <c r="C142" s="11">
        <f ca="1">IFERROR(VLOOKUP(A142, ItemList!$A:$D, 4, FALSE), "")</f>
        <v>0</v>
      </c>
      <c r="E142">
        <f ca="1">IFERROR(VLOOKUP(A142, ItemList!$A:$D, 2, FALSE), "")</f>
        <v>0</v>
      </c>
      <c r="F142" s="10">
        <v>78.41</v>
      </c>
      <c r="G142" s="12">
        <f ca="1">IFERROR(VLOOKUP(A142, LYSalesList!$B:$D, 2, FALSE), "")</f>
        <v>0</v>
      </c>
      <c r="H142" s="13">
        <f ca="1">IFERROR(VLOOKUP(A142, LYSalesList!$B:$D, 3, FALSE), "")</f>
        <v>0</v>
      </c>
    </row>
    <row r="143" spans="1:8">
      <c r="A143" s="8" t="s">
        <v>179</v>
      </c>
      <c r="B143" s="10">
        <v>229.99</v>
      </c>
      <c r="C143" s="11">
        <f ca="1">IFERROR(VLOOKUP(A143, ItemList!$A:$D, 4, FALSE), "")</f>
        <v>0</v>
      </c>
      <c r="E143">
        <f ca="1">IFERROR(VLOOKUP(A143, ItemList!$A:$D, 2, FALSE), "")</f>
        <v>0</v>
      </c>
      <c r="F143" s="10">
        <v>229.99</v>
      </c>
      <c r="G143" s="12">
        <f ca="1">IFERROR(VLOOKUP(A143, LYSalesList!$B:$D, 2, FALSE), "")</f>
        <v>0</v>
      </c>
      <c r="H143" s="13">
        <f ca="1">IFERROR(VLOOKUP(A143, LYSalesList!$B:$D, 3, FALSE), "")</f>
        <v>0</v>
      </c>
    </row>
    <row r="144" spans="1:8">
      <c r="A144" s="8" t="s">
        <v>180</v>
      </c>
      <c r="B144" s="10">
        <v>292.6</v>
      </c>
      <c r="C144" s="11">
        <f ca="1">IFERROR(VLOOKUP(A144, ItemList!$A:$D, 4, FALSE), "")</f>
        <v>0</v>
      </c>
      <c r="E144">
        <f ca="1">IFERROR(VLOOKUP(A144, ItemList!$A:$D, 2, FALSE), "")</f>
        <v>0</v>
      </c>
      <c r="F144" s="10">
        <v>292.6</v>
      </c>
      <c r="G144" s="12">
        <f ca="1">IFERROR(VLOOKUP(A144, LYSalesList!$B:$D, 2, FALSE), "")</f>
        <v>0</v>
      </c>
      <c r="H144" s="13">
        <f ca="1">IFERROR(VLOOKUP(A144, LYSalesList!$B:$D, 3, FALSE), "")</f>
        <v>0</v>
      </c>
    </row>
    <row r="145" spans="1:8">
      <c r="A145" s="8" t="s">
        <v>181</v>
      </c>
      <c r="B145" s="10">
        <v>397.22</v>
      </c>
      <c r="C145" s="11">
        <f ca="1">IFERROR(VLOOKUP(A145, ItemList!$A:$D, 4, FALSE), "")</f>
        <v>0</v>
      </c>
      <c r="E145">
        <f ca="1">IFERROR(VLOOKUP(A145, ItemList!$A:$D, 2, FALSE), "")</f>
        <v>0</v>
      </c>
      <c r="F145" s="10">
        <v>397.22</v>
      </c>
      <c r="G145" s="12">
        <f ca="1">IFERROR(VLOOKUP(A145, LYSalesList!$B:$D, 2, FALSE), "")</f>
        <v>0</v>
      </c>
      <c r="H145" s="13">
        <f ca="1">IFERROR(VLOOKUP(A145, LYSalesList!$B:$D, 3, FALSE), "")</f>
        <v>0</v>
      </c>
    </row>
    <row r="146" spans="1:8">
      <c r="A146" s="8" t="s">
        <v>182</v>
      </c>
      <c r="B146" s="10">
        <v>6.49</v>
      </c>
      <c r="C146" s="11">
        <f ca="1">IFERROR(VLOOKUP(A146, ItemList!$A:$D, 4, FALSE), "")</f>
        <v>0</v>
      </c>
      <c r="E146">
        <f ca="1">IFERROR(VLOOKUP(A146, ItemList!$A:$D, 2, FALSE), "")</f>
        <v>0</v>
      </c>
      <c r="F146" s="10">
        <v>6.49</v>
      </c>
      <c r="G146" s="12">
        <f ca="1">IFERROR(VLOOKUP(A146, LYSalesList!$B:$D, 2, FALSE), "")</f>
        <v>0</v>
      </c>
      <c r="H146" s="13">
        <f ca="1">IFERROR(VLOOKUP(A146, LYSalesList!$B:$D, 3, FALSE), "")</f>
        <v>0</v>
      </c>
    </row>
    <row r="147" spans="1:8">
      <c r="A147" s="8" t="s">
        <v>183</v>
      </c>
      <c r="B147" s="10">
        <v>29.99</v>
      </c>
      <c r="C147" s="11">
        <f ca="1">IFERROR(VLOOKUP(A147, ItemList!$A:$D, 4, FALSE), "")</f>
        <v>0</v>
      </c>
      <c r="E147">
        <f ca="1">IFERROR(VLOOKUP(A147, ItemList!$A:$D, 2, FALSE), "")</f>
        <v>0</v>
      </c>
      <c r="F147" s="10">
        <v>29.99</v>
      </c>
      <c r="G147" s="12">
        <f ca="1">IFERROR(VLOOKUP(A147, LYSalesList!$B:$D, 2, FALSE), "")</f>
        <v>0</v>
      </c>
      <c r="H147" s="13">
        <f ca="1">IFERROR(VLOOKUP(A147, LYSalesList!$B:$D, 3, FALSE), "")</f>
        <v>0</v>
      </c>
    </row>
    <row r="148" spans="1:8">
      <c r="A148" s="8" t="s">
        <v>184</v>
      </c>
      <c r="B148" s="10">
        <v>34.88</v>
      </c>
      <c r="C148" s="11">
        <f ca="1">IFERROR(VLOOKUP(A148, ItemList!$A:$D, 4, FALSE), "")</f>
        <v>0</v>
      </c>
      <c r="E148">
        <f ca="1">IFERROR(VLOOKUP(A148, ItemList!$A:$D, 2, FALSE), "")</f>
        <v>0</v>
      </c>
      <c r="F148" s="10">
        <v>34.88</v>
      </c>
      <c r="G148" s="12">
        <f ca="1">IFERROR(VLOOKUP(A148, LYSalesList!$B:$D, 2, FALSE), "")</f>
        <v>0</v>
      </c>
      <c r="H148" s="13">
        <f ca="1">IFERROR(VLOOKUP(A148, LYSalesList!$B:$D, 3, FALSE), "")</f>
        <v>0</v>
      </c>
    </row>
    <row r="149" spans="1:8">
      <c r="A149" s="8" t="s">
        <v>185</v>
      </c>
      <c r="B149" s="10">
        <v>17.95</v>
      </c>
      <c r="C149" s="11">
        <f ca="1">IFERROR(VLOOKUP(A149, ItemList!$A:$D, 4, FALSE), "")</f>
        <v>0</v>
      </c>
      <c r="E149">
        <f ca="1">IFERROR(VLOOKUP(A149, ItemList!$A:$D, 2, FALSE), "")</f>
        <v>0</v>
      </c>
      <c r="F149" s="10">
        <v>17.95</v>
      </c>
      <c r="G149" s="12">
        <f ca="1">IFERROR(VLOOKUP(A149, LYSalesList!$B:$D, 2, FALSE), "")</f>
        <v>0</v>
      </c>
      <c r="H149" s="13">
        <f ca="1">IFERROR(VLOOKUP(A149, LYSalesList!$B:$D, 3, FALSE), "")</f>
        <v>0</v>
      </c>
    </row>
    <row r="150" spans="1:8">
      <c r="A150" s="8" t="s">
        <v>186</v>
      </c>
      <c r="B150" s="10">
        <v>82.61</v>
      </c>
      <c r="C150" s="11">
        <f ca="1">IFERROR(VLOOKUP(A150, ItemList!$A:$D, 4, FALSE), "")</f>
        <v>0</v>
      </c>
      <c r="E150">
        <f ca="1">IFERROR(VLOOKUP(A150, ItemList!$A:$D, 2, FALSE), "")</f>
        <v>0</v>
      </c>
      <c r="F150" s="10">
        <v>82.61</v>
      </c>
      <c r="G150" s="12">
        <f ca="1">IFERROR(VLOOKUP(A150, LYSalesList!$B:$D, 2, FALSE), "")</f>
        <v>0</v>
      </c>
      <c r="H150" s="13">
        <f ca="1">IFERROR(VLOOKUP(A150, LYSalesList!$B:$D, 3, FALSE), "")</f>
        <v>0</v>
      </c>
    </row>
    <row r="151" spans="1:8">
      <c r="A151" s="8" t="s">
        <v>187</v>
      </c>
      <c r="B151" s="10">
        <v>123.97</v>
      </c>
      <c r="C151" s="11">
        <f ca="1">IFERROR(VLOOKUP(A151, ItemList!$A:$D, 4, FALSE), "")</f>
        <v>0</v>
      </c>
      <c r="E151">
        <f ca="1">IFERROR(VLOOKUP(A151, ItemList!$A:$D, 2, FALSE), "")</f>
        <v>0</v>
      </c>
      <c r="F151" s="10">
        <v>123.97</v>
      </c>
      <c r="G151" s="12">
        <f ca="1">IFERROR(VLOOKUP(A151, LYSalesList!$B:$D, 2, FALSE), "")</f>
        <v>0</v>
      </c>
      <c r="H151" s="13">
        <f ca="1">IFERROR(VLOOKUP(A151, LYSalesList!$B:$D, 3, FALSE), "")</f>
        <v>0</v>
      </c>
    </row>
    <row r="152" spans="1:8">
      <c r="A152" s="8" t="s">
        <v>188</v>
      </c>
      <c r="B152" s="10">
        <v>139.89</v>
      </c>
      <c r="C152" s="11">
        <f ca="1">IFERROR(VLOOKUP(A152, ItemList!$A:$D, 4, FALSE), "")</f>
        <v>0</v>
      </c>
      <c r="E152">
        <f ca="1">IFERROR(VLOOKUP(A152, ItemList!$A:$D, 2, FALSE), "")</f>
        <v>0</v>
      </c>
      <c r="F152" s="10">
        <v>139.89</v>
      </c>
      <c r="G152" s="12">
        <f ca="1">IFERROR(VLOOKUP(A152, LYSalesList!$B:$D, 2, FALSE), "")</f>
        <v>0</v>
      </c>
      <c r="H152" s="13">
        <f ca="1">IFERROR(VLOOKUP(A152, LYSalesList!$B:$D, 3, FALSE), "")</f>
        <v>0</v>
      </c>
    </row>
    <row r="153" spans="1:8">
      <c r="A153" s="8" t="s">
        <v>189</v>
      </c>
      <c r="B153" s="10">
        <v>112.49</v>
      </c>
      <c r="C153" s="11">
        <f ca="1">IFERROR(VLOOKUP(A153, ItemList!$A:$D, 4, FALSE), "")</f>
        <v>0</v>
      </c>
      <c r="E153">
        <f ca="1">IFERROR(VLOOKUP(A153, ItemList!$A:$D, 2, FALSE), "")</f>
        <v>0</v>
      </c>
      <c r="F153" s="10">
        <v>112.49</v>
      </c>
      <c r="G153" s="12">
        <f ca="1">IFERROR(VLOOKUP(A153, LYSalesList!$B:$D, 2, FALSE), "")</f>
        <v>0</v>
      </c>
      <c r="H153" s="13">
        <f ca="1">IFERROR(VLOOKUP(A153, LYSalesList!$B:$D, 3, FALSE), "")</f>
        <v>0</v>
      </c>
    </row>
    <row r="154" spans="1:8">
      <c r="A154" s="8" t="s">
        <v>190</v>
      </c>
      <c r="B154" s="10">
        <v>276.41</v>
      </c>
      <c r="C154" s="11">
        <f ca="1">IFERROR(VLOOKUP(A154, ItemList!$A:$D, 4, FALSE), "")</f>
        <v>0</v>
      </c>
      <c r="E154">
        <f ca="1">IFERROR(VLOOKUP(A154, ItemList!$A:$D, 2, FALSE), "")</f>
        <v>0</v>
      </c>
      <c r="F154" s="10">
        <v>276.41</v>
      </c>
      <c r="G154" s="12">
        <f ca="1">IFERROR(VLOOKUP(A154, LYSalesList!$B:$D, 2, FALSE), "")</f>
        <v>0</v>
      </c>
      <c r="H154" s="13">
        <f ca="1">IFERROR(VLOOKUP(A154, LYSalesList!$B:$D, 3, FALSE), "")</f>
        <v>0</v>
      </c>
    </row>
    <row r="155" spans="1:8">
      <c r="A155" s="8" t="s">
        <v>191</v>
      </c>
      <c r="B155" s="10">
        <v>64.99</v>
      </c>
      <c r="C155" s="11">
        <f ca="1">IFERROR(VLOOKUP(A155, ItemList!$A:$D, 4, FALSE), "")</f>
        <v>0</v>
      </c>
      <c r="E155">
        <f ca="1">IFERROR(VLOOKUP(A155, ItemList!$A:$D, 2, FALSE), "")</f>
        <v>0</v>
      </c>
      <c r="F155" s="10">
        <v>64.99</v>
      </c>
      <c r="G155" s="12">
        <f ca="1">IFERROR(VLOOKUP(A155, LYSalesList!$B:$D, 2, FALSE), "")</f>
        <v>0</v>
      </c>
      <c r="H155" s="13">
        <f ca="1">IFERROR(VLOOKUP(A155, LYSalesList!$B:$D, 3, FALSE), "")</f>
        <v>0</v>
      </c>
    </row>
    <row r="156" spans="1:8">
      <c r="A156" s="8" t="s">
        <v>192</v>
      </c>
      <c r="B156" s="10">
        <v>19.94</v>
      </c>
      <c r="C156" s="11">
        <f ca="1">IFERROR(VLOOKUP(A156, ItemList!$A:$D, 4, FALSE), "")</f>
        <v>0</v>
      </c>
      <c r="E156">
        <f ca="1">IFERROR(VLOOKUP(A156, ItemList!$A:$D, 2, FALSE), "")</f>
        <v>0</v>
      </c>
      <c r="F156" s="10">
        <v>19.94</v>
      </c>
      <c r="G156" s="12">
        <f ca="1">IFERROR(VLOOKUP(A156, LYSalesList!$B:$D, 2, FALSE), "")</f>
        <v>0</v>
      </c>
      <c r="H156" s="13">
        <f ca="1">IFERROR(VLOOKUP(A156, LYSalesList!$B:$D, 3, FALSE), "")</f>
        <v>0</v>
      </c>
    </row>
    <row r="157" spans="1:8">
      <c r="A157" s="8" t="s">
        <v>193</v>
      </c>
      <c r="B157" s="10">
        <v>10.79</v>
      </c>
      <c r="C157" s="11">
        <f ca="1">IFERROR(VLOOKUP(A157, ItemList!$A:$D, 4, FALSE), "")</f>
        <v>0</v>
      </c>
      <c r="E157">
        <f ca="1">IFERROR(VLOOKUP(A157, ItemList!$A:$D, 2, FALSE), "")</f>
        <v>0</v>
      </c>
      <c r="F157" s="10">
        <v>10.79</v>
      </c>
      <c r="G157" s="12">
        <f ca="1">IFERROR(VLOOKUP(A157, LYSalesList!$B:$D, 2, FALSE), "")</f>
        <v>0</v>
      </c>
      <c r="H157" s="13">
        <f ca="1">IFERROR(VLOOKUP(A157, LYSalesList!$B:$D, 3, FALSE), "")</f>
        <v>0</v>
      </c>
    </row>
    <row r="158" spans="1:8">
      <c r="A158" s="8" t="s">
        <v>194</v>
      </c>
      <c r="B158" s="10">
        <v>16.19</v>
      </c>
      <c r="C158" s="11">
        <f ca="1">IFERROR(VLOOKUP(A158, ItemList!$A:$D, 4, FALSE), "")</f>
        <v>0</v>
      </c>
      <c r="E158">
        <f ca="1">IFERROR(VLOOKUP(A158, ItemList!$A:$D, 2, FALSE), "")</f>
        <v>0</v>
      </c>
      <c r="F158" s="10">
        <v>16.19</v>
      </c>
      <c r="G158" s="12">
        <f ca="1">IFERROR(VLOOKUP(A158, LYSalesList!$B:$D, 2, FALSE), "")</f>
        <v>0</v>
      </c>
      <c r="H158" s="13">
        <f ca="1">IFERROR(VLOOKUP(A158, LYSalesList!$B:$D, 3, FALSE), "")</f>
        <v>0</v>
      </c>
    </row>
    <row r="159" spans="1:8">
      <c r="A159" s="8" t="s">
        <v>195</v>
      </c>
      <c r="B159" s="10">
        <v>66.14</v>
      </c>
      <c r="C159" s="11">
        <f ca="1">IFERROR(VLOOKUP(A159, ItemList!$A:$D, 4, FALSE), "")</f>
        <v>0</v>
      </c>
      <c r="E159">
        <f ca="1">IFERROR(VLOOKUP(A159, ItemList!$A:$D, 2, FALSE), "")</f>
        <v>0</v>
      </c>
      <c r="F159" s="10">
        <v>66.14</v>
      </c>
      <c r="G159" s="12">
        <f ca="1">IFERROR(VLOOKUP(A159, LYSalesList!$B:$D, 2, FALSE), "")</f>
        <v>0</v>
      </c>
      <c r="H159" s="13">
        <f ca="1">IFERROR(VLOOKUP(A159, LYSalesList!$B:$D, 3, FALSE), "")</f>
        <v>0</v>
      </c>
    </row>
    <row r="160" spans="1:8">
      <c r="A160" s="8" t="s">
        <v>196</v>
      </c>
      <c r="B160" s="10">
        <v>3.61</v>
      </c>
      <c r="C160" s="11">
        <f ca="1">IFERROR(VLOOKUP(A160, ItemList!$A:$D, 4, FALSE), "")</f>
        <v>0</v>
      </c>
      <c r="E160">
        <f ca="1">IFERROR(VLOOKUP(A160, ItemList!$A:$D, 2, FALSE), "")</f>
        <v>0</v>
      </c>
      <c r="F160" s="10">
        <v>3.61</v>
      </c>
      <c r="G160" s="12">
        <f ca="1">IFERROR(VLOOKUP(A160, LYSalesList!$B:$D, 2, FALSE), "")</f>
        <v>0</v>
      </c>
      <c r="H160" s="13">
        <f ca="1">IFERROR(VLOOKUP(A160, LYSalesList!$B:$D, 3, FALSE), "")</f>
        <v>0</v>
      </c>
    </row>
    <row r="161" spans="1:8">
      <c r="A161" s="8" t="s">
        <v>197</v>
      </c>
      <c r="B161" s="10">
        <v>24.61</v>
      </c>
      <c r="C161" s="11">
        <f ca="1">IFERROR(VLOOKUP(A161, ItemList!$A:$D, 4, FALSE), "")</f>
        <v>0</v>
      </c>
      <c r="E161">
        <f ca="1">IFERROR(VLOOKUP(A161, ItemList!$A:$D, 2, FALSE), "")</f>
        <v>0</v>
      </c>
      <c r="F161" s="10">
        <v>24.61</v>
      </c>
      <c r="G161" s="12">
        <f ca="1">IFERROR(VLOOKUP(A161, LYSalesList!$B:$D, 2, FALSE), "")</f>
        <v>0</v>
      </c>
      <c r="H161" s="13">
        <f ca="1">IFERROR(VLOOKUP(A161, LYSalesList!$B:$D, 3, FALSE), "")</f>
        <v>0</v>
      </c>
    </row>
    <row r="162" spans="1:8">
      <c r="A162" s="8" t="s">
        <v>198</v>
      </c>
      <c r="B162" s="10">
        <v>19.41</v>
      </c>
      <c r="C162" s="11">
        <f ca="1">IFERROR(VLOOKUP(A162, ItemList!$A:$D, 4, FALSE), "")</f>
        <v>0</v>
      </c>
      <c r="E162">
        <f ca="1">IFERROR(VLOOKUP(A162, ItemList!$A:$D, 2, FALSE), "")</f>
        <v>0</v>
      </c>
      <c r="F162" s="10">
        <v>19.41</v>
      </c>
      <c r="G162" s="12">
        <f ca="1">IFERROR(VLOOKUP(A162, LYSalesList!$B:$D, 2, FALSE), "")</f>
        <v>0</v>
      </c>
      <c r="H162" s="13">
        <f ca="1">IFERROR(VLOOKUP(A162, LYSalesList!$B:$D, 3, FALSE), "")</f>
        <v>0</v>
      </c>
    </row>
    <row r="163" spans="1:8">
      <c r="A163" s="8" t="s">
        <v>199</v>
      </c>
      <c r="B163" s="10">
        <v>3.57</v>
      </c>
      <c r="C163" s="11">
        <f ca="1">IFERROR(VLOOKUP(A163, ItemList!$A:$D, 4, FALSE), "")</f>
        <v>0</v>
      </c>
      <c r="E163">
        <f ca="1">IFERROR(VLOOKUP(A163, ItemList!$A:$D, 2, FALSE), "")</f>
        <v>0</v>
      </c>
      <c r="F163" s="10">
        <v>3.57</v>
      </c>
      <c r="G163" s="12">
        <f ca="1">IFERROR(VLOOKUP(A163, LYSalesList!$B:$D, 2, FALSE), "")</f>
        <v>0</v>
      </c>
      <c r="H163" s="13">
        <f ca="1">IFERROR(VLOOKUP(A163, LYSalesList!$B:$D, 3, FALSE), "")</f>
        <v>0</v>
      </c>
    </row>
    <row r="164" spans="1:8">
      <c r="A164" s="8" t="s">
        <v>200</v>
      </c>
      <c r="B164" s="10">
        <v>6.29</v>
      </c>
      <c r="C164" s="11">
        <f ca="1">IFERROR(VLOOKUP(A164, ItemList!$A:$D, 4, FALSE), "")</f>
        <v>0</v>
      </c>
      <c r="E164">
        <f ca="1">IFERROR(VLOOKUP(A164, ItemList!$A:$D, 2, FALSE), "")</f>
        <v>0</v>
      </c>
      <c r="F164" s="10">
        <v>6.29</v>
      </c>
      <c r="G164" s="12">
        <f ca="1">IFERROR(VLOOKUP(A164, LYSalesList!$B:$D, 2, FALSE), "")</f>
        <v>0</v>
      </c>
      <c r="H164" s="13">
        <f ca="1">IFERROR(VLOOKUP(A164, LYSalesList!$B:$D, 3, FALSE), "")</f>
        <v>0</v>
      </c>
    </row>
    <row r="165" spans="1:8">
      <c r="A165" s="8" t="s">
        <v>201</v>
      </c>
      <c r="B165" s="10">
        <v>66.04</v>
      </c>
      <c r="C165" s="11">
        <f ca="1">IFERROR(VLOOKUP(A165, ItemList!$A:$D, 4, FALSE), "")</f>
        <v>0</v>
      </c>
      <c r="E165">
        <f ca="1">IFERROR(VLOOKUP(A165, ItemList!$A:$D, 2, FALSE), "")</f>
        <v>0</v>
      </c>
      <c r="F165" s="10">
        <v>66.04</v>
      </c>
      <c r="G165" s="12">
        <f ca="1">IFERROR(VLOOKUP(A165, LYSalesList!$B:$D, 2, FALSE), "")</f>
        <v>0</v>
      </c>
      <c r="H165" s="13">
        <f ca="1">IFERROR(VLOOKUP(A165, LYSalesList!$B:$D, 3, FALSE), "")</f>
        <v>0</v>
      </c>
    </row>
    <row r="166" spans="1:8">
      <c r="A166" s="8" t="s">
        <v>202</v>
      </c>
      <c r="B166" s="10">
        <v>3.61</v>
      </c>
      <c r="C166" s="11">
        <f ca="1">IFERROR(VLOOKUP(A166, ItemList!$A:$D, 4, FALSE), "")</f>
        <v>0</v>
      </c>
      <c r="E166">
        <f ca="1">IFERROR(VLOOKUP(A166, ItemList!$A:$D, 2, FALSE), "")</f>
        <v>0</v>
      </c>
      <c r="F166" s="10">
        <v>3.61</v>
      </c>
      <c r="G166" s="12">
        <f ca="1">IFERROR(VLOOKUP(A166, LYSalesList!$B:$D, 2, FALSE), "")</f>
        <v>0</v>
      </c>
      <c r="H166" s="13">
        <f ca="1">IFERROR(VLOOKUP(A166, LYSalesList!$B:$D, 3, FALSE), "")</f>
        <v>0</v>
      </c>
    </row>
    <row r="167" spans="1:8">
      <c r="A167" s="8" t="s">
        <v>203</v>
      </c>
      <c r="B167" s="10">
        <v>71.55</v>
      </c>
      <c r="C167" s="11">
        <f ca="1">IFERROR(VLOOKUP(A167, ItemList!$A:$D, 4, FALSE), "")</f>
        <v>0</v>
      </c>
      <c r="E167">
        <f ca="1">IFERROR(VLOOKUP(A167, ItemList!$A:$D, 2, FALSE), "")</f>
        <v>0</v>
      </c>
      <c r="F167" s="10">
        <v>71.55</v>
      </c>
      <c r="G167" s="12">
        <f ca="1">IFERROR(VLOOKUP(A167, LYSalesList!$B:$D, 2, FALSE), "")</f>
        <v>0</v>
      </c>
      <c r="H167" s="13">
        <f ca="1">IFERROR(VLOOKUP(A167, LYSalesList!$B:$D, 3, FALSE), "")</f>
        <v>0</v>
      </c>
    </row>
    <row r="168" spans="1:8">
      <c r="A168" s="8" t="s">
        <v>204</v>
      </c>
      <c r="B168" s="10">
        <v>4.67</v>
      </c>
      <c r="C168" s="11">
        <f ca="1">IFERROR(VLOOKUP(A168, ItemList!$A:$D, 4, FALSE), "")</f>
        <v>0</v>
      </c>
      <c r="E168">
        <f ca="1">IFERROR(VLOOKUP(A168, ItemList!$A:$D, 2, FALSE), "")</f>
        <v>0</v>
      </c>
      <c r="F168" s="10">
        <v>4.67</v>
      </c>
      <c r="G168" s="12">
        <f ca="1">IFERROR(VLOOKUP(A168, LYSalesList!$B:$D, 2, FALSE), "")</f>
        <v>0</v>
      </c>
      <c r="H168" s="13">
        <f ca="1">IFERROR(VLOOKUP(A168, LYSalesList!$B:$D, 3, FALSE), "")</f>
        <v>0</v>
      </c>
    </row>
    <row r="169" spans="1:8">
      <c r="A169" s="8" t="s">
        <v>205</v>
      </c>
      <c r="B169" s="10">
        <v>13.11</v>
      </c>
      <c r="C169" s="11">
        <f ca="1">IFERROR(VLOOKUP(A169, ItemList!$A:$D, 4, FALSE), "")</f>
        <v>0</v>
      </c>
      <c r="E169">
        <f ca="1">IFERROR(VLOOKUP(A169, ItemList!$A:$D, 2, FALSE), "")</f>
        <v>0</v>
      </c>
      <c r="F169" s="10">
        <v>13.11</v>
      </c>
      <c r="G169" s="12">
        <f ca="1">IFERROR(VLOOKUP(A169, LYSalesList!$B:$D, 2, FALSE), "")</f>
        <v>0</v>
      </c>
      <c r="H169" s="13">
        <f ca="1">IFERROR(VLOOKUP(A169, LYSalesList!$B:$D, 3, FALSE), "")</f>
        <v>0</v>
      </c>
    </row>
    <row r="170" spans="1:8">
      <c r="A170" s="8" t="s">
        <v>206</v>
      </c>
      <c r="B170" s="10">
        <v>2.69</v>
      </c>
      <c r="C170" s="11">
        <f ca="1">IFERROR(VLOOKUP(A170, ItemList!$A:$D, 4, FALSE), "")</f>
        <v>0</v>
      </c>
      <c r="E170">
        <f ca="1">IFERROR(VLOOKUP(A170, ItemList!$A:$D, 2, FALSE), "")</f>
        <v>0</v>
      </c>
      <c r="F170" s="10">
        <v>2.69</v>
      </c>
      <c r="G170" s="12">
        <f ca="1">IFERROR(VLOOKUP(A170, LYSalesList!$B:$D, 2, FALSE), "")</f>
        <v>0</v>
      </c>
      <c r="H170" s="13">
        <f ca="1">IFERROR(VLOOKUP(A170, LYSalesList!$B:$D, 3, FALSE), "")</f>
        <v>0</v>
      </c>
    </row>
    <row r="171" spans="1:8">
      <c r="A171" s="8" t="s">
        <v>207</v>
      </c>
      <c r="B171" s="10">
        <v>153.99</v>
      </c>
      <c r="C171" s="11">
        <f ca="1">IFERROR(VLOOKUP(A171, ItemList!$A:$D, 4, FALSE), "")</f>
        <v>0</v>
      </c>
      <c r="E171">
        <f ca="1">IFERROR(VLOOKUP(A171, ItemList!$A:$D, 2, FALSE), "")</f>
        <v>0</v>
      </c>
      <c r="F171" s="10">
        <v>153.99</v>
      </c>
      <c r="G171" s="12">
        <f ca="1">IFERROR(VLOOKUP(A171, LYSalesList!$B:$D, 2, FALSE), "")</f>
        <v>0</v>
      </c>
      <c r="H171" s="13">
        <f ca="1">IFERROR(VLOOKUP(A171, LYSalesList!$B:$D, 3, FALSE), "")</f>
        <v>0</v>
      </c>
    </row>
    <row r="172" spans="1:8">
      <c r="A172" s="8" t="s">
        <v>208</v>
      </c>
      <c r="B172" s="10">
        <v>86.55</v>
      </c>
      <c r="C172" s="11">
        <f ca="1">IFERROR(VLOOKUP(A172, ItemList!$A:$D, 4, FALSE), "")</f>
        <v>0</v>
      </c>
      <c r="E172">
        <f ca="1">IFERROR(VLOOKUP(A172, ItemList!$A:$D, 2, FALSE), "")</f>
        <v>0</v>
      </c>
      <c r="F172" s="10">
        <v>86.55</v>
      </c>
      <c r="G172" s="12">
        <f ca="1">IFERROR(VLOOKUP(A172, LYSalesList!$B:$D, 2, FALSE), "")</f>
        <v>0</v>
      </c>
      <c r="H172" s="13">
        <f ca="1">IFERROR(VLOOKUP(A172, LYSalesList!$B:$D, 3, FALSE), "")</f>
        <v>0</v>
      </c>
    </row>
    <row r="173" spans="1:8">
      <c r="A173" s="8" t="s">
        <v>209</v>
      </c>
      <c r="B173" s="10">
        <v>17.98</v>
      </c>
      <c r="C173" s="11">
        <f ca="1">IFERROR(VLOOKUP(A173, ItemList!$A:$D, 4, FALSE), "")</f>
        <v>0</v>
      </c>
      <c r="E173">
        <f ca="1">IFERROR(VLOOKUP(A173, ItemList!$A:$D, 2, FALSE), "")</f>
        <v>0</v>
      </c>
      <c r="F173" s="10">
        <v>17.98</v>
      </c>
      <c r="G173" s="12">
        <f ca="1">IFERROR(VLOOKUP(A173, LYSalesList!$B:$D, 2, FALSE), "")</f>
        <v>0</v>
      </c>
      <c r="H173" s="13">
        <f ca="1">IFERROR(VLOOKUP(A173, LYSalesList!$B:$D, 3, FALSE), "")</f>
        <v>0</v>
      </c>
    </row>
    <row r="174" spans="1:8">
      <c r="A174" s="8" t="s">
        <v>210</v>
      </c>
      <c r="B174" s="10">
        <v>11.16</v>
      </c>
      <c r="C174" s="11">
        <f ca="1">IFERROR(VLOOKUP(A174, ItemList!$A:$D, 4, FALSE), "")</f>
        <v>0</v>
      </c>
      <c r="E174">
        <f ca="1">IFERROR(VLOOKUP(A174, ItemList!$A:$D, 2, FALSE), "")</f>
        <v>0</v>
      </c>
      <c r="F174" s="10">
        <v>11.16</v>
      </c>
      <c r="G174" s="12">
        <f ca="1">IFERROR(VLOOKUP(A174, LYSalesList!$B:$D, 2, FALSE), "")</f>
        <v>0</v>
      </c>
      <c r="H174" s="13">
        <f ca="1">IFERROR(VLOOKUP(A174, LYSalesList!$B:$D, 3, FALSE), "")</f>
        <v>0</v>
      </c>
    </row>
    <row r="175" spans="1:8">
      <c r="A175" s="8" t="s">
        <v>211</v>
      </c>
      <c r="B175" s="10">
        <v>70.87</v>
      </c>
      <c r="C175" s="11">
        <f ca="1">IFERROR(VLOOKUP(A175, ItemList!$A:$D, 4, FALSE), "")</f>
        <v>0</v>
      </c>
      <c r="E175">
        <f ca="1">IFERROR(VLOOKUP(A175, ItemList!$A:$D, 2, FALSE), "")</f>
        <v>0</v>
      </c>
      <c r="F175" s="10">
        <v>70.87</v>
      </c>
      <c r="G175" s="12">
        <f ca="1">IFERROR(VLOOKUP(A175, LYSalesList!$B:$D, 2, FALSE), "")</f>
        <v>0</v>
      </c>
      <c r="H175" s="13">
        <f ca="1">IFERROR(VLOOKUP(A175, LYSalesList!$B:$D, 3, FALSE), "")</f>
        <v>0</v>
      </c>
    </row>
    <row r="176" spans="1:8">
      <c r="A176" s="8" t="s">
        <v>212</v>
      </c>
      <c r="B176" s="10">
        <v>86.82</v>
      </c>
      <c r="C176" s="11">
        <f ca="1">IFERROR(VLOOKUP(A176, ItemList!$A:$D, 4, FALSE), "")</f>
        <v>0</v>
      </c>
      <c r="E176">
        <f ca="1">IFERROR(VLOOKUP(A176, ItemList!$A:$D, 2, FALSE), "")</f>
        <v>0</v>
      </c>
      <c r="F176" s="10">
        <v>86.82</v>
      </c>
      <c r="G176" s="12">
        <f ca="1">IFERROR(VLOOKUP(A176, LYSalesList!$B:$D, 2, FALSE), "")</f>
        <v>0</v>
      </c>
      <c r="H176" s="13">
        <f ca="1">IFERROR(VLOOKUP(A176, LYSalesList!$B:$D, 3, FALSE), "")</f>
        <v>0</v>
      </c>
    </row>
    <row r="177" spans="1:8">
      <c r="A177" s="8" t="s">
        <v>213</v>
      </c>
      <c r="B177" s="10">
        <v>165.97</v>
      </c>
      <c r="C177" s="11">
        <f ca="1">IFERROR(VLOOKUP(A177, ItemList!$A:$D, 4, FALSE), "")</f>
        <v>0</v>
      </c>
      <c r="E177">
        <f ca="1">IFERROR(VLOOKUP(A177, ItemList!$A:$D, 2, FALSE), "")</f>
        <v>0</v>
      </c>
      <c r="F177" s="10">
        <v>165.97</v>
      </c>
      <c r="G177" s="12">
        <f ca="1">IFERROR(VLOOKUP(A177, LYSalesList!$B:$D, 2, FALSE), "")</f>
        <v>0</v>
      </c>
      <c r="H177" s="13">
        <f ca="1">IFERROR(VLOOKUP(A177, LYSalesList!$B:$D, 3, FALSE), "")</f>
        <v>0</v>
      </c>
    </row>
    <row r="178" spans="1:8">
      <c r="A178" s="8" t="s">
        <v>214</v>
      </c>
      <c r="B178" s="10">
        <v>179.88</v>
      </c>
      <c r="C178" s="11">
        <f ca="1">IFERROR(VLOOKUP(A178, ItemList!$A:$D, 4, FALSE), "")</f>
        <v>0</v>
      </c>
      <c r="E178">
        <f ca="1">IFERROR(VLOOKUP(A178, ItemList!$A:$D, 2, FALSE), "")</f>
        <v>0</v>
      </c>
      <c r="F178" s="10">
        <v>179.88</v>
      </c>
      <c r="G178" s="12">
        <f ca="1">IFERROR(VLOOKUP(A178, LYSalesList!$B:$D, 2, FALSE), "")</f>
        <v>0</v>
      </c>
      <c r="H178" s="13">
        <f ca="1">IFERROR(VLOOKUP(A178, LYSalesList!$B:$D, 3, FALSE), "")</f>
        <v>0</v>
      </c>
    </row>
    <row r="179" spans="1:8">
      <c r="A179" s="8" t="s">
        <v>215</v>
      </c>
      <c r="B179" s="10">
        <v>152.99</v>
      </c>
      <c r="C179" s="11">
        <f ca="1">IFERROR(VLOOKUP(A179, ItemList!$A:$D, 4, FALSE), "")</f>
        <v>0</v>
      </c>
      <c r="E179">
        <f ca="1">IFERROR(VLOOKUP(A179, ItemList!$A:$D, 2, FALSE), "")</f>
        <v>0</v>
      </c>
      <c r="F179" s="10">
        <v>152.99</v>
      </c>
      <c r="G179" s="12">
        <f ca="1">IFERROR(VLOOKUP(A179, LYSalesList!$B:$D, 2, FALSE), "")</f>
        <v>0</v>
      </c>
      <c r="H179" s="13">
        <f ca="1">IFERROR(VLOOKUP(A179, LYSalesList!$B:$D, 3, FALSE), "")</f>
        <v>0</v>
      </c>
    </row>
    <row r="180" spans="1:8">
      <c r="A180" s="8" t="s">
        <v>216</v>
      </c>
      <c r="B180" s="10">
        <v>3.57</v>
      </c>
      <c r="C180" s="11">
        <f ca="1">IFERROR(VLOOKUP(A180, ItemList!$A:$D, 4, FALSE), "")</f>
        <v>0</v>
      </c>
      <c r="E180">
        <f ca="1">IFERROR(VLOOKUP(A180, ItemList!$A:$D, 2, FALSE), "")</f>
        <v>0</v>
      </c>
      <c r="F180" s="10">
        <v>3.57</v>
      </c>
      <c r="G180" s="12">
        <f ca="1">IFERROR(VLOOKUP(A180, LYSalesList!$B:$D, 2, FALSE), "")</f>
        <v>0</v>
      </c>
      <c r="H180" s="13">
        <f ca="1">IFERROR(VLOOKUP(A180, LYSalesList!$B:$D, 3, FALSE), "")</f>
        <v>0</v>
      </c>
    </row>
    <row r="181" spans="1:8">
      <c r="A181" s="8" t="s">
        <v>217</v>
      </c>
      <c r="B181" s="10">
        <v>43.3</v>
      </c>
      <c r="C181" s="11">
        <f ca="1">IFERROR(VLOOKUP(A181, ItemList!$A:$D, 4, FALSE), "")</f>
        <v>0</v>
      </c>
      <c r="E181">
        <f ca="1">IFERROR(VLOOKUP(A181, ItemList!$A:$D, 2, FALSE), "")</f>
        <v>0</v>
      </c>
      <c r="F181" s="10">
        <v>43.3</v>
      </c>
      <c r="G181" s="12">
        <f ca="1">IFERROR(VLOOKUP(A181, LYSalesList!$B:$D, 2, FALSE), "")</f>
        <v>0</v>
      </c>
      <c r="H181" s="13">
        <f ca="1">IFERROR(VLOOKUP(A181, LYSalesList!$B:$D, 3, FALSE), "")</f>
        <v>0</v>
      </c>
    </row>
    <row r="182" spans="1:8">
      <c r="A182" s="8" t="s">
        <v>218</v>
      </c>
      <c r="B182" s="10">
        <v>18.55</v>
      </c>
      <c r="C182" s="11">
        <f ca="1">IFERROR(VLOOKUP(A182, ItemList!$A:$D, 4, FALSE), "")</f>
        <v>0</v>
      </c>
      <c r="E182">
        <f ca="1">IFERROR(VLOOKUP(A182, ItemList!$A:$D, 2, FALSE), "")</f>
        <v>0</v>
      </c>
      <c r="F182" s="10">
        <v>18.55</v>
      </c>
      <c r="G182" s="12">
        <f ca="1">IFERROR(VLOOKUP(A182, LYSalesList!$B:$D, 2, FALSE), "")</f>
        <v>0</v>
      </c>
      <c r="H182" s="13">
        <f ca="1">IFERROR(VLOOKUP(A182, LYSalesList!$B:$D, 3, FALSE), "")</f>
        <v>0</v>
      </c>
    </row>
    <row r="183" spans="1:8">
      <c r="A183" s="8" t="s">
        <v>219</v>
      </c>
      <c r="B183" s="10">
        <v>10.79</v>
      </c>
      <c r="C183" s="11">
        <f ca="1">IFERROR(VLOOKUP(A183, ItemList!$A:$D, 4, FALSE), "")</f>
        <v>0</v>
      </c>
      <c r="E183">
        <f ca="1">IFERROR(VLOOKUP(A183, ItemList!$A:$D, 2, FALSE), "")</f>
        <v>0</v>
      </c>
      <c r="F183" s="10">
        <v>10.79</v>
      </c>
      <c r="G183" s="12">
        <f ca="1">IFERROR(VLOOKUP(A183, LYSalesList!$B:$D, 2, FALSE), "")</f>
        <v>0</v>
      </c>
      <c r="H183" s="13">
        <f ca="1">IFERROR(VLOOKUP(A183, LYSalesList!$B:$D, 3, FALSE), "")</f>
        <v>0</v>
      </c>
    </row>
    <row r="184" spans="1:8">
      <c r="A184" s="8" t="s">
        <v>220</v>
      </c>
      <c r="B184" s="10">
        <v>22.49</v>
      </c>
      <c r="C184" s="11">
        <f ca="1">IFERROR(VLOOKUP(A184, ItemList!$A:$D, 4, FALSE), "")</f>
        <v>0</v>
      </c>
      <c r="E184">
        <f ca="1">IFERROR(VLOOKUP(A184, ItemList!$A:$D, 2, FALSE), "")</f>
        <v>0</v>
      </c>
      <c r="F184" s="10">
        <v>22.49</v>
      </c>
      <c r="G184" s="12">
        <f ca="1">IFERROR(VLOOKUP(A184, LYSalesList!$B:$D, 2, FALSE), "")</f>
        <v>0</v>
      </c>
      <c r="H184" s="13">
        <f ca="1">IFERROR(VLOOKUP(A184, LYSalesList!$B:$D, 3, FALSE), "")</f>
        <v>0</v>
      </c>
    </row>
    <row r="185" spans="1:8">
      <c r="A185" s="8" t="s">
        <v>221</v>
      </c>
      <c r="B185" s="10">
        <v>4.49</v>
      </c>
      <c r="C185" s="11">
        <f ca="1">IFERROR(VLOOKUP(A185, ItemList!$A:$D, 4, FALSE), "")</f>
        <v>0</v>
      </c>
      <c r="E185">
        <f ca="1">IFERROR(VLOOKUP(A185, ItemList!$A:$D, 2, FALSE), "")</f>
        <v>0</v>
      </c>
      <c r="F185" s="10">
        <v>4.49</v>
      </c>
      <c r="G185" s="12">
        <f ca="1">IFERROR(VLOOKUP(A185, LYSalesList!$B:$D, 2, FALSE), "")</f>
        <v>0</v>
      </c>
      <c r="H185" s="13">
        <f ca="1">IFERROR(VLOOKUP(A185, LYSalesList!$B:$D, 3, FALSE), "")</f>
        <v>0</v>
      </c>
    </row>
    <row r="186" spans="1:8">
      <c r="A186" s="8" t="s">
        <v>222</v>
      </c>
      <c r="B186" s="10">
        <v>456.87</v>
      </c>
      <c r="C186" s="11">
        <f ca="1">IFERROR(VLOOKUP(A186, ItemList!$A:$D, 4, FALSE), "")</f>
        <v>0</v>
      </c>
      <c r="E186">
        <f ca="1">IFERROR(VLOOKUP(A186, ItemList!$A:$D, 2, FALSE), "")</f>
        <v>0</v>
      </c>
      <c r="F186" s="10">
        <v>456.87</v>
      </c>
      <c r="G186" s="12">
        <f ca="1">IFERROR(VLOOKUP(A186, LYSalesList!$B:$D, 2, FALSE), "")</f>
        <v>0</v>
      </c>
      <c r="H186" s="13">
        <f ca="1">IFERROR(VLOOKUP(A186, LYSalesList!$B:$D, 3, FALSE), "")</f>
        <v>0</v>
      </c>
    </row>
    <row r="187" spans="1:8">
      <c r="A187" s="8" t="s">
        <v>223</v>
      </c>
      <c r="B187" s="10">
        <v>488.49</v>
      </c>
      <c r="C187" s="11">
        <f ca="1">IFERROR(VLOOKUP(A187, ItemList!$A:$D, 4, FALSE), "")</f>
        <v>0</v>
      </c>
      <c r="E187">
        <f ca="1">IFERROR(VLOOKUP(A187, ItemList!$A:$D, 2, FALSE), "")</f>
        <v>0</v>
      </c>
      <c r="F187" s="10">
        <v>488.49</v>
      </c>
      <c r="G187" s="12">
        <f ca="1">IFERROR(VLOOKUP(A187, LYSalesList!$B:$D, 2, FALSE), "")</f>
        <v>0</v>
      </c>
      <c r="H187" s="13">
        <f ca="1">IFERROR(VLOOKUP(A187, LYSalesList!$B:$D, 3, FALSE), "")</f>
        <v>0</v>
      </c>
    </row>
    <row r="188" spans="1:8">
      <c r="A188" s="8" t="s">
        <v>224</v>
      </c>
      <c r="B188" s="10">
        <v>180.84</v>
      </c>
      <c r="C188" s="11">
        <f ca="1">IFERROR(VLOOKUP(A188, ItemList!$A:$D, 4, FALSE), "")</f>
        <v>0</v>
      </c>
      <c r="E188">
        <f ca="1">IFERROR(VLOOKUP(A188, ItemList!$A:$D, 2, FALSE), "")</f>
        <v>0</v>
      </c>
      <c r="F188" s="10">
        <v>180.84</v>
      </c>
      <c r="G188" s="12">
        <f ca="1">IFERROR(VLOOKUP(A188, LYSalesList!$B:$D, 2, FALSE), "")</f>
        <v>0</v>
      </c>
      <c r="H188" s="13">
        <f ca="1">IFERROR(VLOOKUP(A188, LYSalesList!$B:$D, 3, FALSE), "")</f>
        <v>0</v>
      </c>
    </row>
    <row r="189" spans="1:8">
      <c r="A189" s="8" t="s">
        <v>225</v>
      </c>
      <c r="B189" s="10">
        <v>17.99</v>
      </c>
      <c r="C189" s="11">
        <f ca="1">IFERROR(VLOOKUP(A189, ItemList!$A:$D, 4, FALSE), "")</f>
        <v>0</v>
      </c>
      <c r="E189">
        <f ca="1">IFERROR(VLOOKUP(A189, ItemList!$A:$D, 2, FALSE), "")</f>
        <v>0</v>
      </c>
      <c r="F189" s="10">
        <v>17.99</v>
      </c>
      <c r="G189" s="12">
        <f ca="1">IFERROR(VLOOKUP(A189, LYSalesList!$B:$D, 2, FALSE), "")</f>
        <v>0</v>
      </c>
      <c r="H189" s="13">
        <f ca="1">IFERROR(VLOOKUP(A189, LYSalesList!$B:$D, 3, FALSE), "")</f>
        <v>0</v>
      </c>
    </row>
    <row r="190" spans="1:8">
      <c r="A190" s="8" t="s">
        <v>226</v>
      </c>
      <c r="B190" s="10">
        <v>60.87</v>
      </c>
      <c r="C190" s="11">
        <f ca="1">IFERROR(VLOOKUP(A190, ItemList!$A:$D, 4, FALSE), "")</f>
        <v>0</v>
      </c>
      <c r="E190">
        <f ca="1">IFERROR(VLOOKUP(A190, ItemList!$A:$D, 2, FALSE), "")</f>
        <v>0</v>
      </c>
      <c r="F190" s="10">
        <v>60.87</v>
      </c>
      <c r="G190" s="12">
        <f ca="1">IFERROR(VLOOKUP(A190, LYSalesList!$B:$D, 2, FALSE), "")</f>
        <v>0</v>
      </c>
      <c r="H190" s="13">
        <f ca="1">IFERROR(VLOOKUP(A190, LYSalesList!$B:$D, 3, FALSE), "")</f>
        <v>0</v>
      </c>
    </row>
    <row r="191" spans="1:8">
      <c r="A191" s="8" t="s">
        <v>227</v>
      </c>
      <c r="B191" s="10">
        <v>146.87</v>
      </c>
      <c r="C191" s="11">
        <f ca="1">IFERROR(VLOOKUP(A191, ItemList!$A:$D, 4, FALSE), "")</f>
        <v>0</v>
      </c>
      <c r="E191">
        <f ca="1">IFERROR(VLOOKUP(A191, ItemList!$A:$D, 2, FALSE), "")</f>
        <v>0</v>
      </c>
      <c r="F191" s="10">
        <v>146.87</v>
      </c>
      <c r="G191" s="12">
        <f ca="1">IFERROR(VLOOKUP(A191, LYSalesList!$B:$D, 2, FALSE), "")</f>
        <v>0</v>
      </c>
      <c r="H191" s="13">
        <f ca="1">IFERROR(VLOOKUP(A191, LYSalesList!$B:$D, 3, FALSE), "")</f>
        <v>0</v>
      </c>
    </row>
    <row r="192" spans="1:8">
      <c r="A192" s="8" t="s">
        <v>228</v>
      </c>
      <c r="B192" s="10">
        <v>218.17</v>
      </c>
      <c r="C192" s="11">
        <f ca="1">IFERROR(VLOOKUP(A192, ItemList!$A:$D, 4, FALSE), "")</f>
        <v>0</v>
      </c>
      <c r="E192">
        <f ca="1">IFERROR(VLOOKUP(A192, ItemList!$A:$D, 2, FALSE), "")</f>
        <v>0</v>
      </c>
      <c r="F192" s="10">
        <v>218.17</v>
      </c>
      <c r="G192" s="12">
        <f ca="1">IFERROR(VLOOKUP(A192, LYSalesList!$B:$D, 2, FALSE), "")</f>
        <v>0</v>
      </c>
      <c r="H192" s="13">
        <f ca="1">IFERROR(VLOOKUP(A192, LYSalesList!$B:$D, 3, FALSE), "")</f>
        <v>0</v>
      </c>
    </row>
    <row r="193" spans="1:8">
      <c r="A193" s="8" t="s">
        <v>229</v>
      </c>
      <c r="B193" s="10">
        <v>149.99</v>
      </c>
      <c r="C193" s="11">
        <f ca="1">IFERROR(VLOOKUP(A193, ItemList!$A:$D, 4, FALSE), "")</f>
        <v>0</v>
      </c>
      <c r="E193">
        <f ca="1">IFERROR(VLOOKUP(A193, ItemList!$A:$D, 2, FALSE), "")</f>
        <v>0</v>
      </c>
      <c r="F193" s="10">
        <v>149.99</v>
      </c>
      <c r="G193" s="12">
        <f ca="1">IFERROR(VLOOKUP(A193, LYSalesList!$B:$D, 2, FALSE), "")</f>
        <v>0</v>
      </c>
      <c r="H193" s="13">
        <f ca="1">IFERROR(VLOOKUP(A193, LYSalesList!$B:$D, 3, FALSE), "")</f>
        <v>0</v>
      </c>
    </row>
    <row r="194" spans="1:8">
      <c r="A194" s="8" t="s">
        <v>230</v>
      </c>
      <c r="B194" s="10">
        <v>142.75</v>
      </c>
      <c r="C194" s="11">
        <f ca="1">IFERROR(VLOOKUP(A194, ItemList!$A:$D, 4, FALSE), "")</f>
        <v>0</v>
      </c>
      <c r="E194">
        <f ca="1">IFERROR(VLOOKUP(A194, ItemList!$A:$D, 2, FALSE), "")</f>
        <v>0</v>
      </c>
      <c r="F194" s="10">
        <v>142.75</v>
      </c>
      <c r="G194" s="12">
        <f ca="1">IFERROR(VLOOKUP(A194, LYSalesList!$B:$D, 2, FALSE), "")</f>
        <v>0</v>
      </c>
      <c r="H194" s="13">
        <f ca="1">IFERROR(VLOOKUP(A194, LYSalesList!$B:$D, 3, FALSE), "")</f>
        <v>0</v>
      </c>
    </row>
    <row r="195" spans="1:8">
      <c r="A195" s="8" t="s">
        <v>231</v>
      </c>
      <c r="B195" s="10">
        <v>202.53</v>
      </c>
      <c r="C195" s="11">
        <f ca="1">IFERROR(VLOOKUP(A195, ItemList!$A:$D, 4, FALSE), "")</f>
        <v>0</v>
      </c>
      <c r="E195">
        <f ca="1">IFERROR(VLOOKUP(A195, ItemList!$A:$D, 2, FALSE), "")</f>
        <v>0</v>
      </c>
      <c r="F195" s="10">
        <v>202.53</v>
      </c>
      <c r="G195" s="12">
        <f ca="1">IFERROR(VLOOKUP(A195, LYSalesList!$B:$D, 2, FALSE), "")</f>
        <v>0</v>
      </c>
      <c r="H195" s="13">
        <f ca="1">IFERROR(VLOOKUP(A195, LYSalesList!$B:$D, 3, FALSE), "")</f>
        <v>0</v>
      </c>
    </row>
    <row r="196" spans="1:8">
      <c r="A196" s="8" t="s">
        <v>232</v>
      </c>
      <c r="B196" s="10">
        <v>135.48</v>
      </c>
      <c r="C196" s="11">
        <f ca="1">IFERROR(VLOOKUP(A196, ItemList!$A:$D, 4, FALSE), "")</f>
        <v>0</v>
      </c>
      <c r="E196">
        <f ca="1">IFERROR(VLOOKUP(A196, ItemList!$A:$D, 2, FALSE), "")</f>
        <v>0</v>
      </c>
      <c r="F196" s="10">
        <v>135.48</v>
      </c>
      <c r="G196" s="12">
        <f ca="1">IFERROR(VLOOKUP(A196, LYSalesList!$B:$D, 2, FALSE), "")</f>
        <v>0</v>
      </c>
      <c r="H196" s="13">
        <f ca="1">IFERROR(VLOOKUP(A196, LYSalesList!$B:$D, 3, FALSE), "")</f>
        <v>0</v>
      </c>
    </row>
    <row r="197" spans="1:8">
      <c r="A197" s="8" t="s">
        <v>233</v>
      </c>
      <c r="B197" s="10">
        <v>14.79</v>
      </c>
      <c r="C197" s="11">
        <f ca="1">IFERROR(VLOOKUP(A197, ItemList!$A:$D, 4, FALSE), "")</f>
        <v>0</v>
      </c>
      <c r="E197">
        <f ca="1">IFERROR(VLOOKUP(A197, ItemList!$A:$D, 2, FALSE), "")</f>
        <v>0</v>
      </c>
      <c r="F197" s="10">
        <v>14.79</v>
      </c>
      <c r="G197" s="12">
        <f ca="1">IFERROR(VLOOKUP(A197, LYSalesList!$B:$D, 2, FALSE), "")</f>
        <v>0</v>
      </c>
      <c r="H197" s="13">
        <f ca="1">IFERROR(VLOOKUP(A197, LYSalesList!$B:$D, 3, FALSE), "")</f>
        <v>0</v>
      </c>
    </row>
    <row r="198" spans="1:8">
      <c r="A198" s="8" t="s">
        <v>234</v>
      </c>
      <c r="B198" s="10">
        <v>317.32</v>
      </c>
      <c r="C198" s="11">
        <f ca="1">IFERROR(VLOOKUP(A198, ItemList!$A:$D, 4, FALSE), "")</f>
        <v>0</v>
      </c>
      <c r="E198">
        <f ca="1">IFERROR(VLOOKUP(A198, ItemList!$A:$D, 2, FALSE), "")</f>
        <v>0</v>
      </c>
      <c r="F198" s="10">
        <v>317.32</v>
      </c>
      <c r="G198" s="12">
        <f ca="1">IFERROR(VLOOKUP(A198, LYSalesList!$B:$D, 2, FALSE), "")</f>
        <v>0</v>
      </c>
      <c r="H198" s="13">
        <f ca="1">IFERROR(VLOOKUP(A198, LYSalesList!$B:$D, 3, FALSE), "")</f>
        <v>0</v>
      </c>
    </row>
    <row r="199" spans="1:8">
      <c r="A199" s="8" t="s">
        <v>235</v>
      </c>
      <c r="B199" s="10">
        <v>167.25</v>
      </c>
      <c r="C199" s="11">
        <f ca="1">IFERROR(VLOOKUP(A199, ItemList!$A:$D, 4, FALSE), "")</f>
        <v>0</v>
      </c>
      <c r="E199">
        <f ca="1">IFERROR(VLOOKUP(A199, ItemList!$A:$D, 2, FALSE), "")</f>
        <v>0</v>
      </c>
      <c r="F199" s="10">
        <v>167.25</v>
      </c>
      <c r="G199" s="12">
        <f ca="1">IFERROR(VLOOKUP(A199, LYSalesList!$B:$D, 2, FALSE), "")</f>
        <v>0</v>
      </c>
      <c r="H199" s="13">
        <f ca="1">IFERROR(VLOOKUP(A199, LYSalesList!$B:$D, 3, FALSE), "")</f>
        <v>0</v>
      </c>
    </row>
    <row r="200" spans="1:8">
      <c r="A200" s="8" t="s">
        <v>236</v>
      </c>
      <c r="B200" s="10">
        <v>15.11</v>
      </c>
      <c r="C200" s="11">
        <f ca="1">IFERROR(VLOOKUP(A200, ItemList!$A:$D, 4, FALSE), "")</f>
        <v>0</v>
      </c>
      <c r="E200">
        <f ca="1">IFERROR(VLOOKUP(A200, ItemList!$A:$D, 2, FALSE), "")</f>
        <v>0</v>
      </c>
      <c r="F200" s="10">
        <v>15.11</v>
      </c>
      <c r="G200" s="12">
        <f ca="1">IFERROR(VLOOKUP(A200, LYSalesList!$B:$D, 2, FALSE), "")</f>
        <v>0</v>
      </c>
      <c r="H200" s="13">
        <f ca="1">IFERROR(VLOOKUP(A200, LYSalesList!$B:$D, 3, FALSE), "")</f>
        <v>0</v>
      </c>
    </row>
    <row r="201" spans="1:8">
      <c r="A201" s="8" t="s">
        <v>237</v>
      </c>
      <c r="B201" s="10">
        <v>68.01</v>
      </c>
      <c r="C201" s="11">
        <f ca="1">IFERROR(VLOOKUP(A201, ItemList!$A:$D, 4, FALSE), "")</f>
        <v>0</v>
      </c>
      <c r="E201">
        <f ca="1">IFERROR(VLOOKUP(A201, ItemList!$A:$D, 2, FALSE), "")</f>
        <v>0</v>
      </c>
      <c r="F201" s="10">
        <v>68.01</v>
      </c>
      <c r="G201" s="12">
        <f ca="1">IFERROR(VLOOKUP(A201, LYSalesList!$B:$D, 2, FALSE), "")</f>
        <v>0</v>
      </c>
      <c r="H201" s="13">
        <f ca="1">IFERROR(VLOOKUP(A201, LYSalesList!$B:$D, 3, FALSE), "")</f>
        <v>0</v>
      </c>
    </row>
    <row r="202" spans="1:8">
      <c r="A202" s="8" t="s">
        <v>238</v>
      </c>
      <c r="B202" s="10">
        <v>36.81</v>
      </c>
      <c r="C202" s="11">
        <f ca="1">IFERROR(VLOOKUP(A202, ItemList!$A:$D, 4, FALSE), "")</f>
        <v>0</v>
      </c>
      <c r="E202">
        <f ca="1">IFERROR(VLOOKUP(A202, ItemList!$A:$D, 2, FALSE), "")</f>
        <v>0</v>
      </c>
      <c r="F202" s="10">
        <v>36.81</v>
      </c>
      <c r="G202" s="12">
        <f ca="1">IFERROR(VLOOKUP(A202, LYSalesList!$B:$D, 2, FALSE), "")</f>
        <v>0</v>
      </c>
      <c r="H202" s="13">
        <f ca="1">IFERROR(VLOOKUP(A202, LYSalesList!$B:$D, 3, FALSE), "")</f>
        <v>0</v>
      </c>
    </row>
    <row r="203" spans="1:8">
      <c r="A203" s="8" t="s">
        <v>239</v>
      </c>
      <c r="B203" s="10">
        <v>9.99</v>
      </c>
      <c r="C203" s="11">
        <f ca="1">IFERROR(VLOOKUP(A203, ItemList!$A:$D, 4, FALSE), "")</f>
        <v>0</v>
      </c>
      <c r="E203">
        <f ca="1">IFERROR(VLOOKUP(A203, ItemList!$A:$D, 2, FALSE), "")</f>
        <v>0</v>
      </c>
      <c r="F203" s="10">
        <v>9.99</v>
      </c>
      <c r="G203" s="12">
        <f ca="1">IFERROR(VLOOKUP(A203, LYSalesList!$B:$D, 2, FALSE), "")</f>
        <v>0</v>
      </c>
      <c r="H203" s="13">
        <f ca="1">IFERROR(VLOOKUP(A203, LYSalesList!$B:$D, 3, FALSE), "")</f>
        <v>0</v>
      </c>
    </row>
    <row r="204" spans="1:8">
      <c r="A204" s="8" t="s">
        <v>240</v>
      </c>
      <c r="B204" s="10">
        <v>142.69</v>
      </c>
      <c r="C204" s="11">
        <f ca="1">IFERROR(VLOOKUP(A204, ItemList!$A:$D, 4, FALSE), "")</f>
        <v>0</v>
      </c>
      <c r="E204">
        <f ca="1">IFERROR(VLOOKUP(A204, ItemList!$A:$D, 2, FALSE), "")</f>
        <v>0</v>
      </c>
      <c r="F204" s="10">
        <v>142.69</v>
      </c>
      <c r="G204" s="12">
        <f ca="1">IFERROR(VLOOKUP(A204, LYSalesList!$B:$D, 2, FALSE), "")</f>
        <v>0</v>
      </c>
      <c r="H204" s="13">
        <f ca="1">IFERROR(VLOOKUP(A204, LYSalesList!$B:$D, 3, FALSE), "")</f>
        <v>0</v>
      </c>
    </row>
    <row r="205" spans="1:8">
      <c r="A205" s="8" t="s">
        <v>241</v>
      </c>
      <c r="B205" s="10">
        <v>819.94</v>
      </c>
      <c r="C205" s="11">
        <f ca="1">IFERROR(VLOOKUP(A205, ItemList!$A:$D, 4, FALSE), "")</f>
        <v>0</v>
      </c>
      <c r="E205">
        <f ca="1">IFERROR(VLOOKUP(A205, ItemList!$A:$D, 2, FALSE), "")</f>
        <v>0</v>
      </c>
      <c r="F205" s="10">
        <v>819.94</v>
      </c>
      <c r="G205" s="12">
        <f ca="1">IFERROR(VLOOKUP(A205, LYSalesList!$B:$D, 2, FALSE), "")</f>
        <v>0</v>
      </c>
      <c r="H205" s="13">
        <f ca="1">IFERROR(VLOOKUP(A205, LYSalesList!$B:$D, 3, FALSE), "")</f>
        <v>0</v>
      </c>
    </row>
    <row r="206" spans="1:8">
      <c r="A206" s="8" t="s">
        <v>242</v>
      </c>
      <c r="B206" s="10">
        <v>24.29</v>
      </c>
      <c r="C206" s="11">
        <f ca="1">IFERROR(VLOOKUP(A206, ItemList!$A:$D, 4, FALSE), "")</f>
        <v>0</v>
      </c>
      <c r="E206">
        <f ca="1">IFERROR(VLOOKUP(A206, ItemList!$A:$D, 2, FALSE), "")</f>
        <v>0</v>
      </c>
      <c r="F206" s="10">
        <v>24.29</v>
      </c>
      <c r="G206" s="12">
        <f ca="1">IFERROR(VLOOKUP(A206, LYSalesList!$B:$D, 2, FALSE), "")</f>
        <v>0</v>
      </c>
      <c r="H206" s="13">
        <f ca="1">IFERROR(VLOOKUP(A206, LYSalesList!$B:$D, 3, FALSE), "")</f>
        <v>0</v>
      </c>
    </row>
    <row r="207" spans="1:8">
      <c r="A207" s="8" t="s">
        <v>243</v>
      </c>
      <c r="B207" s="10">
        <v>111.36</v>
      </c>
      <c r="C207" s="11">
        <f ca="1">IFERROR(VLOOKUP(A207, ItemList!$A:$D, 4, FALSE), "")</f>
        <v>0</v>
      </c>
      <c r="E207">
        <f ca="1">IFERROR(VLOOKUP(A207, ItemList!$A:$D, 2, FALSE), "")</f>
        <v>0</v>
      </c>
      <c r="F207" s="10">
        <v>111.36</v>
      </c>
      <c r="G207" s="12">
        <f ca="1">IFERROR(VLOOKUP(A207, LYSalesList!$B:$D, 2, FALSE), "")</f>
        <v>0</v>
      </c>
      <c r="H207" s="13">
        <f ca="1">IFERROR(VLOOKUP(A207, LYSalesList!$B:$D, 3, FALSE), "")</f>
        <v>0</v>
      </c>
    </row>
    <row r="208" spans="1:8">
      <c r="A208" s="8" t="s">
        <v>244</v>
      </c>
      <c r="B208" s="10">
        <v>148.96</v>
      </c>
      <c r="C208" s="11">
        <f ca="1">IFERROR(VLOOKUP(A208, ItemList!$A:$D, 4, FALSE), "")</f>
        <v>0</v>
      </c>
      <c r="E208">
        <f ca="1">IFERROR(VLOOKUP(A208, ItemList!$A:$D, 2, FALSE), "")</f>
        <v>0</v>
      </c>
      <c r="F208" s="10">
        <v>148.96</v>
      </c>
      <c r="G208" s="12">
        <f ca="1">IFERROR(VLOOKUP(A208, LYSalesList!$B:$D, 2, FALSE), "")</f>
        <v>0</v>
      </c>
      <c r="H208" s="13">
        <f ca="1">IFERROR(VLOOKUP(A208, LYSalesList!$B:$D, 3, FALSE), "")</f>
        <v>0</v>
      </c>
    </row>
    <row r="209" spans="1:8">
      <c r="A209" s="8" t="s">
        <v>245</v>
      </c>
      <c r="B209" s="10">
        <v>249.4</v>
      </c>
      <c r="C209" s="11">
        <f ca="1">IFERROR(VLOOKUP(A209, ItemList!$A:$D, 4, FALSE), "")</f>
        <v>0</v>
      </c>
      <c r="E209">
        <f ca="1">IFERROR(VLOOKUP(A209, ItemList!$A:$D, 2, FALSE), "")</f>
        <v>0</v>
      </c>
      <c r="F209" s="10">
        <v>249.4</v>
      </c>
      <c r="G209" s="12">
        <f ca="1">IFERROR(VLOOKUP(A209, LYSalesList!$B:$D, 2, FALSE), "")</f>
        <v>0</v>
      </c>
      <c r="H209" s="13">
        <f ca="1">IFERROR(VLOOKUP(A209, LYSalesList!$B:$D, 3, FALSE), "")</f>
        <v>0</v>
      </c>
    </row>
    <row r="210" spans="1:8">
      <c r="A210" s="8" t="s">
        <v>246</v>
      </c>
      <c r="B210" s="10">
        <v>11.24</v>
      </c>
      <c r="C210" s="11">
        <f ca="1">IFERROR(VLOOKUP(A210, ItemList!$A:$D, 4, FALSE), "")</f>
        <v>0</v>
      </c>
      <c r="E210">
        <f ca="1">IFERROR(VLOOKUP(A210, ItemList!$A:$D, 2, FALSE), "")</f>
        <v>0</v>
      </c>
      <c r="F210" s="10">
        <v>11.24</v>
      </c>
      <c r="G210" s="12">
        <f ca="1">IFERROR(VLOOKUP(A210, LYSalesList!$B:$D, 2, FALSE), "")</f>
        <v>0</v>
      </c>
      <c r="H210" s="13">
        <f ca="1">IFERROR(VLOOKUP(A210, LYSalesList!$B:$D, 3, FALSE), "")</f>
        <v>0</v>
      </c>
    </row>
    <row r="211" spans="1:8">
      <c r="A211" s="8" t="s">
        <v>247</v>
      </c>
      <c r="B211" s="10">
        <v>270.04</v>
      </c>
      <c r="C211" s="11">
        <f ca="1">IFERROR(VLOOKUP(A211, ItemList!$A:$D, 4, FALSE), "")</f>
        <v>0</v>
      </c>
      <c r="E211">
        <f ca="1">IFERROR(VLOOKUP(A211, ItemList!$A:$D, 2, FALSE), "")</f>
        <v>0</v>
      </c>
      <c r="F211" s="10">
        <v>270.04</v>
      </c>
      <c r="G211" s="12">
        <f ca="1">IFERROR(VLOOKUP(A211, LYSalesList!$B:$D, 2, FALSE), "")</f>
        <v>0</v>
      </c>
      <c r="H211" s="13">
        <f ca="1">IFERROR(VLOOKUP(A211, LYSalesList!$B:$D, 3, FALSE), "")</f>
        <v>0</v>
      </c>
    </row>
    <row r="212" spans="1:8">
      <c r="A212" s="8" t="s">
        <v>248</v>
      </c>
      <c r="B212" s="10">
        <v>18.37</v>
      </c>
      <c r="C212" s="11">
        <f ca="1">IFERROR(VLOOKUP(A212, ItemList!$A:$D, 4, FALSE), "")</f>
        <v>0</v>
      </c>
      <c r="E212">
        <f ca="1">IFERROR(VLOOKUP(A212, ItemList!$A:$D, 2, FALSE), "")</f>
        <v>0</v>
      </c>
      <c r="F212" s="10">
        <v>18.37</v>
      </c>
      <c r="G212" s="12">
        <f ca="1">IFERROR(VLOOKUP(A212, LYSalesList!$B:$D, 2, FALSE), "")</f>
        <v>0</v>
      </c>
      <c r="H212" s="13">
        <f ca="1">IFERROR(VLOOKUP(A212, LYSalesList!$B:$D, 3, FALSE), "")</f>
        <v>0</v>
      </c>
    </row>
    <row r="213" spans="1:8">
      <c r="A213" s="8" t="s">
        <v>249</v>
      </c>
      <c r="B213" s="10">
        <v>11.24</v>
      </c>
      <c r="C213" s="11">
        <f ca="1">IFERROR(VLOOKUP(A213, ItemList!$A:$D, 4, FALSE), "")</f>
        <v>0</v>
      </c>
      <c r="E213">
        <f ca="1">IFERROR(VLOOKUP(A213, ItemList!$A:$D, 2, FALSE), "")</f>
        <v>0</v>
      </c>
      <c r="F213" s="10">
        <v>11.24</v>
      </c>
      <c r="G213" s="12">
        <f ca="1">IFERROR(VLOOKUP(A213, LYSalesList!$B:$D, 2, FALSE), "")</f>
        <v>0</v>
      </c>
      <c r="H213" s="13">
        <f ca="1">IFERROR(VLOOKUP(A213, LYSalesList!$B:$D, 3, FALSE), "")</f>
        <v>0</v>
      </c>
    </row>
    <row r="214" spans="1:8">
      <c r="A214" s="8" t="s">
        <v>250</v>
      </c>
      <c r="B214" s="10">
        <v>3.14</v>
      </c>
      <c r="C214" s="11">
        <f ca="1">IFERROR(VLOOKUP(A214, ItemList!$A:$D, 4, FALSE), "")</f>
        <v>0</v>
      </c>
      <c r="E214">
        <f ca="1">IFERROR(VLOOKUP(A214, ItemList!$A:$D, 2, FALSE), "")</f>
        <v>0</v>
      </c>
      <c r="F214" s="10">
        <v>3.14</v>
      </c>
      <c r="G214" s="12">
        <f ca="1">IFERROR(VLOOKUP(A214, LYSalesList!$B:$D, 2, FALSE), "")</f>
        <v>0</v>
      </c>
      <c r="H214" s="13">
        <f ca="1">IFERROR(VLOOKUP(A214, LYSalesList!$B:$D, 3, FALSE), "")</f>
        <v>0</v>
      </c>
    </row>
    <row r="215" spans="1:8">
      <c r="A215" s="8" t="s">
        <v>251</v>
      </c>
      <c r="B215" s="10">
        <v>9.89</v>
      </c>
      <c r="C215" s="11">
        <f ca="1">IFERROR(VLOOKUP(A215, ItemList!$A:$D, 4, FALSE), "")</f>
        <v>0</v>
      </c>
      <c r="E215">
        <f ca="1">IFERROR(VLOOKUP(A215, ItemList!$A:$D, 2, FALSE), "")</f>
        <v>0</v>
      </c>
      <c r="F215" s="10">
        <v>9.89</v>
      </c>
      <c r="G215" s="12">
        <f ca="1">IFERROR(VLOOKUP(A215, LYSalesList!$B:$D, 2, FALSE), "")</f>
        <v>0</v>
      </c>
      <c r="H215" s="13">
        <f ca="1">IFERROR(VLOOKUP(A215, LYSalesList!$B:$D, 3, FALSE), "")</f>
        <v>0</v>
      </c>
    </row>
    <row r="216" spans="1:8">
      <c r="A216" s="8" t="s">
        <v>252</v>
      </c>
      <c r="B216" s="10">
        <v>9.89</v>
      </c>
      <c r="C216" s="11">
        <f ca="1">IFERROR(VLOOKUP(A216, ItemList!$A:$D, 4, FALSE), "")</f>
        <v>0</v>
      </c>
      <c r="E216">
        <f ca="1">IFERROR(VLOOKUP(A216, ItemList!$A:$D, 2, FALSE), "")</f>
        <v>0</v>
      </c>
      <c r="F216" s="10">
        <v>9.89</v>
      </c>
      <c r="G216" s="12">
        <f ca="1">IFERROR(VLOOKUP(A216, LYSalesList!$B:$D, 2, FALSE), "")</f>
        <v>0</v>
      </c>
      <c r="H216" s="13">
        <f ca="1">IFERROR(VLOOKUP(A216, LYSalesList!$B:$D, 3, FALSE), "")</f>
        <v>0</v>
      </c>
    </row>
    <row r="217" spans="1:8">
      <c r="A217" s="8" t="s">
        <v>253</v>
      </c>
      <c r="B217" s="10">
        <v>25.64</v>
      </c>
      <c r="C217" s="11">
        <f ca="1">IFERROR(VLOOKUP(A217, ItemList!$A:$D, 4, FALSE), "")</f>
        <v>0</v>
      </c>
      <c r="E217">
        <f ca="1">IFERROR(VLOOKUP(A217, ItemList!$A:$D, 2, FALSE), "")</f>
        <v>0</v>
      </c>
      <c r="F217" s="10">
        <v>25.64</v>
      </c>
      <c r="G217" s="12">
        <f ca="1">IFERROR(VLOOKUP(A217, LYSalesList!$B:$D, 2, FALSE), "")</f>
        <v>0</v>
      </c>
      <c r="H217" s="13">
        <f ca="1">IFERROR(VLOOKUP(A217, LYSalesList!$B:$D, 3, FALSE), "")</f>
        <v>0</v>
      </c>
    </row>
    <row r="218" spans="1:8">
      <c r="A218" s="8" t="s">
        <v>254</v>
      </c>
      <c r="B218" s="10">
        <v>13.49</v>
      </c>
      <c r="C218" s="11">
        <f ca="1">IFERROR(VLOOKUP(A218, ItemList!$A:$D, 4, FALSE), "")</f>
        <v>0</v>
      </c>
      <c r="E218">
        <f ca="1">IFERROR(VLOOKUP(A218, ItemList!$A:$D, 2, FALSE), "")</f>
        <v>0</v>
      </c>
      <c r="F218" s="10">
        <v>13.49</v>
      </c>
      <c r="G218" s="12">
        <f ca="1">IFERROR(VLOOKUP(A218, LYSalesList!$B:$D, 2, FALSE), "")</f>
        <v>0</v>
      </c>
      <c r="H218" s="13">
        <f ca="1">IFERROR(VLOOKUP(A218, LYSalesList!$B:$D, 3, FALSE), "")</f>
        <v>0</v>
      </c>
    </row>
    <row r="219" spans="1:8">
      <c r="A219" s="8" t="s">
        <v>255</v>
      </c>
      <c r="B219" s="10">
        <v>36.88</v>
      </c>
      <c r="C219" s="11">
        <f ca="1">IFERROR(VLOOKUP(A219, ItemList!$A:$D, 4, FALSE), "")</f>
        <v>0</v>
      </c>
      <c r="E219">
        <f ca="1">IFERROR(VLOOKUP(A219, ItemList!$A:$D, 2, FALSE), "")</f>
        <v>0</v>
      </c>
      <c r="F219" s="10">
        <v>36.88</v>
      </c>
      <c r="G219" s="12">
        <f ca="1">IFERROR(VLOOKUP(A219, LYSalesList!$B:$D, 2, FALSE), "")</f>
        <v>0</v>
      </c>
      <c r="H219" s="13">
        <f ca="1">IFERROR(VLOOKUP(A219, LYSalesList!$B:$D, 3, FALSE), "")</f>
        <v>0</v>
      </c>
    </row>
    <row r="220" spans="1:8">
      <c r="A220" s="8" t="s">
        <v>256</v>
      </c>
      <c r="B220" s="10">
        <v>9.44</v>
      </c>
      <c r="C220" s="11">
        <f ca="1">IFERROR(VLOOKUP(A220, ItemList!$A:$D, 4, FALSE), "")</f>
        <v>0</v>
      </c>
      <c r="E220">
        <f ca="1">IFERROR(VLOOKUP(A220, ItemList!$A:$D, 2, FALSE), "")</f>
        <v>0</v>
      </c>
      <c r="F220" s="10">
        <v>9.44</v>
      </c>
      <c r="G220" s="12">
        <f ca="1">IFERROR(VLOOKUP(A220, LYSalesList!$B:$D, 2, FALSE), "")</f>
        <v>0</v>
      </c>
      <c r="H220" s="13">
        <f ca="1">IFERROR(VLOOKUP(A220, LYSalesList!$B:$D, 3, FALSE), "")</f>
        <v>0</v>
      </c>
    </row>
    <row r="221" spans="1:8">
      <c r="A221" s="8" t="s">
        <v>257</v>
      </c>
      <c r="B221" s="10">
        <v>152.14</v>
      </c>
      <c r="C221" s="11">
        <f ca="1">IFERROR(VLOOKUP(A221, ItemList!$A:$D, 4, FALSE), "")</f>
        <v>0</v>
      </c>
      <c r="E221">
        <f ca="1">IFERROR(VLOOKUP(A221, ItemList!$A:$D, 2, FALSE), "")</f>
        <v>0</v>
      </c>
      <c r="F221" s="10">
        <v>152.14</v>
      </c>
      <c r="G221" s="12">
        <f ca="1">IFERROR(VLOOKUP(A221, LYSalesList!$B:$D, 2, FALSE), "")</f>
        <v>0</v>
      </c>
      <c r="H221" s="13">
        <f ca="1">IFERROR(VLOOKUP(A221, LYSalesList!$B:$D, 3, FALSE), "")</f>
        <v>0</v>
      </c>
    </row>
    <row r="222" spans="1:8">
      <c r="A222" s="8" t="s">
        <v>258</v>
      </c>
      <c r="B222" s="10">
        <v>43.18</v>
      </c>
      <c r="C222" s="11">
        <f ca="1">IFERROR(VLOOKUP(A222, ItemList!$A:$D, 4, FALSE), "")</f>
        <v>0</v>
      </c>
      <c r="E222">
        <f ca="1">IFERROR(VLOOKUP(A222, ItemList!$A:$D, 2, FALSE), "")</f>
        <v>0</v>
      </c>
      <c r="F222" s="10">
        <v>43.18</v>
      </c>
      <c r="G222" s="12">
        <f ca="1">IFERROR(VLOOKUP(A222, LYSalesList!$B:$D, 2, FALSE), "")</f>
        <v>0</v>
      </c>
      <c r="H222" s="13">
        <f ca="1">IFERROR(VLOOKUP(A222, LYSalesList!$B:$D, 3, FALSE), "")</f>
        <v>0</v>
      </c>
    </row>
    <row r="223" spans="1:8">
      <c r="A223" s="8" t="s">
        <v>259</v>
      </c>
      <c r="B223" s="10">
        <v>9.97</v>
      </c>
      <c r="C223" s="11">
        <f ca="1">IFERROR(VLOOKUP(A223, ItemList!$A:$D, 4, FALSE), "")</f>
        <v>0</v>
      </c>
      <c r="E223">
        <f ca="1">IFERROR(VLOOKUP(A223, ItemList!$A:$D, 2, FALSE), "")</f>
        <v>0</v>
      </c>
      <c r="F223" s="10">
        <v>9.97</v>
      </c>
      <c r="G223" s="12">
        <f ca="1">IFERROR(VLOOKUP(A223, LYSalesList!$B:$D, 2, FALSE), "")</f>
        <v>0</v>
      </c>
      <c r="H223" s="13">
        <f ca="1">IFERROR(VLOOKUP(A223, LYSalesList!$B:$D, 3, FALSE), "")</f>
        <v>0</v>
      </c>
    </row>
    <row r="224" spans="1:8">
      <c r="A224" s="8" t="s">
        <v>260</v>
      </c>
      <c r="B224" s="10">
        <v>35.09</v>
      </c>
      <c r="C224" s="11">
        <f ca="1">IFERROR(VLOOKUP(A224, ItemList!$A:$D, 4, FALSE), "")</f>
        <v>0</v>
      </c>
      <c r="E224">
        <f ca="1">IFERROR(VLOOKUP(A224, ItemList!$A:$D, 2, FALSE), "")</f>
        <v>0</v>
      </c>
      <c r="F224" s="10">
        <v>35.09</v>
      </c>
      <c r="G224" s="12">
        <f ca="1">IFERROR(VLOOKUP(A224, LYSalesList!$B:$D, 2, FALSE), "")</f>
        <v>0</v>
      </c>
      <c r="H224" s="13">
        <f ca="1">IFERROR(VLOOKUP(A224, LYSalesList!$B:$D, 3, FALSE), "")</f>
        <v>0</v>
      </c>
    </row>
    <row r="225" spans="1:8">
      <c r="A225" s="8" t="s">
        <v>261</v>
      </c>
      <c r="B225" s="10">
        <v>268.38</v>
      </c>
      <c r="C225" s="11">
        <f ca="1">IFERROR(VLOOKUP(A225, ItemList!$A:$D, 4, FALSE), "")</f>
        <v>0</v>
      </c>
      <c r="E225">
        <f ca="1">IFERROR(VLOOKUP(A225, ItemList!$A:$D, 2, FALSE), "")</f>
        <v>0</v>
      </c>
      <c r="F225" s="10">
        <v>268.38</v>
      </c>
      <c r="G225" s="12">
        <f ca="1">IFERROR(VLOOKUP(A225, LYSalesList!$B:$D, 2, FALSE), "")</f>
        <v>0</v>
      </c>
      <c r="H225" s="13">
        <f ca="1">IFERROR(VLOOKUP(A225, LYSalesList!$B:$D, 3, FALSE), "")</f>
        <v>0</v>
      </c>
    </row>
    <row r="226" spans="1:8">
      <c r="A226" s="8" t="s">
        <v>262</v>
      </c>
      <c r="B226" s="10">
        <v>79.99</v>
      </c>
      <c r="C226" s="11">
        <f ca="1">IFERROR(VLOOKUP(A226, ItemList!$A:$D, 4, FALSE), "")</f>
        <v>0</v>
      </c>
      <c r="E226">
        <f ca="1">IFERROR(VLOOKUP(A226, ItemList!$A:$D, 2, FALSE), "")</f>
        <v>0</v>
      </c>
      <c r="F226" s="10">
        <v>79.99</v>
      </c>
      <c r="G226" s="12">
        <f ca="1">IFERROR(VLOOKUP(A226, LYSalesList!$B:$D, 2, FALSE), "")</f>
        <v>0</v>
      </c>
      <c r="H226" s="13">
        <f ca="1">IFERROR(VLOOKUP(A226, LYSalesList!$B:$D, 3, FALSE), "")</f>
        <v>0</v>
      </c>
    </row>
    <row r="227" spans="1:8">
      <c r="A227" s="8" t="s">
        <v>263</v>
      </c>
      <c r="B227" s="10">
        <v>14.99</v>
      </c>
      <c r="C227" s="11">
        <f ca="1">IFERROR(VLOOKUP(A227, ItemList!$A:$D, 4, FALSE), "")</f>
        <v>0</v>
      </c>
      <c r="E227">
        <f ca="1">IFERROR(VLOOKUP(A227, ItemList!$A:$D, 2, FALSE), "")</f>
        <v>0</v>
      </c>
      <c r="F227" s="10">
        <v>14.99</v>
      </c>
      <c r="G227" s="12">
        <f ca="1">IFERROR(VLOOKUP(A227, LYSalesList!$B:$D, 2, FALSE), "")</f>
        <v>0</v>
      </c>
      <c r="H227" s="13">
        <f ca="1">IFERROR(VLOOKUP(A227, LYSalesList!$B:$D, 3, FALSE), "")</f>
        <v>0</v>
      </c>
    </row>
    <row r="228" spans="1:8">
      <c r="A228" s="8" t="s">
        <v>264</v>
      </c>
      <c r="B228" s="10">
        <v>33.04</v>
      </c>
      <c r="C228" s="11">
        <f ca="1">IFERROR(VLOOKUP(A228, ItemList!$A:$D, 4, FALSE), "")</f>
        <v>0</v>
      </c>
      <c r="E228">
        <f ca="1">IFERROR(VLOOKUP(A228, ItemList!$A:$D, 2, FALSE), "")</f>
        <v>0</v>
      </c>
      <c r="F228" s="10">
        <v>33.04</v>
      </c>
      <c r="G228" s="12">
        <f ca="1">IFERROR(VLOOKUP(A228, LYSalesList!$B:$D, 2, FALSE), "")</f>
        <v>0</v>
      </c>
      <c r="H228" s="13">
        <f ca="1">IFERROR(VLOOKUP(A228, LYSalesList!$B:$D, 3, FALSE), "")</f>
        <v>0</v>
      </c>
    </row>
    <row r="229" spans="1:3">
      <c r="A229" s="8"/>
      <c r="C229" s="7"/>
    </row>
    <row r="230" spans="3:3">
      <c r="C230" s="7"/>
    </row>
    <row r="231" spans="3:3">
      <c r="C231" s="7"/>
    </row>
    <row r="232" spans="3:3">
      <c r="C232" s="7"/>
    </row>
    <row r="233" spans="3:3">
      <c r="C233" s="7"/>
    </row>
    <row r="234" spans="3:3">
      <c r="C234" s="7"/>
    </row>
    <row r="235" spans="3:3">
      <c r="C235" s="7"/>
    </row>
    <row r="236" spans="3:3">
      <c r="C236" s="7"/>
    </row>
    <row r="237" spans="3:3">
      <c r="C237" s="7"/>
    </row>
    <row r="238" spans="3:3">
      <c r="C238" s="7"/>
    </row>
    <row r="239" spans="3:3">
      <c r="C239" s="7"/>
    </row>
    <row r="240" spans="3:3">
      <c r="C240" s="7"/>
    </row>
    <row r="241" spans="3:3">
      <c r="C241" s="7"/>
    </row>
    <row r="242" spans="3:3">
      <c r="C242" s="7"/>
    </row>
    <row r="243" spans="3:3">
      <c r="C243" s="7"/>
    </row>
    <row r="244" spans="3:3">
      <c r="C244" s="7"/>
    </row>
    <row r="245" spans="3:3">
      <c r="C245" s="7"/>
    </row>
    <row r="246" spans="3:3">
      <c r="C246" s="7"/>
    </row>
    <row r="247" spans="3:3">
      <c r="C247" s="7"/>
    </row>
    <row r="248" spans="3:3">
      <c r="C248" s="7"/>
    </row>
    <row r="249" spans="3:3">
      <c r="C249" s="7"/>
    </row>
    <row r="250" spans="3:3">
      <c r="C250" s="7"/>
    </row>
    <row r="251" spans="3:3">
      <c r="C251" s="7"/>
    </row>
    <row r="252" spans="3:3">
      <c r="C252" s="7"/>
    </row>
    <row r="253" spans="3:3">
      <c r="C253" s="7"/>
    </row>
    <row r="254" spans="3:3">
      <c r="C254" s="7"/>
    </row>
    <row r="255" spans="3:3">
      <c r="C255" s="7"/>
    </row>
    <row r="256" spans="3:3">
      <c r="C256" s="7"/>
    </row>
    <row r="257" spans="3:3">
      <c r="C257" s="7"/>
    </row>
  </sheetData>
  <mergeCells count="3">
    <mergeCell ref="B3:H3"/>
    <mergeCell ref="B4:H4"/>
    <mergeCell ref="G6:H6"/>
  </mergeCells>
  <pageMargins left="0.7" right="0.7" top="0.75" bottom="0.75" header="0.3" footer="0.3"/>
  <headerFooter scaleWithDoc="1" alignWithMargins="0" differentFirst="0" differentOddEven="0"/>
  <extLst/>
</worksheet>
</file>

<file path=xl/worksheets/sheet3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3"/>
  <dimension ref="A1:B43"/>
  <sheetViews>
    <sheetView view="normal" workbookViewId="0">
      <selection pane="topLeft" activeCell="A1" sqref="A1"/>
    </sheetView>
  </sheetViews>
  <sheetFormatPr defaultRowHeight="15"/>
  <cols>
    <col min="1" max="1" width="25.7109375" customWidth="1"/>
  </cols>
  <sheetData>
    <row r="1" spans="1:2">
      <c r="A1" s="6" t="s">
        <v>37</v>
      </c>
      <c r="B1" s="6" t="s">
        <v>265</v>
      </c>
    </row>
    <row r="2" spans="1:2">
      <c r="A2" t="s">
        <v>266</v>
      </c>
      <c r="B2" t="s">
        <v>267</v>
      </c>
    </row>
    <row r="3" spans="1:2">
      <c r="A3" t="s">
        <v>268</v>
      </c>
      <c r="B3" t="s">
        <v>269</v>
      </c>
    </row>
    <row r="4" spans="1:2">
      <c r="A4" t="s">
        <v>270</v>
      </c>
      <c r="B4" t="s">
        <v>271</v>
      </c>
    </row>
    <row r="5" spans="1:2">
      <c r="A5" t="s">
        <v>272</v>
      </c>
      <c r="B5" t="s">
        <v>273</v>
      </c>
    </row>
    <row r="6" spans="1:2">
      <c r="A6" t="s">
        <v>274</v>
      </c>
      <c r="B6" t="s">
        <v>275</v>
      </c>
    </row>
    <row r="7" spans="1:2">
      <c r="A7" t="s">
        <v>276</v>
      </c>
      <c r="B7" t="s">
        <v>277</v>
      </c>
    </row>
    <row r="8" spans="1:2">
      <c r="A8" t="s">
        <v>278</v>
      </c>
      <c r="B8" t="s">
        <v>279</v>
      </c>
    </row>
    <row r="9" spans="1:2">
      <c r="A9" t="s">
        <v>280</v>
      </c>
      <c r="B9" t="s">
        <v>281</v>
      </c>
    </row>
    <row r="10" spans="1:2">
      <c r="A10" t="s">
        <v>282</v>
      </c>
      <c r="B10" t="s">
        <v>283</v>
      </c>
    </row>
    <row r="11" spans="1:2">
      <c r="A11" t="s">
        <v>284</v>
      </c>
      <c r="B11" t="s">
        <v>285</v>
      </c>
    </row>
    <row r="12" spans="1:2">
      <c r="A12" t="s">
        <v>286</v>
      </c>
      <c r="B12" t="s">
        <v>287</v>
      </c>
    </row>
    <row r="13" spans="1:2">
      <c r="A13" t="s">
        <v>288</v>
      </c>
      <c r="B13" t="s">
        <v>289</v>
      </c>
    </row>
    <row r="14" spans="1:2">
      <c r="A14" t="s">
        <v>290</v>
      </c>
      <c r="B14" t="s">
        <v>291</v>
      </c>
    </row>
    <row r="15" spans="1:2">
      <c r="A15" t="s">
        <v>292</v>
      </c>
      <c r="B15" t="s">
        <v>293</v>
      </c>
    </row>
    <row r="16" spans="1:2">
      <c r="A16" t="s">
        <v>294</v>
      </c>
      <c r="B16" t="s">
        <v>295</v>
      </c>
    </row>
    <row r="17" spans="1:2">
      <c r="A17" t="s">
        <v>296</v>
      </c>
      <c r="B17" t="s">
        <v>297</v>
      </c>
    </row>
    <row r="18" spans="1:2">
      <c r="A18" t="s">
        <v>298</v>
      </c>
      <c r="B18" t="s">
        <v>299</v>
      </c>
    </row>
    <row r="19" spans="1:2">
      <c r="A19" t="s">
        <v>300</v>
      </c>
      <c r="B19" t="s">
        <v>301</v>
      </c>
    </row>
    <row r="20" spans="1:2">
      <c r="A20" t="s">
        <v>302</v>
      </c>
      <c r="B20" t="s">
        <v>303</v>
      </c>
    </row>
    <row r="21" spans="1:2">
      <c r="A21" t="s">
        <v>304</v>
      </c>
      <c r="B21" t="s">
        <v>305</v>
      </c>
    </row>
    <row r="22" spans="1:2">
      <c r="A22" t="s">
        <v>306</v>
      </c>
      <c r="B22" t="s">
        <v>307</v>
      </c>
    </row>
    <row r="23" spans="1:2">
      <c r="A23" t="s">
        <v>308</v>
      </c>
      <c r="B23" t="s">
        <v>309</v>
      </c>
    </row>
    <row r="24" spans="1:2">
      <c r="A24" t="s">
        <v>310</v>
      </c>
      <c r="B24" t="s">
        <v>311</v>
      </c>
    </row>
    <row r="25" spans="1:2">
      <c r="A25" t="s">
        <v>312</v>
      </c>
      <c r="B25" t="s">
        <v>313</v>
      </c>
    </row>
    <row r="26" spans="1:2">
      <c r="A26" t="s">
        <v>314</v>
      </c>
      <c r="B26" t="s">
        <v>315</v>
      </c>
    </row>
    <row r="27" spans="1:2">
      <c r="A27" t="s">
        <v>316</v>
      </c>
      <c r="B27" t="s">
        <v>317</v>
      </c>
    </row>
    <row r="28" spans="1:2">
      <c r="A28" t="s">
        <v>318</v>
      </c>
      <c r="B28" t="s">
        <v>319</v>
      </c>
    </row>
    <row r="29" spans="1:2">
      <c r="A29" t="s">
        <v>320</v>
      </c>
      <c r="B29" t="s">
        <v>321</v>
      </c>
    </row>
    <row r="30" spans="1:2">
      <c r="A30" t="s">
        <v>322</v>
      </c>
      <c r="B30" t="s">
        <v>323</v>
      </c>
    </row>
    <row r="31" spans="1:2">
      <c r="A31" t="s">
        <v>324</v>
      </c>
      <c r="B31" t="s">
        <v>325</v>
      </c>
    </row>
    <row r="32" spans="1:2">
      <c r="A32" t="s">
        <v>326</v>
      </c>
      <c r="B32" t="s">
        <v>327</v>
      </c>
    </row>
    <row r="33" spans="1:2">
      <c r="A33" t="s">
        <v>328</v>
      </c>
      <c r="B33" t="s">
        <v>329</v>
      </c>
    </row>
    <row r="34" spans="1:2">
      <c r="A34" t="s">
        <v>330</v>
      </c>
      <c r="B34" t="s">
        <v>331</v>
      </c>
    </row>
    <row r="35" spans="1:2">
      <c r="A35" t="s">
        <v>332</v>
      </c>
      <c r="B35" t="s">
        <v>333</v>
      </c>
    </row>
    <row r="36" spans="1:2">
      <c r="A36" t="s">
        <v>334</v>
      </c>
      <c r="B36" t="s">
        <v>335</v>
      </c>
    </row>
    <row r="37" spans="1:2">
      <c r="A37" t="s">
        <v>336</v>
      </c>
      <c r="B37" t="s">
        <v>337</v>
      </c>
    </row>
    <row r="38" spans="1:2">
      <c r="A38" t="s">
        <v>338</v>
      </c>
      <c r="B38" t="s">
        <v>339</v>
      </c>
    </row>
    <row r="39" spans="1:2">
      <c r="A39" t="s">
        <v>340</v>
      </c>
      <c r="B39" t="s">
        <v>341</v>
      </c>
    </row>
    <row r="40" spans="1:2">
      <c r="A40" t="s">
        <v>342</v>
      </c>
      <c r="B40" t="s">
        <v>343</v>
      </c>
    </row>
    <row r="41" spans="1:2">
      <c r="A41" t="s">
        <v>344</v>
      </c>
      <c r="B41" t="s">
        <v>345</v>
      </c>
    </row>
    <row r="42" spans="1:2">
      <c r="A42" t="s">
        <v>346</v>
      </c>
      <c r="B42" t="s">
        <v>347</v>
      </c>
    </row>
    <row r="43" spans="1:2">
      <c r="A43" t="s">
        <v>348</v>
      </c>
      <c r="B43" t="s">
        <v>349</v>
      </c>
    </row>
  </sheetData>
  <pageMargins left="0.7" right="0.7" top="0.75" bottom="0.75" header="0.3" footer="0.3"/>
  <headerFooter scaleWithDoc="1" alignWithMargins="0" differentFirst="0" differentOddEven="0"/>
  <extLst/>
</worksheet>
</file>

<file path=xl/worksheets/sheet4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4"/>
  <dimension ref="A1:D729"/>
  <sheetViews>
    <sheetView view="normal" workbookViewId="0">
      <selection pane="topLeft" activeCell="A1" sqref="A1"/>
    </sheetView>
  </sheetViews>
  <sheetFormatPr defaultRowHeight="15"/>
  <cols>
    <col min="2" max="2" width="25.7109375" customWidth="1"/>
  </cols>
  <sheetData>
    <row r="1" spans="1:4">
      <c r="A1" s="6" t="s">
        <v>35</v>
      </c>
      <c r="B1" s="6" t="s">
        <v>37</v>
      </c>
      <c r="C1" s="6" t="s">
        <v>350</v>
      </c>
      <c r="D1" s="6" t="s">
        <v>351</v>
      </c>
    </row>
    <row r="2" spans="1:4">
      <c r="A2" t="s">
        <v>101</v>
      </c>
      <c r="B2" t="s">
        <v>352</v>
      </c>
      <c r="C2" s="14">
        <v>45536</v>
      </c>
      <c r="D2">
        <v>10.65</v>
      </c>
    </row>
    <row r="3" spans="1:4">
      <c r="A3" t="s">
        <v>69</v>
      </c>
      <c r="B3" t="s">
        <v>353</v>
      </c>
      <c r="C3" s="14">
        <v>45536</v>
      </c>
      <c r="D3">
        <v>14.3</v>
      </c>
    </row>
    <row r="4" spans="1:4">
      <c r="A4" t="s">
        <v>239</v>
      </c>
      <c r="B4" t="s">
        <v>354</v>
      </c>
      <c r="C4" s="14">
        <v>45536</v>
      </c>
      <c r="D4">
        <v>13.12</v>
      </c>
    </row>
    <row r="5" spans="1:4">
      <c r="A5" t="s">
        <v>60</v>
      </c>
      <c r="B5" t="s">
        <v>355</v>
      </c>
      <c r="C5" s="14">
        <v>45536</v>
      </c>
      <c r="D5">
        <v>10.5</v>
      </c>
    </row>
    <row r="6" spans="1:4">
      <c r="A6" t="s">
        <v>138</v>
      </c>
      <c r="B6" t="s">
        <v>356</v>
      </c>
      <c r="C6" s="14">
        <v>45543</v>
      </c>
      <c r="D6">
        <v>21.89</v>
      </c>
    </row>
    <row r="7" spans="1:4">
      <c r="A7" t="s">
        <v>209</v>
      </c>
      <c r="B7" t="s">
        <v>357</v>
      </c>
      <c r="C7" s="14">
        <v>45536</v>
      </c>
      <c r="D7">
        <v>22.96</v>
      </c>
    </row>
    <row r="8" spans="1:4">
      <c r="A8" t="s">
        <v>103</v>
      </c>
      <c r="B8" t="s">
        <v>358</v>
      </c>
      <c r="C8" s="14">
        <v>45536</v>
      </c>
      <c r="D8">
        <v>10.5</v>
      </c>
    </row>
    <row r="9" spans="1:4">
      <c r="A9" t="s">
        <v>107</v>
      </c>
      <c r="B9" t="s">
        <v>359</v>
      </c>
      <c r="C9" s="14">
        <v>45536</v>
      </c>
      <c r="D9">
        <v>8.27</v>
      </c>
    </row>
    <row r="10" spans="1:4">
      <c r="A10" t="s">
        <v>360</v>
      </c>
      <c r="B10" t="s">
        <v>361</v>
      </c>
      <c r="C10" s="14">
        <v>45536</v>
      </c>
      <c r="D10">
        <v>11.15</v>
      </c>
    </row>
    <row r="11" spans="1:4">
      <c r="A11" t="s">
        <v>102</v>
      </c>
      <c r="B11" t="s">
        <v>362</v>
      </c>
      <c r="C11" s="14">
        <v>45536</v>
      </c>
      <c r="D11">
        <v>13.2</v>
      </c>
    </row>
    <row r="12" spans="1:4">
      <c r="A12" t="s">
        <v>218</v>
      </c>
      <c r="B12" t="s">
        <v>363</v>
      </c>
      <c r="C12" s="14">
        <v>45536</v>
      </c>
      <c r="D12">
        <v>19.48</v>
      </c>
    </row>
    <row r="13" spans="1:4">
      <c r="A13" t="s">
        <v>182</v>
      </c>
      <c r="B13" t="s">
        <v>364</v>
      </c>
      <c r="C13" s="14">
        <v>45536</v>
      </c>
      <c r="D13">
        <v>6.81</v>
      </c>
    </row>
    <row r="14" spans="1:4">
      <c r="A14" t="s">
        <v>154</v>
      </c>
      <c r="B14" t="s">
        <v>365</v>
      </c>
      <c r="C14" s="14">
        <v>45536</v>
      </c>
      <c r="D14">
        <v>17.77</v>
      </c>
    </row>
    <row r="15" spans="1:4">
      <c r="A15" t="s">
        <v>62</v>
      </c>
      <c r="B15" t="s">
        <v>366</v>
      </c>
      <c r="C15" s="14">
        <v>45536</v>
      </c>
      <c r="D15">
        <v>4.19</v>
      </c>
    </row>
    <row r="16" spans="1:4">
      <c r="A16" t="s">
        <v>121</v>
      </c>
      <c r="B16" t="s">
        <v>367</v>
      </c>
      <c r="C16" s="14">
        <v>45536</v>
      </c>
      <c r="D16">
        <v>229.68</v>
      </c>
    </row>
    <row r="17" spans="1:4">
      <c r="A17" t="s">
        <v>109</v>
      </c>
      <c r="B17" t="s">
        <v>368</v>
      </c>
      <c r="C17" s="14">
        <v>45536</v>
      </c>
      <c r="D17">
        <v>4.4</v>
      </c>
    </row>
    <row r="18" spans="1:4">
      <c r="A18" t="s">
        <v>48</v>
      </c>
      <c r="B18" t="s">
        <v>369</v>
      </c>
      <c r="C18" s="14">
        <v>45536</v>
      </c>
      <c r="D18">
        <v>79.5</v>
      </c>
    </row>
    <row r="19" spans="1:4">
      <c r="A19" t="s">
        <v>94</v>
      </c>
      <c r="B19" t="s">
        <v>370</v>
      </c>
      <c r="C19" s="14">
        <v>45536</v>
      </c>
      <c r="D19">
        <v>108.78</v>
      </c>
    </row>
    <row r="20" spans="1:4">
      <c r="A20" t="s">
        <v>88</v>
      </c>
      <c r="B20" t="s">
        <v>371</v>
      </c>
      <c r="C20" s="14">
        <v>45536</v>
      </c>
      <c r="D20">
        <v>83.49</v>
      </c>
    </row>
    <row r="21" spans="1:4">
      <c r="A21" t="s">
        <v>148</v>
      </c>
      <c r="B21" t="s">
        <v>372</v>
      </c>
      <c r="C21" s="14">
        <v>45536</v>
      </c>
      <c r="D21">
        <v>84.56</v>
      </c>
    </row>
    <row r="22" spans="1:4">
      <c r="A22" t="s">
        <v>84</v>
      </c>
      <c r="B22" t="s">
        <v>373</v>
      </c>
      <c r="C22" s="14">
        <v>45536</v>
      </c>
      <c r="D22">
        <v>90.41</v>
      </c>
    </row>
    <row r="23" spans="1:4">
      <c r="A23" t="s">
        <v>129</v>
      </c>
      <c r="B23" t="s">
        <v>374</v>
      </c>
      <c r="C23" s="14">
        <v>45536</v>
      </c>
      <c r="D23">
        <v>88.98</v>
      </c>
    </row>
    <row r="24" spans="1:4">
      <c r="A24" t="s">
        <v>146</v>
      </c>
      <c r="B24" t="s">
        <v>375</v>
      </c>
      <c r="C24" s="14">
        <v>45536</v>
      </c>
      <c r="D24">
        <v>74.78</v>
      </c>
    </row>
    <row r="25" spans="1:4">
      <c r="A25" t="s">
        <v>57</v>
      </c>
      <c r="B25" t="s">
        <v>376</v>
      </c>
      <c r="C25" s="14">
        <v>45536</v>
      </c>
      <c r="D25">
        <v>12.42</v>
      </c>
    </row>
    <row r="26" spans="1:4">
      <c r="A26" t="s">
        <v>58</v>
      </c>
      <c r="B26" t="s">
        <v>377</v>
      </c>
      <c r="C26" s="14">
        <v>45536</v>
      </c>
      <c r="D26">
        <v>16.37</v>
      </c>
    </row>
    <row r="27" spans="1:4">
      <c r="A27" t="s">
        <v>230</v>
      </c>
      <c r="B27" t="s">
        <v>378</v>
      </c>
      <c r="C27" s="14">
        <v>45536</v>
      </c>
      <c r="D27">
        <v>157.03</v>
      </c>
    </row>
    <row r="28" spans="1:4">
      <c r="A28" t="s">
        <v>147</v>
      </c>
      <c r="B28" t="s">
        <v>379</v>
      </c>
      <c r="C28" s="14">
        <v>45536</v>
      </c>
      <c r="D28">
        <v>170.12</v>
      </c>
    </row>
    <row r="29" spans="1:4">
      <c r="A29" t="s">
        <v>136</v>
      </c>
      <c r="B29" t="s">
        <v>380</v>
      </c>
      <c r="C29" s="14">
        <v>45536</v>
      </c>
      <c r="D29">
        <v>99.45</v>
      </c>
    </row>
    <row r="30" spans="1:4">
      <c r="A30" t="s">
        <v>124</v>
      </c>
      <c r="B30" t="s">
        <v>381</v>
      </c>
      <c r="C30" s="14">
        <v>45536</v>
      </c>
      <c r="D30">
        <v>150.05</v>
      </c>
    </row>
    <row r="31" spans="1:4">
      <c r="A31" t="s">
        <v>128</v>
      </c>
      <c r="B31" t="s">
        <v>382</v>
      </c>
      <c r="C31" s="14">
        <v>45536</v>
      </c>
      <c r="D31">
        <v>209.87</v>
      </c>
    </row>
    <row r="32" spans="1:4">
      <c r="A32" t="s">
        <v>83</v>
      </c>
      <c r="B32" t="s">
        <v>383</v>
      </c>
      <c r="C32" s="14">
        <v>45536</v>
      </c>
      <c r="D32">
        <v>306.1</v>
      </c>
    </row>
    <row r="33" spans="1:4">
      <c r="A33" t="s">
        <v>126</v>
      </c>
      <c r="B33" t="s">
        <v>384</v>
      </c>
      <c r="C33" s="14">
        <v>45536</v>
      </c>
      <c r="D33">
        <v>144.51</v>
      </c>
    </row>
    <row r="34" spans="1:4">
      <c r="A34" t="s">
        <v>125</v>
      </c>
      <c r="B34" t="s">
        <v>385</v>
      </c>
      <c r="C34" s="14">
        <v>45536</v>
      </c>
      <c r="D34">
        <v>175.63</v>
      </c>
    </row>
    <row r="35" spans="1:4">
      <c r="A35" t="s">
        <v>135</v>
      </c>
      <c r="B35" t="s">
        <v>386</v>
      </c>
      <c r="C35" s="14">
        <v>45536</v>
      </c>
      <c r="D35">
        <v>108.44</v>
      </c>
    </row>
    <row r="36" spans="1:4">
      <c r="A36" t="s">
        <v>127</v>
      </c>
      <c r="B36" t="s">
        <v>387</v>
      </c>
      <c r="C36" s="14">
        <v>45536</v>
      </c>
      <c r="D36">
        <v>113.84</v>
      </c>
    </row>
    <row r="37" spans="1:4">
      <c r="A37" t="s">
        <v>82</v>
      </c>
      <c r="B37" t="s">
        <v>388</v>
      </c>
      <c r="C37" s="14">
        <v>45536</v>
      </c>
      <c r="D37">
        <v>140.02</v>
      </c>
    </row>
    <row r="38" spans="1:4">
      <c r="A38" t="s">
        <v>81</v>
      </c>
      <c r="B38" t="s">
        <v>389</v>
      </c>
      <c r="C38" s="14">
        <v>45536</v>
      </c>
      <c r="D38">
        <v>154.1</v>
      </c>
    </row>
    <row r="39" spans="1:4">
      <c r="A39" t="s">
        <v>100</v>
      </c>
      <c r="B39" t="s">
        <v>390</v>
      </c>
      <c r="C39" s="14">
        <v>45536</v>
      </c>
      <c r="D39">
        <v>15.02</v>
      </c>
    </row>
    <row r="40" spans="1:4">
      <c r="A40" t="s">
        <v>99</v>
      </c>
      <c r="B40" t="s">
        <v>391</v>
      </c>
      <c r="C40" s="14">
        <v>45536</v>
      </c>
      <c r="D40">
        <v>19.13</v>
      </c>
    </row>
    <row r="41" spans="1:4">
      <c r="A41" t="s">
        <v>54</v>
      </c>
      <c r="B41" t="s">
        <v>392</v>
      </c>
      <c r="C41" s="14">
        <v>45543</v>
      </c>
      <c r="D41">
        <v>26.7</v>
      </c>
    </row>
    <row r="42" spans="1:4">
      <c r="A42" t="s">
        <v>55</v>
      </c>
      <c r="B42" t="s">
        <v>390</v>
      </c>
      <c r="C42" s="14">
        <v>45543</v>
      </c>
      <c r="D42">
        <v>18.28</v>
      </c>
    </row>
    <row r="43" spans="1:4">
      <c r="A43" t="s">
        <v>112</v>
      </c>
      <c r="B43" t="s">
        <v>391</v>
      </c>
      <c r="C43" s="14">
        <v>45543</v>
      </c>
      <c r="D43">
        <v>24.62</v>
      </c>
    </row>
    <row r="44" spans="1:4">
      <c r="A44" t="s">
        <v>71</v>
      </c>
      <c r="B44" t="s">
        <v>392</v>
      </c>
      <c r="C44" s="14">
        <v>45543</v>
      </c>
      <c r="D44">
        <v>30.56</v>
      </c>
    </row>
    <row r="45" spans="1:4">
      <c r="A45" t="s">
        <v>74</v>
      </c>
      <c r="B45" t="s">
        <v>393</v>
      </c>
      <c r="C45" s="14">
        <v>45536</v>
      </c>
      <c r="D45">
        <v>19.7</v>
      </c>
    </row>
    <row r="46" spans="1:4">
      <c r="A46" t="s">
        <v>120</v>
      </c>
      <c r="B46" t="s">
        <v>394</v>
      </c>
      <c r="C46" s="14">
        <v>45536</v>
      </c>
      <c r="D46">
        <v>18.62</v>
      </c>
    </row>
    <row r="47" spans="1:4">
      <c r="A47" t="s">
        <v>144</v>
      </c>
      <c r="B47" t="s">
        <v>395</v>
      </c>
      <c r="C47" s="14">
        <v>45536</v>
      </c>
      <c r="D47">
        <v>100.35</v>
      </c>
    </row>
    <row r="48" spans="1:4">
      <c r="A48" t="s">
        <v>46</v>
      </c>
      <c r="B48" t="s">
        <v>396</v>
      </c>
      <c r="C48" s="14">
        <v>45536</v>
      </c>
      <c r="D48">
        <v>54.34</v>
      </c>
    </row>
    <row r="49" spans="1:4">
      <c r="A49" t="s">
        <v>45</v>
      </c>
      <c r="B49" t="s">
        <v>397</v>
      </c>
      <c r="C49" s="14">
        <v>45536</v>
      </c>
      <c r="D49">
        <v>61.65</v>
      </c>
    </row>
    <row r="50" spans="1:4">
      <c r="A50" t="s">
        <v>90</v>
      </c>
      <c r="B50" t="s">
        <v>398</v>
      </c>
      <c r="C50" s="14">
        <v>45536</v>
      </c>
      <c r="D50">
        <v>70.02</v>
      </c>
    </row>
    <row r="51" spans="1:4">
      <c r="A51" t="s">
        <v>76</v>
      </c>
      <c r="B51" t="s">
        <v>399</v>
      </c>
      <c r="C51" s="14">
        <v>45536</v>
      </c>
      <c r="D51">
        <v>61.2</v>
      </c>
    </row>
    <row r="52" spans="1:4">
      <c r="A52" t="s">
        <v>79</v>
      </c>
      <c r="B52" t="s">
        <v>400</v>
      </c>
      <c r="C52" s="14">
        <v>45536</v>
      </c>
      <c r="D52">
        <v>67.96</v>
      </c>
    </row>
    <row r="53" spans="1:4">
      <c r="A53" t="s">
        <v>85</v>
      </c>
      <c r="B53" t="s">
        <v>401</v>
      </c>
      <c r="C53" s="14">
        <v>45536</v>
      </c>
      <c r="D53">
        <v>123.59</v>
      </c>
    </row>
    <row r="54" spans="1:4">
      <c r="A54" t="s">
        <v>142</v>
      </c>
      <c r="B54" t="s">
        <v>402</v>
      </c>
      <c r="C54" s="14">
        <v>45536</v>
      </c>
      <c r="D54">
        <v>71.35</v>
      </c>
    </row>
    <row r="55" spans="1:4">
      <c r="A55" t="s">
        <v>145</v>
      </c>
      <c r="B55" t="s">
        <v>403</v>
      </c>
      <c r="C55" s="14">
        <v>45536</v>
      </c>
      <c r="D55">
        <v>135.46</v>
      </c>
    </row>
    <row r="56" spans="1:4">
      <c r="A56" t="s">
        <v>86</v>
      </c>
      <c r="B56" t="s">
        <v>404</v>
      </c>
      <c r="C56" s="14">
        <v>45536</v>
      </c>
      <c r="D56">
        <v>70.38</v>
      </c>
    </row>
    <row r="57" spans="1:4">
      <c r="A57" t="s">
        <v>87</v>
      </c>
      <c r="B57" t="s">
        <v>405</v>
      </c>
      <c r="C57" s="14">
        <v>45536</v>
      </c>
      <c r="D57">
        <v>89.25</v>
      </c>
    </row>
    <row r="58" spans="1:4">
      <c r="A58" t="s">
        <v>150</v>
      </c>
      <c r="B58" t="s">
        <v>406</v>
      </c>
      <c r="C58" s="14">
        <v>45536</v>
      </c>
      <c r="D58">
        <v>60.43</v>
      </c>
    </row>
    <row r="59" spans="1:4">
      <c r="A59" t="s">
        <v>176</v>
      </c>
      <c r="B59" t="s">
        <v>407</v>
      </c>
      <c r="C59" s="14">
        <v>45536</v>
      </c>
      <c r="D59">
        <v>70.72</v>
      </c>
    </row>
    <row r="60" spans="1:4">
      <c r="A60" t="s">
        <v>141</v>
      </c>
      <c r="B60" t="s">
        <v>408</v>
      </c>
      <c r="C60" s="14">
        <v>45536</v>
      </c>
      <c r="D60">
        <v>77.67</v>
      </c>
    </row>
    <row r="61" spans="1:4">
      <c r="A61" t="s">
        <v>137</v>
      </c>
      <c r="B61" t="s">
        <v>409</v>
      </c>
      <c r="C61" s="14">
        <v>45536</v>
      </c>
      <c r="D61">
        <v>73.55</v>
      </c>
    </row>
    <row r="62" spans="1:4">
      <c r="A62" t="s">
        <v>178</v>
      </c>
      <c r="B62" t="s">
        <v>410</v>
      </c>
      <c r="C62" s="14">
        <v>45536</v>
      </c>
      <c r="D62">
        <v>82.33</v>
      </c>
    </row>
    <row r="63" spans="1:4">
      <c r="A63" t="s">
        <v>143</v>
      </c>
      <c r="B63" t="s">
        <v>411</v>
      </c>
      <c r="C63" s="14">
        <v>45536</v>
      </c>
      <c r="D63">
        <v>84.45</v>
      </c>
    </row>
    <row r="64" spans="1:4">
      <c r="A64" t="s">
        <v>177</v>
      </c>
      <c r="B64" t="s">
        <v>412</v>
      </c>
      <c r="C64" s="14">
        <v>45536</v>
      </c>
      <c r="D64">
        <v>29.39</v>
      </c>
    </row>
    <row r="65" spans="1:4">
      <c r="A65" t="s">
        <v>183</v>
      </c>
      <c r="B65" t="s">
        <v>413</v>
      </c>
      <c r="C65" s="14">
        <v>45536</v>
      </c>
      <c r="D65">
        <v>31.49</v>
      </c>
    </row>
    <row r="66" spans="1:4">
      <c r="A66" t="s">
        <v>105</v>
      </c>
      <c r="B66" t="s">
        <v>414</v>
      </c>
      <c r="C66" s="14">
        <v>45536</v>
      </c>
      <c r="D66">
        <v>14.69</v>
      </c>
    </row>
    <row r="67" spans="1:4">
      <c r="A67" t="s">
        <v>108</v>
      </c>
      <c r="B67" t="s">
        <v>414</v>
      </c>
      <c r="C67" s="14">
        <v>45536</v>
      </c>
      <c r="D67">
        <v>22.21</v>
      </c>
    </row>
    <row r="68" spans="1:4">
      <c r="A68" t="s">
        <v>67</v>
      </c>
      <c r="B68" t="s">
        <v>415</v>
      </c>
      <c r="C68" s="14">
        <v>45543</v>
      </c>
      <c r="D68">
        <v>30.85</v>
      </c>
    </row>
    <row r="69" spans="1:4">
      <c r="A69" t="s">
        <v>61</v>
      </c>
      <c r="B69" t="s">
        <v>416</v>
      </c>
      <c r="C69" s="14">
        <v>45543</v>
      </c>
      <c r="D69">
        <v>33.91</v>
      </c>
    </row>
    <row r="70" spans="1:4">
      <c r="A70" t="s">
        <v>133</v>
      </c>
      <c r="B70" t="s">
        <v>417</v>
      </c>
      <c r="C70" s="14">
        <v>45536</v>
      </c>
      <c r="D70">
        <v>42.64</v>
      </c>
    </row>
    <row r="71" spans="1:4">
      <c r="A71" t="s">
        <v>93</v>
      </c>
      <c r="B71" t="s">
        <v>418</v>
      </c>
      <c r="C71" s="14">
        <v>45543</v>
      </c>
      <c r="D71">
        <v>32.63</v>
      </c>
    </row>
    <row r="72" spans="1:4">
      <c r="A72" t="s">
        <v>47</v>
      </c>
      <c r="B72" t="s">
        <v>419</v>
      </c>
      <c r="C72" s="14">
        <v>45536</v>
      </c>
      <c r="D72">
        <v>32.24</v>
      </c>
    </row>
    <row r="73" spans="1:4">
      <c r="A73" t="s">
        <v>97</v>
      </c>
      <c r="B73" t="s">
        <v>420</v>
      </c>
      <c r="C73" s="14">
        <v>45543</v>
      </c>
      <c r="D73">
        <v>34.77</v>
      </c>
    </row>
    <row r="74" spans="1:4">
      <c r="A74" t="s">
        <v>91</v>
      </c>
      <c r="B74" t="s">
        <v>421</v>
      </c>
      <c r="C74" s="14">
        <v>45536</v>
      </c>
      <c r="D74">
        <v>34.19</v>
      </c>
    </row>
    <row r="75" spans="1:4">
      <c r="A75" t="s">
        <v>53</v>
      </c>
      <c r="B75" t="s">
        <v>422</v>
      </c>
      <c r="C75" s="14">
        <v>45536</v>
      </c>
      <c r="D75">
        <v>19.49</v>
      </c>
    </row>
    <row r="76" spans="1:4">
      <c r="A76" t="s">
        <v>95</v>
      </c>
      <c r="B76" t="s">
        <v>423</v>
      </c>
      <c r="C76" s="14">
        <v>45543</v>
      </c>
      <c r="D76">
        <v>42.43</v>
      </c>
    </row>
    <row r="77" spans="1:4">
      <c r="A77" t="s">
        <v>51</v>
      </c>
      <c r="B77" t="s">
        <v>424</v>
      </c>
      <c r="C77" s="14">
        <v>45536</v>
      </c>
      <c r="D77">
        <v>43.89</v>
      </c>
    </row>
    <row r="78" spans="1:4">
      <c r="A78" t="s">
        <v>153</v>
      </c>
      <c r="B78" t="s">
        <v>425</v>
      </c>
      <c r="C78" s="14">
        <v>45536</v>
      </c>
      <c r="D78">
        <v>39.65</v>
      </c>
    </row>
    <row r="79" spans="1:4">
      <c r="A79" t="s">
        <v>152</v>
      </c>
      <c r="B79" t="s">
        <v>426</v>
      </c>
      <c r="C79" s="14">
        <v>45536</v>
      </c>
      <c r="D79">
        <v>42.58</v>
      </c>
    </row>
    <row r="80" spans="1:4">
      <c r="A80" t="s">
        <v>217</v>
      </c>
      <c r="B80" t="s">
        <v>427</v>
      </c>
      <c r="C80" s="14">
        <v>45536</v>
      </c>
      <c r="D80">
        <v>45.47</v>
      </c>
    </row>
    <row r="81" spans="1:4">
      <c r="A81" t="s">
        <v>134</v>
      </c>
      <c r="B81" t="s">
        <v>428</v>
      </c>
      <c r="C81" s="14">
        <v>45536</v>
      </c>
      <c r="D81">
        <v>68.48</v>
      </c>
    </row>
    <row r="82" spans="1:4">
      <c r="A82" t="s">
        <v>151</v>
      </c>
      <c r="B82" t="s">
        <v>429</v>
      </c>
      <c r="C82" s="14">
        <v>45536</v>
      </c>
      <c r="D82">
        <v>69.69</v>
      </c>
    </row>
    <row r="83" spans="1:4">
      <c r="A83" t="s">
        <v>140</v>
      </c>
      <c r="B83" t="s">
        <v>430</v>
      </c>
      <c r="C83" s="14">
        <v>45536</v>
      </c>
      <c r="D83">
        <v>75.96</v>
      </c>
    </row>
    <row r="84" spans="1:4">
      <c r="A84" t="s">
        <v>139</v>
      </c>
      <c r="B84" t="s">
        <v>431</v>
      </c>
      <c r="C84" s="14">
        <v>45536</v>
      </c>
      <c r="D84">
        <v>84.45</v>
      </c>
    </row>
    <row r="85" spans="1:4">
      <c r="A85" t="s">
        <v>77</v>
      </c>
      <c r="B85" t="s">
        <v>432</v>
      </c>
      <c r="C85" s="14">
        <v>45536</v>
      </c>
      <c r="D85">
        <v>37.65</v>
      </c>
    </row>
    <row r="86" spans="1:4">
      <c r="A86" t="s">
        <v>68</v>
      </c>
      <c r="B86" t="s">
        <v>433</v>
      </c>
      <c r="C86" s="14">
        <v>45543</v>
      </c>
      <c r="D86">
        <v>26.05</v>
      </c>
    </row>
    <row r="87" spans="1:4">
      <c r="A87" t="s">
        <v>98</v>
      </c>
      <c r="B87" t="s">
        <v>434</v>
      </c>
      <c r="C87" s="14">
        <v>45536</v>
      </c>
      <c r="D87">
        <v>16.24</v>
      </c>
    </row>
    <row r="88" spans="1:4">
      <c r="A88" t="s">
        <v>56</v>
      </c>
      <c r="B88" t="s">
        <v>435</v>
      </c>
      <c r="C88" s="14">
        <v>45543</v>
      </c>
      <c r="D88">
        <v>27.6</v>
      </c>
    </row>
    <row r="89" spans="1:4">
      <c r="A89" t="s">
        <v>111</v>
      </c>
      <c r="B89" t="s">
        <v>436</v>
      </c>
      <c r="C89" s="14">
        <v>45543</v>
      </c>
      <c r="D89">
        <v>32.5</v>
      </c>
    </row>
    <row r="90" spans="1:4">
      <c r="A90" t="s">
        <v>437</v>
      </c>
      <c r="B90" t="s">
        <v>438</v>
      </c>
      <c r="C90" s="14">
        <v>45536</v>
      </c>
      <c r="D90">
        <v>35.43</v>
      </c>
    </row>
    <row r="91" spans="1:4">
      <c r="A91" t="s">
        <v>439</v>
      </c>
      <c r="B91" t="s">
        <v>440</v>
      </c>
      <c r="C91" s="14">
        <v>45536</v>
      </c>
      <c r="D91">
        <v>36.74</v>
      </c>
    </row>
    <row r="92" spans="1:4">
      <c r="A92" t="s">
        <v>441</v>
      </c>
      <c r="B92" t="s">
        <v>442</v>
      </c>
      <c r="C92" s="14">
        <v>45536</v>
      </c>
      <c r="D92">
        <v>42.65</v>
      </c>
    </row>
    <row r="93" spans="1:4">
      <c r="A93" t="s">
        <v>443</v>
      </c>
      <c r="B93" t="s">
        <v>444</v>
      </c>
      <c r="C93" s="14">
        <v>45566</v>
      </c>
      <c r="D93">
        <v>23.35</v>
      </c>
    </row>
    <row r="94" spans="1:4">
      <c r="A94" t="s">
        <v>59</v>
      </c>
      <c r="B94" t="s">
        <v>445</v>
      </c>
      <c r="C94" s="14">
        <v>45543</v>
      </c>
      <c r="D94">
        <v>77.75</v>
      </c>
    </row>
    <row r="95" spans="1:4">
      <c r="A95" t="s">
        <v>446</v>
      </c>
      <c r="B95" t="s">
        <v>447</v>
      </c>
      <c r="C95" s="14">
        <v>45566</v>
      </c>
      <c r="D95">
        <v>16.39</v>
      </c>
    </row>
    <row r="96" spans="1:4">
      <c r="A96" t="s">
        <v>448</v>
      </c>
      <c r="B96" t="s">
        <v>449</v>
      </c>
      <c r="C96" s="14">
        <v>45566</v>
      </c>
      <c r="D96">
        <v>22.3</v>
      </c>
    </row>
    <row r="97" spans="1:4">
      <c r="A97" t="s">
        <v>122</v>
      </c>
      <c r="B97" t="s">
        <v>450</v>
      </c>
      <c r="C97" s="14">
        <v>45536</v>
      </c>
      <c r="D97">
        <v>34.62</v>
      </c>
    </row>
    <row r="98" spans="1:4">
      <c r="A98" t="s">
        <v>123</v>
      </c>
      <c r="B98" t="s">
        <v>451</v>
      </c>
      <c r="C98" s="14">
        <v>45536</v>
      </c>
      <c r="D98">
        <v>39.7</v>
      </c>
    </row>
    <row r="99" spans="1:4">
      <c r="A99" t="s">
        <v>89</v>
      </c>
      <c r="B99" t="s">
        <v>452</v>
      </c>
      <c r="C99" s="14">
        <v>45543</v>
      </c>
      <c r="D99">
        <v>23.88</v>
      </c>
    </row>
    <row r="100" spans="1:4">
      <c r="A100" t="s">
        <v>52</v>
      </c>
      <c r="B100" t="s">
        <v>453</v>
      </c>
      <c r="C100" s="14">
        <v>45543</v>
      </c>
      <c r="D100">
        <v>27.05</v>
      </c>
    </row>
    <row r="101" spans="1:4">
      <c r="A101" t="s">
        <v>96</v>
      </c>
      <c r="B101" t="s">
        <v>454</v>
      </c>
      <c r="C101" s="14">
        <v>45536</v>
      </c>
      <c r="D101">
        <v>32.99</v>
      </c>
    </row>
    <row r="102" spans="1:4">
      <c r="A102" t="s">
        <v>455</v>
      </c>
      <c r="B102" t="s">
        <v>456</v>
      </c>
      <c r="C102" s="14">
        <v>45536</v>
      </c>
      <c r="D102">
        <v>15.69</v>
      </c>
    </row>
    <row r="103" spans="1:4">
      <c r="A103" t="s">
        <v>63</v>
      </c>
      <c r="B103" t="s">
        <v>457</v>
      </c>
      <c r="C103" s="14">
        <v>45536</v>
      </c>
      <c r="D103">
        <v>76.87</v>
      </c>
    </row>
    <row r="104" spans="1:4">
      <c r="A104" t="s">
        <v>50</v>
      </c>
      <c r="B104" t="s">
        <v>458</v>
      </c>
      <c r="C104" s="14">
        <v>45536</v>
      </c>
      <c r="D104">
        <v>60.32</v>
      </c>
    </row>
    <row r="105" spans="1:4">
      <c r="A105" t="s">
        <v>130</v>
      </c>
      <c r="B105" t="s">
        <v>459</v>
      </c>
      <c r="C105" s="14">
        <v>45536</v>
      </c>
      <c r="D105">
        <v>61.52</v>
      </c>
    </row>
    <row r="106" spans="1:4">
      <c r="A106" t="s">
        <v>132</v>
      </c>
      <c r="B106" t="s">
        <v>460</v>
      </c>
      <c r="C106" s="14">
        <v>45536</v>
      </c>
      <c r="D106">
        <v>63.91</v>
      </c>
    </row>
    <row r="107" spans="1:4">
      <c r="A107" t="s">
        <v>49</v>
      </c>
      <c r="B107" t="s">
        <v>461</v>
      </c>
      <c r="C107" s="14">
        <v>45536</v>
      </c>
      <c r="D107">
        <v>97.02</v>
      </c>
    </row>
    <row r="108" spans="1:4">
      <c r="A108" t="s">
        <v>462</v>
      </c>
      <c r="B108" t="s">
        <v>463</v>
      </c>
      <c r="C108" s="14">
        <v>45536</v>
      </c>
      <c r="D108">
        <v>29.06</v>
      </c>
    </row>
    <row r="109" spans="1:4">
      <c r="A109" t="s">
        <v>464</v>
      </c>
      <c r="B109" t="s">
        <v>465</v>
      </c>
      <c r="C109" s="14">
        <v>45536</v>
      </c>
      <c r="D109">
        <v>30.16</v>
      </c>
    </row>
    <row r="110" spans="1:4">
      <c r="A110" t="s">
        <v>466</v>
      </c>
      <c r="B110" t="s">
        <v>467</v>
      </c>
      <c r="C110" s="14">
        <v>45536</v>
      </c>
      <c r="D110">
        <v>26.81</v>
      </c>
    </row>
    <row r="111" spans="1:4">
      <c r="A111" t="s">
        <v>468</v>
      </c>
      <c r="B111" t="s">
        <v>469</v>
      </c>
      <c r="C111" s="14">
        <v>45536</v>
      </c>
      <c r="D111">
        <v>15</v>
      </c>
    </row>
    <row r="112" spans="1:4">
      <c r="A112" t="s">
        <v>470</v>
      </c>
      <c r="B112" t="s">
        <v>471</v>
      </c>
      <c r="C112" s="14">
        <v>45536</v>
      </c>
      <c r="D112">
        <v>6.63</v>
      </c>
    </row>
    <row r="113" spans="1:4">
      <c r="A113" t="s">
        <v>472</v>
      </c>
      <c r="B113" t="s">
        <v>473</v>
      </c>
      <c r="C113" s="14">
        <v>45536</v>
      </c>
      <c r="D113">
        <v>36.39</v>
      </c>
    </row>
    <row r="114" spans="1:4">
      <c r="A114" t="s">
        <v>474</v>
      </c>
      <c r="B114" t="s">
        <v>475</v>
      </c>
      <c r="C114" s="14">
        <v>45536</v>
      </c>
      <c r="D114">
        <v>211.28</v>
      </c>
    </row>
    <row r="115" spans="1:4">
      <c r="A115" t="s">
        <v>476</v>
      </c>
      <c r="B115" t="s">
        <v>477</v>
      </c>
      <c r="C115" s="14">
        <v>45536</v>
      </c>
      <c r="D115">
        <v>1.3</v>
      </c>
    </row>
    <row r="116" spans="1:4">
      <c r="A116" t="s">
        <v>478</v>
      </c>
      <c r="B116" t="s">
        <v>479</v>
      </c>
      <c r="C116" s="14">
        <v>45536</v>
      </c>
      <c r="D116">
        <v>4.66</v>
      </c>
    </row>
    <row r="117" spans="1:4">
      <c r="A117" t="s">
        <v>480</v>
      </c>
      <c r="B117" t="s">
        <v>481</v>
      </c>
      <c r="C117" s="14">
        <v>45536</v>
      </c>
      <c r="D117">
        <v>5.5</v>
      </c>
    </row>
    <row r="118" spans="1:4">
      <c r="A118" t="s">
        <v>482</v>
      </c>
      <c r="B118" t="s">
        <v>483</v>
      </c>
      <c r="C118" s="14">
        <v>45536</v>
      </c>
      <c r="D118">
        <v>7.84</v>
      </c>
    </row>
    <row r="119" spans="1:4">
      <c r="A119" t="s">
        <v>484</v>
      </c>
      <c r="B119" t="s">
        <v>485</v>
      </c>
      <c r="C119" s="14">
        <v>45536</v>
      </c>
      <c r="D119">
        <v>5.09</v>
      </c>
    </row>
    <row r="120" spans="1:4">
      <c r="A120" t="s">
        <v>486</v>
      </c>
      <c r="B120" t="s">
        <v>487</v>
      </c>
      <c r="C120" s="14">
        <v>45536</v>
      </c>
      <c r="D120">
        <v>6.03</v>
      </c>
    </row>
    <row r="121" spans="1:4">
      <c r="A121" t="s">
        <v>488</v>
      </c>
      <c r="B121" t="s">
        <v>489</v>
      </c>
      <c r="C121" s="14">
        <v>45536</v>
      </c>
      <c r="D121">
        <v>35.4</v>
      </c>
    </row>
    <row r="122" spans="1:4">
      <c r="A122" t="s">
        <v>490</v>
      </c>
      <c r="B122" t="s">
        <v>491</v>
      </c>
      <c r="C122" s="14">
        <v>45536</v>
      </c>
      <c r="D122">
        <v>13.36</v>
      </c>
    </row>
    <row r="123" spans="1:4">
      <c r="A123" t="s">
        <v>492</v>
      </c>
      <c r="B123" t="s">
        <v>493</v>
      </c>
      <c r="C123" s="14">
        <v>45536</v>
      </c>
      <c r="D123">
        <v>24.66</v>
      </c>
    </row>
    <row r="124" spans="1:4">
      <c r="A124" t="s">
        <v>494</v>
      </c>
      <c r="B124" t="s">
        <v>495</v>
      </c>
      <c r="C124" s="14">
        <v>45536</v>
      </c>
      <c r="D124">
        <v>28.28</v>
      </c>
    </row>
    <row r="125" spans="1:4">
      <c r="A125" t="s">
        <v>496</v>
      </c>
      <c r="B125" t="s">
        <v>497</v>
      </c>
      <c r="C125" s="14">
        <v>45536</v>
      </c>
      <c r="D125">
        <v>40.95</v>
      </c>
    </row>
    <row r="126" spans="1:4">
      <c r="A126" t="s">
        <v>498</v>
      </c>
      <c r="B126" t="s">
        <v>499</v>
      </c>
      <c r="C126" s="14">
        <v>45536</v>
      </c>
      <c r="D126">
        <v>17.48</v>
      </c>
    </row>
    <row r="127" spans="1:4">
      <c r="A127" t="s">
        <v>500</v>
      </c>
      <c r="B127" t="s">
        <v>501</v>
      </c>
      <c r="C127" s="14">
        <v>45536</v>
      </c>
      <c r="D127">
        <v>17.3</v>
      </c>
    </row>
    <row r="128" spans="1:4">
      <c r="A128" t="s">
        <v>502</v>
      </c>
      <c r="B128" t="s">
        <v>503</v>
      </c>
      <c r="C128" s="14">
        <v>45536</v>
      </c>
      <c r="D128">
        <v>21.34</v>
      </c>
    </row>
    <row r="129" spans="1:4">
      <c r="A129" t="s">
        <v>504</v>
      </c>
      <c r="B129" t="s">
        <v>505</v>
      </c>
      <c r="C129" s="14">
        <v>45536</v>
      </c>
      <c r="D129">
        <v>32.53</v>
      </c>
    </row>
    <row r="130" spans="1:4">
      <c r="A130" t="s">
        <v>506</v>
      </c>
      <c r="B130" t="s">
        <v>507</v>
      </c>
      <c r="C130" s="14">
        <v>45536</v>
      </c>
      <c r="D130">
        <v>14.96</v>
      </c>
    </row>
    <row r="131" spans="1:4">
      <c r="A131" t="s">
        <v>508</v>
      </c>
      <c r="B131" t="s">
        <v>509</v>
      </c>
      <c r="C131" s="14">
        <v>45536</v>
      </c>
      <c r="D131">
        <v>20.88</v>
      </c>
    </row>
    <row r="132" spans="1:4">
      <c r="A132" t="s">
        <v>510</v>
      </c>
      <c r="B132" t="s">
        <v>511</v>
      </c>
      <c r="C132" s="14">
        <v>45536</v>
      </c>
      <c r="D132">
        <v>42.23</v>
      </c>
    </row>
    <row r="133" spans="1:4">
      <c r="A133" t="s">
        <v>512</v>
      </c>
      <c r="B133" t="s">
        <v>513</v>
      </c>
      <c r="C133" s="14">
        <v>45536</v>
      </c>
      <c r="D133">
        <v>24.78</v>
      </c>
    </row>
    <row r="134" spans="1:4">
      <c r="A134" t="s">
        <v>514</v>
      </c>
      <c r="B134" t="s">
        <v>515</v>
      </c>
      <c r="C134" s="14">
        <v>45536</v>
      </c>
      <c r="D134">
        <v>77.48</v>
      </c>
    </row>
    <row r="135" spans="1:4">
      <c r="A135" t="s">
        <v>516</v>
      </c>
      <c r="B135" t="s">
        <v>517</v>
      </c>
      <c r="C135" s="14">
        <v>45536</v>
      </c>
      <c r="D135">
        <v>77.48</v>
      </c>
    </row>
    <row r="136" spans="1:4">
      <c r="A136" t="s">
        <v>225</v>
      </c>
      <c r="B136" t="s">
        <v>518</v>
      </c>
      <c r="C136" s="14">
        <v>45536</v>
      </c>
      <c r="D136">
        <v>21.99</v>
      </c>
    </row>
    <row r="137" spans="1:4">
      <c r="A137" t="s">
        <v>253</v>
      </c>
      <c r="B137" t="s">
        <v>519</v>
      </c>
      <c r="C137" s="14">
        <v>45536</v>
      </c>
      <c r="D137">
        <v>31.34</v>
      </c>
    </row>
    <row r="138" spans="1:4">
      <c r="A138" t="s">
        <v>260</v>
      </c>
      <c r="B138" t="s">
        <v>520</v>
      </c>
      <c r="C138" s="14">
        <v>45536</v>
      </c>
      <c r="D138">
        <v>42.89</v>
      </c>
    </row>
    <row r="139" spans="1:4">
      <c r="A139" t="s">
        <v>521</v>
      </c>
      <c r="B139" t="s">
        <v>522</v>
      </c>
      <c r="C139" s="14">
        <v>45536</v>
      </c>
      <c r="D139">
        <v>7.49</v>
      </c>
    </row>
    <row r="140" spans="1:4">
      <c r="A140" t="s">
        <v>149</v>
      </c>
      <c r="B140" t="s">
        <v>523</v>
      </c>
      <c r="C140" s="14">
        <v>45536</v>
      </c>
      <c r="D140">
        <v>67.58</v>
      </c>
    </row>
    <row r="141" spans="1:4">
      <c r="A141" t="s">
        <v>212</v>
      </c>
      <c r="B141" t="s">
        <v>524</v>
      </c>
      <c r="C141" s="14">
        <v>45536</v>
      </c>
      <c r="D141">
        <v>103.29</v>
      </c>
    </row>
    <row r="142" spans="1:4">
      <c r="A142" t="s">
        <v>251</v>
      </c>
      <c r="B142" t="s">
        <v>525</v>
      </c>
      <c r="C142" s="14">
        <v>45536</v>
      </c>
      <c r="D142">
        <v>10.99</v>
      </c>
    </row>
    <row r="143" spans="1:4">
      <c r="A143" t="s">
        <v>526</v>
      </c>
      <c r="B143" t="s">
        <v>527</v>
      </c>
      <c r="C143" s="14">
        <v>45536</v>
      </c>
      <c r="D143">
        <v>1.94</v>
      </c>
    </row>
    <row r="144" spans="1:4">
      <c r="A144" t="s">
        <v>528</v>
      </c>
      <c r="B144" t="s">
        <v>529</v>
      </c>
      <c r="C144" s="14">
        <v>45536</v>
      </c>
      <c r="D144">
        <v>4.29</v>
      </c>
    </row>
    <row r="145" spans="1:4">
      <c r="A145" t="s">
        <v>252</v>
      </c>
      <c r="B145" t="s">
        <v>530</v>
      </c>
      <c r="C145" s="14">
        <v>45536</v>
      </c>
      <c r="D145">
        <v>10.99</v>
      </c>
    </row>
    <row r="146" spans="1:4">
      <c r="A146" t="s">
        <v>219</v>
      </c>
      <c r="B146" t="s">
        <v>531</v>
      </c>
      <c r="C146" s="14">
        <v>45536</v>
      </c>
      <c r="D146">
        <v>11.99</v>
      </c>
    </row>
    <row r="147" spans="1:4">
      <c r="A147" t="s">
        <v>249</v>
      </c>
      <c r="B147" t="s">
        <v>532</v>
      </c>
      <c r="C147" s="14">
        <v>45536</v>
      </c>
      <c r="D147">
        <v>12.49</v>
      </c>
    </row>
    <row r="148" spans="1:4">
      <c r="A148" t="s">
        <v>246</v>
      </c>
      <c r="B148" t="s">
        <v>533</v>
      </c>
      <c r="C148" s="14">
        <v>45536</v>
      </c>
      <c r="D148">
        <v>11.29</v>
      </c>
    </row>
    <row r="149" spans="1:4">
      <c r="A149" t="s">
        <v>534</v>
      </c>
      <c r="B149" t="s">
        <v>535</v>
      </c>
      <c r="C149" s="14">
        <v>45536</v>
      </c>
      <c r="D149">
        <v>7</v>
      </c>
    </row>
    <row r="150" spans="1:4">
      <c r="A150" t="s">
        <v>194</v>
      </c>
      <c r="B150" t="s">
        <v>536</v>
      </c>
      <c r="C150" s="14">
        <v>45536</v>
      </c>
      <c r="D150">
        <v>17.99</v>
      </c>
    </row>
    <row r="151" spans="1:4">
      <c r="A151" t="s">
        <v>537</v>
      </c>
      <c r="B151" t="s">
        <v>538</v>
      </c>
      <c r="C151" s="14">
        <v>45536</v>
      </c>
      <c r="D151">
        <v>5.5</v>
      </c>
    </row>
    <row r="152" spans="1:4">
      <c r="A152" t="s">
        <v>539</v>
      </c>
      <c r="B152" t="s">
        <v>540</v>
      </c>
      <c r="C152" s="14">
        <v>45536</v>
      </c>
      <c r="D152">
        <v>3.75</v>
      </c>
    </row>
    <row r="153" spans="1:4">
      <c r="A153" t="s">
        <v>541</v>
      </c>
      <c r="B153" t="s">
        <v>542</v>
      </c>
      <c r="C153" s="14">
        <v>45536</v>
      </c>
      <c r="D153">
        <v>3.75</v>
      </c>
    </row>
    <row r="154" spans="1:4">
      <c r="A154" t="s">
        <v>543</v>
      </c>
      <c r="B154" t="s">
        <v>544</v>
      </c>
      <c r="C154" s="14">
        <v>45536</v>
      </c>
      <c r="D154">
        <v>6.5</v>
      </c>
    </row>
    <row r="155" spans="1:4">
      <c r="A155" t="s">
        <v>545</v>
      </c>
      <c r="B155" t="s">
        <v>546</v>
      </c>
      <c r="C155" s="14">
        <v>45536</v>
      </c>
      <c r="D155">
        <v>9.5</v>
      </c>
    </row>
    <row r="156" spans="1:4">
      <c r="A156" t="s">
        <v>547</v>
      </c>
      <c r="B156" t="s">
        <v>548</v>
      </c>
      <c r="C156" s="14">
        <v>45536</v>
      </c>
      <c r="D156">
        <v>10.5</v>
      </c>
    </row>
    <row r="157" spans="1:4">
      <c r="A157" t="s">
        <v>549</v>
      </c>
      <c r="B157" t="s">
        <v>550</v>
      </c>
      <c r="C157" s="14">
        <v>45536</v>
      </c>
      <c r="D157">
        <v>7</v>
      </c>
    </row>
    <row r="158" spans="1:4">
      <c r="A158" t="s">
        <v>551</v>
      </c>
      <c r="B158" t="s">
        <v>552</v>
      </c>
      <c r="C158" s="14">
        <v>45536</v>
      </c>
      <c r="D158">
        <v>8</v>
      </c>
    </row>
    <row r="159" spans="1:4">
      <c r="A159" t="s">
        <v>553</v>
      </c>
      <c r="B159" t="s">
        <v>554</v>
      </c>
      <c r="C159" s="14">
        <v>45536</v>
      </c>
      <c r="D159">
        <v>6.5</v>
      </c>
    </row>
    <row r="160" spans="1:4">
      <c r="A160" t="s">
        <v>555</v>
      </c>
      <c r="B160" t="s">
        <v>556</v>
      </c>
      <c r="C160" s="14">
        <v>45536</v>
      </c>
      <c r="D160">
        <v>3.25</v>
      </c>
    </row>
    <row r="161" spans="1:4">
      <c r="A161" t="s">
        <v>557</v>
      </c>
      <c r="B161" t="s">
        <v>558</v>
      </c>
      <c r="C161" s="14">
        <v>45536</v>
      </c>
      <c r="D161">
        <v>3.25</v>
      </c>
    </row>
    <row r="162" spans="1:4">
      <c r="A162" t="s">
        <v>559</v>
      </c>
      <c r="B162" t="s">
        <v>560</v>
      </c>
      <c r="C162" s="14">
        <v>45536</v>
      </c>
      <c r="D162">
        <v>7</v>
      </c>
    </row>
    <row r="163" spans="1:4">
      <c r="A163" t="s">
        <v>561</v>
      </c>
      <c r="B163" t="s">
        <v>562</v>
      </c>
      <c r="C163" s="14">
        <v>45536</v>
      </c>
      <c r="D163">
        <v>5.6</v>
      </c>
    </row>
    <row r="164" spans="1:4">
      <c r="A164" t="s">
        <v>563</v>
      </c>
      <c r="B164" t="s">
        <v>564</v>
      </c>
      <c r="C164" s="14">
        <v>45536</v>
      </c>
      <c r="D164">
        <v>10.24</v>
      </c>
    </row>
    <row r="165" spans="1:4">
      <c r="A165" t="s">
        <v>565</v>
      </c>
      <c r="B165" t="s">
        <v>566</v>
      </c>
      <c r="C165" s="14">
        <v>45536</v>
      </c>
      <c r="D165">
        <v>10.58</v>
      </c>
    </row>
    <row r="166" spans="1:4">
      <c r="A166" t="s">
        <v>567</v>
      </c>
      <c r="B166" t="s">
        <v>568</v>
      </c>
      <c r="C166" s="14">
        <v>45536</v>
      </c>
      <c r="D166">
        <v>10.58</v>
      </c>
    </row>
    <row r="167" spans="1:4">
      <c r="A167" t="s">
        <v>264</v>
      </c>
      <c r="B167" t="s">
        <v>569</v>
      </c>
      <c r="C167" s="14">
        <v>45536</v>
      </c>
      <c r="D167">
        <v>35.98</v>
      </c>
    </row>
    <row r="168" spans="1:4">
      <c r="A168" t="s">
        <v>255</v>
      </c>
      <c r="B168" t="s">
        <v>570</v>
      </c>
      <c r="C168" s="14">
        <v>45536</v>
      </c>
      <c r="D168">
        <v>50.99</v>
      </c>
    </row>
    <row r="169" spans="1:4">
      <c r="A169" t="s">
        <v>201</v>
      </c>
      <c r="B169" t="s">
        <v>571</v>
      </c>
      <c r="C169" s="14">
        <v>45536</v>
      </c>
      <c r="D169">
        <v>56.95</v>
      </c>
    </row>
    <row r="170" spans="1:4">
      <c r="A170" t="s">
        <v>203</v>
      </c>
      <c r="B170" t="s">
        <v>572</v>
      </c>
      <c r="C170" s="14">
        <v>45536</v>
      </c>
      <c r="D170">
        <v>59.95</v>
      </c>
    </row>
    <row r="171" spans="1:4">
      <c r="A171" t="s">
        <v>208</v>
      </c>
      <c r="B171" t="s">
        <v>573</v>
      </c>
      <c r="C171" s="14">
        <v>45536</v>
      </c>
      <c r="D171">
        <v>72.02</v>
      </c>
    </row>
    <row r="172" spans="1:4">
      <c r="A172" t="s">
        <v>204</v>
      </c>
      <c r="B172" t="s">
        <v>574</v>
      </c>
      <c r="C172" s="14">
        <v>45543</v>
      </c>
      <c r="D172">
        <v>5.45</v>
      </c>
    </row>
    <row r="173" spans="1:4">
      <c r="A173" t="s">
        <v>575</v>
      </c>
      <c r="B173" t="s">
        <v>576</v>
      </c>
      <c r="C173" s="14">
        <v>45536</v>
      </c>
      <c r="D173">
        <v>11</v>
      </c>
    </row>
    <row r="174" spans="1:4">
      <c r="A174" t="s">
        <v>577</v>
      </c>
      <c r="B174" t="s">
        <v>578</v>
      </c>
      <c r="C174" s="14">
        <v>45536</v>
      </c>
      <c r="D174">
        <v>3.76</v>
      </c>
    </row>
    <row r="175" spans="1:4">
      <c r="A175" t="s">
        <v>579</v>
      </c>
      <c r="B175" t="s">
        <v>580</v>
      </c>
      <c r="C175" s="14">
        <v>45536</v>
      </c>
      <c r="D175">
        <v>10</v>
      </c>
    </row>
    <row r="176" spans="1:4">
      <c r="A176" t="s">
        <v>581</v>
      </c>
      <c r="B176" t="s">
        <v>582</v>
      </c>
      <c r="C176" s="14">
        <v>45536</v>
      </c>
      <c r="D176">
        <v>9.49</v>
      </c>
    </row>
    <row r="177" spans="1:4">
      <c r="A177" t="s">
        <v>583</v>
      </c>
      <c r="B177" t="s">
        <v>584</v>
      </c>
      <c r="C177" s="14">
        <v>45536</v>
      </c>
      <c r="D177">
        <v>12.98</v>
      </c>
    </row>
    <row r="178" spans="1:4">
      <c r="A178" t="s">
        <v>585</v>
      </c>
      <c r="B178" t="s">
        <v>586</v>
      </c>
      <c r="C178" s="14">
        <v>45536</v>
      </c>
      <c r="D178">
        <v>9.96</v>
      </c>
    </row>
    <row r="179" spans="1:4">
      <c r="A179" t="s">
        <v>587</v>
      </c>
      <c r="B179" t="s">
        <v>588</v>
      </c>
      <c r="C179" s="14">
        <v>45536</v>
      </c>
      <c r="D179">
        <v>7.95</v>
      </c>
    </row>
    <row r="180" spans="1:4">
      <c r="A180" t="s">
        <v>589</v>
      </c>
      <c r="B180" t="s">
        <v>590</v>
      </c>
      <c r="C180" s="14">
        <v>45536</v>
      </c>
      <c r="D180">
        <v>6.89</v>
      </c>
    </row>
    <row r="181" spans="1:4">
      <c r="A181" t="s">
        <v>158</v>
      </c>
      <c r="B181" t="s">
        <v>591</v>
      </c>
      <c r="C181" s="14">
        <v>45536</v>
      </c>
      <c r="D181">
        <v>32.49</v>
      </c>
    </row>
    <row r="182" spans="1:4">
      <c r="A182" t="s">
        <v>156</v>
      </c>
      <c r="B182" t="s">
        <v>592</v>
      </c>
      <c r="C182" s="14">
        <v>45536</v>
      </c>
      <c r="D182">
        <v>14.49</v>
      </c>
    </row>
    <row r="183" spans="1:4">
      <c r="A183" t="s">
        <v>593</v>
      </c>
      <c r="B183" t="s">
        <v>594</v>
      </c>
      <c r="C183" s="14">
        <v>45536</v>
      </c>
      <c r="D183">
        <v>8</v>
      </c>
    </row>
    <row r="184" spans="1:4">
      <c r="A184" t="s">
        <v>595</v>
      </c>
      <c r="B184" t="s">
        <v>596</v>
      </c>
      <c r="C184" s="14">
        <v>45536</v>
      </c>
      <c r="D184">
        <v>5.79</v>
      </c>
    </row>
    <row r="185" spans="1:4">
      <c r="A185" t="s">
        <v>597</v>
      </c>
      <c r="B185" t="s">
        <v>598</v>
      </c>
      <c r="C185" s="14">
        <v>45536</v>
      </c>
      <c r="D185">
        <v>7</v>
      </c>
    </row>
    <row r="186" spans="1:4">
      <c r="A186" t="s">
        <v>599</v>
      </c>
      <c r="B186" t="s">
        <v>600</v>
      </c>
      <c r="C186" s="14">
        <v>45536</v>
      </c>
      <c r="D186">
        <v>8</v>
      </c>
    </row>
    <row r="187" spans="1:4">
      <c r="A187" t="s">
        <v>601</v>
      </c>
      <c r="B187" t="s">
        <v>602</v>
      </c>
      <c r="C187" s="14">
        <v>45536</v>
      </c>
      <c r="D187">
        <v>26.5</v>
      </c>
    </row>
    <row r="188" spans="1:4">
      <c r="A188" t="s">
        <v>216</v>
      </c>
      <c r="B188" t="s">
        <v>603</v>
      </c>
      <c r="C188" s="14">
        <v>45536</v>
      </c>
      <c r="D188">
        <v>4.17</v>
      </c>
    </row>
    <row r="189" spans="1:4">
      <c r="A189" t="s">
        <v>250</v>
      </c>
      <c r="B189" t="s">
        <v>604</v>
      </c>
      <c r="C189" s="14">
        <v>45536</v>
      </c>
      <c r="D189">
        <v>3.6</v>
      </c>
    </row>
    <row r="190" spans="1:4">
      <c r="A190" t="s">
        <v>199</v>
      </c>
      <c r="B190" t="s">
        <v>604</v>
      </c>
      <c r="C190" s="14">
        <v>45536</v>
      </c>
      <c r="D190">
        <v>6.56</v>
      </c>
    </row>
    <row r="191" spans="1:4">
      <c r="A191" t="s">
        <v>200</v>
      </c>
      <c r="B191" t="s">
        <v>605</v>
      </c>
      <c r="C191" s="14">
        <v>45536</v>
      </c>
      <c r="D191">
        <v>7.34</v>
      </c>
    </row>
    <row r="192" spans="1:4">
      <c r="A192" t="s">
        <v>606</v>
      </c>
      <c r="B192" t="s">
        <v>607</v>
      </c>
      <c r="C192" s="14">
        <v>45536</v>
      </c>
      <c r="D192">
        <v>57.24</v>
      </c>
    </row>
    <row r="193" spans="1:4">
      <c r="A193" t="s">
        <v>232</v>
      </c>
      <c r="B193" t="s">
        <v>608</v>
      </c>
      <c r="C193" s="14">
        <v>45536</v>
      </c>
      <c r="D193">
        <v>154.34</v>
      </c>
    </row>
    <row r="194" spans="1:4">
      <c r="A194" t="s">
        <v>80</v>
      </c>
      <c r="B194" t="s">
        <v>609</v>
      </c>
      <c r="C194" s="14">
        <v>45543</v>
      </c>
      <c r="D194">
        <v>62.73</v>
      </c>
    </row>
    <row r="195" spans="1:4">
      <c r="A195" t="s">
        <v>72</v>
      </c>
      <c r="B195" t="s">
        <v>610</v>
      </c>
      <c r="C195" s="14">
        <v>45543</v>
      </c>
      <c r="D195">
        <v>83.99</v>
      </c>
    </row>
    <row r="196" spans="1:4">
      <c r="A196" t="s">
        <v>104</v>
      </c>
      <c r="B196" t="s">
        <v>611</v>
      </c>
      <c r="C196" s="14">
        <v>45543</v>
      </c>
      <c r="D196">
        <v>97.21</v>
      </c>
    </row>
    <row r="197" spans="1:4">
      <c r="A197" t="s">
        <v>612</v>
      </c>
      <c r="B197" t="s">
        <v>613</v>
      </c>
      <c r="C197" s="14">
        <v>45566</v>
      </c>
      <c r="D197">
        <v>69.55</v>
      </c>
    </row>
    <row r="198" spans="1:4">
      <c r="A198" t="s">
        <v>75</v>
      </c>
      <c r="B198" t="s">
        <v>614</v>
      </c>
      <c r="C198" s="14">
        <v>45536</v>
      </c>
      <c r="D198">
        <v>73.7</v>
      </c>
    </row>
    <row r="199" spans="1:4">
      <c r="A199" t="s">
        <v>615</v>
      </c>
      <c r="B199" t="s">
        <v>616</v>
      </c>
      <c r="C199" s="14">
        <v>45566</v>
      </c>
      <c r="D199">
        <v>103.02</v>
      </c>
    </row>
    <row r="200" spans="1:4">
      <c r="A200" t="s">
        <v>113</v>
      </c>
      <c r="B200" t="s">
        <v>617</v>
      </c>
      <c r="C200" s="14">
        <v>45536</v>
      </c>
      <c r="D200">
        <v>76.12</v>
      </c>
    </row>
    <row r="201" spans="1:4">
      <c r="A201" t="s">
        <v>618</v>
      </c>
      <c r="B201" t="s">
        <v>619</v>
      </c>
      <c r="C201" s="14">
        <v>45536</v>
      </c>
      <c r="D201">
        <v>7.56</v>
      </c>
    </row>
    <row r="202" spans="1:4">
      <c r="A202" t="s">
        <v>195</v>
      </c>
      <c r="B202" t="s">
        <v>620</v>
      </c>
      <c r="C202" s="14">
        <v>45536</v>
      </c>
      <c r="D202">
        <v>85.31</v>
      </c>
    </row>
    <row r="203" spans="1:4">
      <c r="A203" t="s">
        <v>117</v>
      </c>
      <c r="B203" t="s">
        <v>621</v>
      </c>
      <c r="C203" s="14">
        <v>45536</v>
      </c>
      <c r="D203">
        <v>85.31</v>
      </c>
    </row>
    <row r="204" spans="1:4">
      <c r="A204" t="s">
        <v>73</v>
      </c>
      <c r="B204" t="s">
        <v>622</v>
      </c>
      <c r="C204" s="14">
        <v>45536</v>
      </c>
      <c r="D204">
        <v>65.62</v>
      </c>
    </row>
    <row r="205" spans="1:4">
      <c r="A205" t="s">
        <v>623</v>
      </c>
      <c r="B205" t="s">
        <v>624</v>
      </c>
      <c r="C205" s="14">
        <v>45536</v>
      </c>
      <c r="D205">
        <v>19.61</v>
      </c>
    </row>
    <row r="206" spans="1:4">
      <c r="A206" t="s">
        <v>115</v>
      </c>
      <c r="B206" t="s">
        <v>625</v>
      </c>
      <c r="C206" s="14">
        <v>45536</v>
      </c>
      <c r="D206">
        <v>96.67</v>
      </c>
    </row>
    <row r="207" spans="1:4">
      <c r="A207" t="s">
        <v>626</v>
      </c>
      <c r="B207" t="s">
        <v>627</v>
      </c>
      <c r="C207" s="14">
        <v>45536</v>
      </c>
      <c r="D207">
        <v>9.68</v>
      </c>
    </row>
    <row r="208" spans="1:4">
      <c r="A208" t="s">
        <v>628</v>
      </c>
      <c r="B208" t="s">
        <v>629</v>
      </c>
      <c r="C208" s="14">
        <v>45536</v>
      </c>
      <c r="D208">
        <v>12.84</v>
      </c>
    </row>
    <row r="209" spans="1:4">
      <c r="A209" t="s">
        <v>630</v>
      </c>
      <c r="B209" t="s">
        <v>631</v>
      </c>
      <c r="C209" s="14">
        <v>45536</v>
      </c>
      <c r="D209">
        <v>21.16</v>
      </c>
    </row>
    <row r="210" spans="1:4">
      <c r="A210" t="s">
        <v>632</v>
      </c>
      <c r="B210" t="s">
        <v>633</v>
      </c>
      <c r="C210" s="14">
        <v>45536</v>
      </c>
      <c r="D210">
        <v>13.17</v>
      </c>
    </row>
    <row r="211" spans="1:4">
      <c r="A211" t="s">
        <v>634</v>
      </c>
      <c r="B211" t="s">
        <v>635</v>
      </c>
      <c r="C211" s="14">
        <v>45536</v>
      </c>
      <c r="D211">
        <v>13.06</v>
      </c>
    </row>
    <row r="212" spans="1:4">
      <c r="A212" t="s">
        <v>116</v>
      </c>
      <c r="B212" t="s">
        <v>636</v>
      </c>
      <c r="C212" s="14">
        <v>45536</v>
      </c>
      <c r="D212">
        <v>85.31</v>
      </c>
    </row>
    <row r="213" spans="1:4">
      <c r="A213" t="s">
        <v>119</v>
      </c>
      <c r="B213" t="s">
        <v>625</v>
      </c>
      <c r="C213" s="14">
        <v>45536</v>
      </c>
      <c r="D213">
        <v>110.34</v>
      </c>
    </row>
    <row r="214" spans="1:4">
      <c r="A214" t="s">
        <v>637</v>
      </c>
      <c r="B214" t="s">
        <v>638</v>
      </c>
      <c r="C214" s="14">
        <v>45536</v>
      </c>
      <c r="D214">
        <v>6.2</v>
      </c>
    </row>
    <row r="215" spans="1:4">
      <c r="A215" t="s">
        <v>639</v>
      </c>
      <c r="B215" t="s">
        <v>640</v>
      </c>
      <c r="C215" s="14">
        <v>45536</v>
      </c>
      <c r="D215">
        <v>8.26</v>
      </c>
    </row>
    <row r="216" spans="1:4">
      <c r="A216" t="s">
        <v>641</v>
      </c>
      <c r="B216" t="s">
        <v>642</v>
      </c>
      <c r="C216" s="14">
        <v>45536</v>
      </c>
      <c r="D216">
        <v>9.6</v>
      </c>
    </row>
    <row r="217" spans="1:4">
      <c r="A217" t="s">
        <v>643</v>
      </c>
      <c r="B217" t="s">
        <v>644</v>
      </c>
      <c r="C217" s="14">
        <v>45536</v>
      </c>
      <c r="D217">
        <v>1.66</v>
      </c>
    </row>
    <row r="218" spans="1:4">
      <c r="A218" t="s">
        <v>645</v>
      </c>
      <c r="B218" t="s">
        <v>646</v>
      </c>
      <c r="C218" s="14">
        <v>45536</v>
      </c>
      <c r="D218">
        <v>7.01</v>
      </c>
    </row>
    <row r="219" spans="1:4">
      <c r="A219" t="s">
        <v>647</v>
      </c>
      <c r="B219" t="s">
        <v>648</v>
      </c>
      <c r="C219" s="14">
        <v>45536</v>
      </c>
      <c r="D219">
        <v>9.37</v>
      </c>
    </row>
    <row r="220" spans="1:4">
      <c r="A220" t="s">
        <v>649</v>
      </c>
      <c r="B220" t="s">
        <v>650</v>
      </c>
      <c r="C220" s="14">
        <v>45536</v>
      </c>
      <c r="D220">
        <v>5.83</v>
      </c>
    </row>
    <row r="221" spans="1:4">
      <c r="A221" t="s">
        <v>651</v>
      </c>
      <c r="B221" t="s">
        <v>652</v>
      </c>
      <c r="C221" s="14">
        <v>45536</v>
      </c>
      <c r="D221">
        <v>6.6</v>
      </c>
    </row>
    <row r="222" spans="1:4">
      <c r="A222" t="s">
        <v>653</v>
      </c>
      <c r="B222" t="s">
        <v>654</v>
      </c>
      <c r="C222" s="14">
        <v>45536</v>
      </c>
      <c r="D222">
        <v>14.64</v>
      </c>
    </row>
    <row r="223" spans="1:4">
      <c r="A223" t="s">
        <v>655</v>
      </c>
      <c r="B223" t="s">
        <v>656</v>
      </c>
      <c r="C223" s="14">
        <v>45536</v>
      </c>
      <c r="D223">
        <v>26.78</v>
      </c>
    </row>
    <row r="224" spans="1:4">
      <c r="A224" t="s">
        <v>657</v>
      </c>
      <c r="B224" t="s">
        <v>658</v>
      </c>
      <c r="C224" s="14">
        <v>45536</v>
      </c>
      <c r="D224">
        <v>5.11</v>
      </c>
    </row>
    <row r="225" spans="1:4">
      <c r="A225" t="s">
        <v>659</v>
      </c>
      <c r="B225" t="s">
        <v>652</v>
      </c>
      <c r="C225" s="14">
        <v>45536</v>
      </c>
      <c r="D225">
        <v>1.56</v>
      </c>
    </row>
    <row r="226" spans="1:4">
      <c r="A226" t="s">
        <v>660</v>
      </c>
      <c r="B226" t="s">
        <v>661</v>
      </c>
      <c r="C226" s="14">
        <v>45536</v>
      </c>
      <c r="D226">
        <v>1.63</v>
      </c>
    </row>
    <row r="227" spans="1:4">
      <c r="A227" t="s">
        <v>181</v>
      </c>
      <c r="B227" t="s">
        <v>662</v>
      </c>
      <c r="C227" s="14">
        <v>45536</v>
      </c>
      <c r="D227">
        <v>295.31</v>
      </c>
    </row>
    <row r="228" spans="1:4">
      <c r="A228" t="s">
        <v>663</v>
      </c>
      <c r="B228" t="s">
        <v>664</v>
      </c>
      <c r="C228" s="14">
        <v>45536</v>
      </c>
      <c r="D228">
        <v>1.11</v>
      </c>
    </row>
    <row r="229" spans="1:4">
      <c r="A229" t="s">
        <v>242</v>
      </c>
      <c r="B229" t="s">
        <v>665</v>
      </c>
      <c r="C229" s="14">
        <v>45536</v>
      </c>
      <c r="D229">
        <v>36.09</v>
      </c>
    </row>
    <row r="230" spans="1:4">
      <c r="A230" t="s">
        <v>666</v>
      </c>
      <c r="B230" t="s">
        <v>667</v>
      </c>
      <c r="C230" s="14">
        <v>45536</v>
      </c>
      <c r="D230">
        <v>8.68</v>
      </c>
    </row>
    <row r="231" spans="1:4">
      <c r="A231" t="s">
        <v>668</v>
      </c>
      <c r="B231" t="s">
        <v>669</v>
      </c>
      <c r="C231" s="14">
        <v>45536</v>
      </c>
      <c r="D231">
        <v>7.15</v>
      </c>
    </row>
    <row r="232" spans="1:4">
      <c r="A232" t="s">
        <v>670</v>
      </c>
      <c r="B232" t="s">
        <v>671</v>
      </c>
      <c r="C232" s="14">
        <v>45536</v>
      </c>
      <c r="D232">
        <v>5.94</v>
      </c>
    </row>
    <row r="233" spans="1:4">
      <c r="A233" t="s">
        <v>66</v>
      </c>
      <c r="B233" t="s">
        <v>672</v>
      </c>
      <c r="C233" s="14">
        <v>45536</v>
      </c>
      <c r="D233">
        <v>131.24</v>
      </c>
    </row>
    <row r="234" spans="1:4">
      <c r="A234" t="s">
        <v>673</v>
      </c>
      <c r="B234" t="s">
        <v>674</v>
      </c>
      <c r="C234" s="14">
        <v>45536</v>
      </c>
      <c r="D234">
        <v>8.91</v>
      </c>
    </row>
    <row r="235" spans="1:4">
      <c r="A235" t="s">
        <v>70</v>
      </c>
      <c r="B235" t="s">
        <v>675</v>
      </c>
      <c r="C235" s="14">
        <v>45536</v>
      </c>
      <c r="D235">
        <v>81.49</v>
      </c>
    </row>
    <row r="236" spans="1:4">
      <c r="A236" t="s">
        <v>175</v>
      </c>
      <c r="B236" t="s">
        <v>676</v>
      </c>
      <c r="C236" s="14">
        <v>45536</v>
      </c>
      <c r="D236">
        <v>83.99</v>
      </c>
    </row>
    <row r="237" spans="1:4">
      <c r="A237" t="s">
        <v>106</v>
      </c>
      <c r="B237" t="s">
        <v>677</v>
      </c>
      <c r="C237" s="14">
        <v>45536</v>
      </c>
      <c r="D237">
        <v>196.87</v>
      </c>
    </row>
    <row r="238" spans="1:4">
      <c r="A238" t="s">
        <v>110</v>
      </c>
      <c r="B238" t="s">
        <v>678</v>
      </c>
      <c r="C238" s="14">
        <v>45536</v>
      </c>
      <c r="D238">
        <v>102.61</v>
      </c>
    </row>
    <row r="239" spans="1:4">
      <c r="A239" t="s">
        <v>64</v>
      </c>
      <c r="B239" t="s">
        <v>679</v>
      </c>
      <c r="C239" s="14">
        <v>45536</v>
      </c>
      <c r="D239">
        <v>166.54</v>
      </c>
    </row>
    <row r="240" spans="1:4">
      <c r="A240" t="s">
        <v>65</v>
      </c>
      <c r="B240" t="s">
        <v>680</v>
      </c>
      <c r="C240" s="14">
        <v>45536</v>
      </c>
      <c r="D240">
        <v>162.55</v>
      </c>
    </row>
    <row r="241" spans="1:4">
      <c r="A241" t="s">
        <v>681</v>
      </c>
      <c r="B241" t="s">
        <v>682</v>
      </c>
      <c r="C241" s="14">
        <v>45536</v>
      </c>
      <c r="D241">
        <v>164.06</v>
      </c>
    </row>
    <row r="242" spans="1:4">
      <c r="A242" t="s">
        <v>683</v>
      </c>
      <c r="B242" t="s">
        <v>684</v>
      </c>
      <c r="C242" s="14">
        <v>45536</v>
      </c>
      <c r="D242">
        <v>164.06</v>
      </c>
    </row>
    <row r="243" spans="1:4">
      <c r="A243" t="s">
        <v>685</v>
      </c>
      <c r="B243" t="s">
        <v>686</v>
      </c>
      <c r="C243" s="14">
        <v>45536</v>
      </c>
      <c r="D243">
        <v>4.43</v>
      </c>
    </row>
    <row r="244" spans="1:4">
      <c r="A244" t="s">
        <v>173</v>
      </c>
      <c r="B244" t="s">
        <v>687</v>
      </c>
      <c r="C244" s="14">
        <v>45536</v>
      </c>
      <c r="D244">
        <v>34.08</v>
      </c>
    </row>
    <row r="245" spans="1:4">
      <c r="A245" t="s">
        <v>238</v>
      </c>
      <c r="B245" t="s">
        <v>688</v>
      </c>
      <c r="C245" s="14">
        <v>45536</v>
      </c>
      <c r="D245">
        <v>42.95</v>
      </c>
    </row>
    <row r="246" spans="1:4">
      <c r="A246" t="s">
        <v>233</v>
      </c>
      <c r="B246" t="s">
        <v>689</v>
      </c>
      <c r="C246" s="14">
        <v>45536</v>
      </c>
      <c r="D246">
        <v>17.26</v>
      </c>
    </row>
    <row r="247" spans="1:4">
      <c r="A247" t="s">
        <v>690</v>
      </c>
      <c r="B247" t="s">
        <v>691</v>
      </c>
      <c r="C247" s="14">
        <v>45536</v>
      </c>
      <c r="D247">
        <v>6.43</v>
      </c>
    </row>
    <row r="248" spans="1:4">
      <c r="A248" t="s">
        <v>692</v>
      </c>
      <c r="B248" t="s">
        <v>693</v>
      </c>
      <c r="C248" s="14">
        <v>45536</v>
      </c>
      <c r="D248">
        <v>6.28</v>
      </c>
    </row>
    <row r="249" spans="1:4">
      <c r="A249" t="s">
        <v>694</v>
      </c>
      <c r="B249" t="s">
        <v>695</v>
      </c>
      <c r="C249" s="14">
        <v>45536</v>
      </c>
      <c r="D249">
        <v>10.21</v>
      </c>
    </row>
    <row r="250" spans="1:4">
      <c r="A250" t="s">
        <v>696</v>
      </c>
      <c r="B250" t="s">
        <v>697</v>
      </c>
      <c r="C250" s="14">
        <v>45536</v>
      </c>
      <c r="D250">
        <v>7.12</v>
      </c>
    </row>
    <row r="251" spans="1:4">
      <c r="A251" t="s">
        <v>698</v>
      </c>
      <c r="B251" t="s">
        <v>699</v>
      </c>
      <c r="C251" s="14">
        <v>45536</v>
      </c>
      <c r="D251">
        <v>4.7</v>
      </c>
    </row>
    <row r="252" spans="1:4">
      <c r="A252" t="s">
        <v>700</v>
      </c>
      <c r="B252" t="s">
        <v>701</v>
      </c>
      <c r="C252" s="14">
        <v>45536</v>
      </c>
      <c r="D252">
        <v>14.84</v>
      </c>
    </row>
    <row r="253" spans="1:4">
      <c r="A253" t="s">
        <v>702</v>
      </c>
      <c r="B253" t="s">
        <v>703</v>
      </c>
      <c r="C253" s="14">
        <v>45536</v>
      </c>
      <c r="D253">
        <v>22.62</v>
      </c>
    </row>
    <row r="254" spans="1:4">
      <c r="A254" t="s">
        <v>704</v>
      </c>
      <c r="B254" t="s">
        <v>705</v>
      </c>
      <c r="C254" s="14">
        <v>45536</v>
      </c>
      <c r="D254">
        <v>53.34</v>
      </c>
    </row>
    <row r="255" spans="1:4">
      <c r="A255" t="s">
        <v>706</v>
      </c>
      <c r="B255" t="s">
        <v>707</v>
      </c>
      <c r="C255" s="14">
        <v>45536</v>
      </c>
      <c r="D255">
        <v>14.58</v>
      </c>
    </row>
    <row r="256" spans="1:4">
      <c r="A256" t="s">
        <v>708</v>
      </c>
      <c r="B256" t="s">
        <v>709</v>
      </c>
      <c r="C256" s="14">
        <v>45536</v>
      </c>
      <c r="D256">
        <v>9.3</v>
      </c>
    </row>
    <row r="257" spans="1:4">
      <c r="A257" t="s">
        <v>710</v>
      </c>
      <c r="B257" t="s">
        <v>711</v>
      </c>
      <c r="C257" s="14">
        <v>45536</v>
      </c>
      <c r="D257">
        <v>15.6</v>
      </c>
    </row>
    <row r="258" spans="1:4">
      <c r="A258" t="s">
        <v>712</v>
      </c>
      <c r="B258" t="s">
        <v>713</v>
      </c>
      <c r="C258" s="14">
        <v>45536</v>
      </c>
      <c r="D258">
        <v>20.53</v>
      </c>
    </row>
    <row r="259" spans="1:4">
      <c r="A259" t="s">
        <v>714</v>
      </c>
      <c r="B259" t="s">
        <v>715</v>
      </c>
      <c r="C259" s="14">
        <v>45536</v>
      </c>
      <c r="D259">
        <v>11.96</v>
      </c>
    </row>
    <row r="260" spans="1:4">
      <c r="A260" t="s">
        <v>716</v>
      </c>
      <c r="B260" t="s">
        <v>717</v>
      </c>
      <c r="C260" s="14">
        <v>45536</v>
      </c>
      <c r="D260">
        <v>10.05</v>
      </c>
    </row>
    <row r="261" spans="1:4">
      <c r="A261" t="s">
        <v>718</v>
      </c>
      <c r="B261" t="s">
        <v>719</v>
      </c>
      <c r="C261" s="14">
        <v>45536</v>
      </c>
      <c r="D261">
        <v>9.72</v>
      </c>
    </row>
    <row r="262" spans="1:4">
      <c r="A262" t="s">
        <v>720</v>
      </c>
      <c r="B262" t="s">
        <v>721</v>
      </c>
      <c r="C262" s="14">
        <v>45536</v>
      </c>
      <c r="D262">
        <v>53.32</v>
      </c>
    </row>
    <row r="263" spans="1:4">
      <c r="A263" t="s">
        <v>722</v>
      </c>
      <c r="B263" t="s">
        <v>723</v>
      </c>
      <c r="C263" s="14">
        <v>45536</v>
      </c>
      <c r="D263">
        <v>85.17</v>
      </c>
    </row>
    <row r="264" spans="1:4">
      <c r="A264" t="s">
        <v>724</v>
      </c>
      <c r="B264" t="s">
        <v>725</v>
      </c>
      <c r="C264" s="14">
        <v>45536</v>
      </c>
      <c r="D264">
        <v>12.76</v>
      </c>
    </row>
    <row r="265" spans="1:4">
      <c r="A265" t="s">
        <v>726</v>
      </c>
      <c r="B265" t="s">
        <v>727</v>
      </c>
      <c r="C265" s="14">
        <v>45536</v>
      </c>
      <c r="D265">
        <v>80.63</v>
      </c>
    </row>
    <row r="266" spans="1:4">
      <c r="A266" t="s">
        <v>728</v>
      </c>
      <c r="B266" t="s">
        <v>729</v>
      </c>
      <c r="C266" s="14">
        <v>45536</v>
      </c>
      <c r="D266">
        <v>27.3</v>
      </c>
    </row>
    <row r="267" spans="1:4">
      <c r="A267" t="s">
        <v>730</v>
      </c>
      <c r="B267" t="s">
        <v>731</v>
      </c>
      <c r="C267" s="14">
        <v>45536</v>
      </c>
      <c r="D267">
        <v>29.8</v>
      </c>
    </row>
    <row r="268" spans="1:4">
      <c r="A268" t="s">
        <v>732</v>
      </c>
      <c r="B268" t="s">
        <v>733</v>
      </c>
      <c r="C268" s="14">
        <v>45536</v>
      </c>
      <c r="D268">
        <v>34.7</v>
      </c>
    </row>
    <row r="269" spans="1:4">
      <c r="A269" t="s">
        <v>734</v>
      </c>
      <c r="B269" t="s">
        <v>735</v>
      </c>
      <c r="C269" s="14">
        <v>45536</v>
      </c>
      <c r="D269">
        <v>11.39</v>
      </c>
    </row>
    <row r="270" spans="1:4">
      <c r="A270" t="s">
        <v>736</v>
      </c>
      <c r="B270" t="s">
        <v>737</v>
      </c>
      <c r="C270" s="14">
        <v>45536</v>
      </c>
      <c r="D270">
        <v>10.45</v>
      </c>
    </row>
    <row r="271" spans="1:4">
      <c r="A271" t="s">
        <v>738</v>
      </c>
      <c r="B271" t="s">
        <v>739</v>
      </c>
      <c r="C271" s="14">
        <v>45536</v>
      </c>
      <c r="D271">
        <v>12.06</v>
      </c>
    </row>
    <row r="272" spans="1:4">
      <c r="A272" t="s">
        <v>740</v>
      </c>
      <c r="B272" t="s">
        <v>741</v>
      </c>
      <c r="C272" s="14">
        <v>45536</v>
      </c>
      <c r="D272">
        <v>11.51</v>
      </c>
    </row>
    <row r="273" spans="1:4">
      <c r="A273" t="s">
        <v>742</v>
      </c>
      <c r="B273" t="s">
        <v>743</v>
      </c>
      <c r="C273" s="14">
        <v>45536</v>
      </c>
      <c r="D273">
        <v>7.53</v>
      </c>
    </row>
    <row r="274" spans="1:4">
      <c r="A274" t="s">
        <v>744</v>
      </c>
      <c r="B274" t="s">
        <v>745</v>
      </c>
      <c r="C274" s="14">
        <v>45536</v>
      </c>
      <c r="D274">
        <v>15.22</v>
      </c>
    </row>
    <row r="275" spans="1:4">
      <c r="A275" t="s">
        <v>746</v>
      </c>
      <c r="B275" t="s">
        <v>747</v>
      </c>
      <c r="C275" s="14">
        <v>45536</v>
      </c>
      <c r="D275">
        <v>36.74</v>
      </c>
    </row>
    <row r="276" spans="1:4">
      <c r="A276" t="s">
        <v>748</v>
      </c>
      <c r="B276" t="s">
        <v>749</v>
      </c>
      <c r="C276" s="14">
        <v>45536</v>
      </c>
      <c r="D276">
        <v>7.14</v>
      </c>
    </row>
    <row r="277" spans="1:4">
      <c r="A277" t="s">
        <v>750</v>
      </c>
      <c r="B277" t="s">
        <v>751</v>
      </c>
      <c r="C277" s="14">
        <v>45536</v>
      </c>
      <c r="D277">
        <v>23.56</v>
      </c>
    </row>
    <row r="278" spans="1:4">
      <c r="A278" t="s">
        <v>752</v>
      </c>
      <c r="B278" t="s">
        <v>753</v>
      </c>
      <c r="C278" s="14">
        <v>45536</v>
      </c>
      <c r="D278">
        <v>55.65</v>
      </c>
    </row>
    <row r="279" spans="1:4">
      <c r="A279" t="s">
        <v>754</v>
      </c>
      <c r="B279" t="s">
        <v>755</v>
      </c>
      <c r="C279" s="14">
        <v>45536</v>
      </c>
      <c r="D279">
        <v>30.36</v>
      </c>
    </row>
    <row r="280" spans="1:4">
      <c r="A280" t="s">
        <v>756</v>
      </c>
      <c r="B280" t="s">
        <v>757</v>
      </c>
      <c r="C280" s="14">
        <v>45536</v>
      </c>
      <c r="D280">
        <v>20.82</v>
      </c>
    </row>
    <row r="281" spans="1:4">
      <c r="A281" t="s">
        <v>758</v>
      </c>
      <c r="B281" t="s">
        <v>759</v>
      </c>
      <c r="C281" s="14">
        <v>45536</v>
      </c>
      <c r="D281">
        <v>12.09</v>
      </c>
    </row>
    <row r="282" spans="1:4">
      <c r="A282" t="s">
        <v>760</v>
      </c>
      <c r="B282" t="s">
        <v>761</v>
      </c>
      <c r="C282" s="14">
        <v>45536</v>
      </c>
      <c r="D282">
        <v>10.19</v>
      </c>
    </row>
    <row r="283" spans="1:4">
      <c r="A283" t="s">
        <v>762</v>
      </c>
      <c r="B283" t="s">
        <v>763</v>
      </c>
      <c r="C283" s="14">
        <v>45536</v>
      </c>
      <c r="D283">
        <v>15.36</v>
      </c>
    </row>
    <row r="284" spans="1:4">
      <c r="A284" t="s">
        <v>764</v>
      </c>
      <c r="B284" t="s">
        <v>765</v>
      </c>
      <c r="C284" s="14">
        <v>45536</v>
      </c>
      <c r="D284">
        <v>15.36</v>
      </c>
    </row>
    <row r="285" spans="1:4">
      <c r="A285" t="s">
        <v>766</v>
      </c>
      <c r="B285" t="s">
        <v>767</v>
      </c>
      <c r="C285" s="14">
        <v>45536</v>
      </c>
      <c r="D285">
        <v>7.36</v>
      </c>
    </row>
    <row r="286" spans="1:4">
      <c r="A286" t="s">
        <v>768</v>
      </c>
      <c r="B286" t="s">
        <v>769</v>
      </c>
      <c r="C286" s="14">
        <v>45536</v>
      </c>
      <c r="D286">
        <v>33.17</v>
      </c>
    </row>
    <row r="287" spans="1:4">
      <c r="A287" t="s">
        <v>770</v>
      </c>
      <c r="B287" t="s">
        <v>771</v>
      </c>
      <c r="C287" s="14">
        <v>45536</v>
      </c>
      <c r="D287">
        <v>1.94</v>
      </c>
    </row>
    <row r="288" spans="1:4">
      <c r="A288" t="s">
        <v>772</v>
      </c>
      <c r="B288" t="s">
        <v>773</v>
      </c>
      <c r="C288" s="14">
        <v>45536</v>
      </c>
      <c r="D288">
        <v>1.94</v>
      </c>
    </row>
    <row r="289" spans="1:4">
      <c r="A289" t="s">
        <v>774</v>
      </c>
      <c r="B289" t="s">
        <v>775</v>
      </c>
      <c r="C289" s="14">
        <v>45536</v>
      </c>
      <c r="D289">
        <v>8.71</v>
      </c>
    </row>
    <row r="290" spans="1:4">
      <c r="A290" t="s">
        <v>776</v>
      </c>
      <c r="B290" t="s">
        <v>777</v>
      </c>
      <c r="C290" s="14">
        <v>45536</v>
      </c>
      <c r="D290">
        <v>4.69</v>
      </c>
    </row>
    <row r="291" spans="1:4">
      <c r="A291" t="s">
        <v>778</v>
      </c>
      <c r="B291" t="s">
        <v>779</v>
      </c>
      <c r="C291" s="14">
        <v>45536</v>
      </c>
      <c r="D291">
        <v>5.36</v>
      </c>
    </row>
    <row r="292" spans="1:4">
      <c r="A292" t="s">
        <v>780</v>
      </c>
      <c r="B292" t="s">
        <v>781</v>
      </c>
      <c r="C292" s="14">
        <v>45536</v>
      </c>
      <c r="D292">
        <v>0.74</v>
      </c>
    </row>
    <row r="293" spans="1:4">
      <c r="A293" t="s">
        <v>782</v>
      </c>
      <c r="B293" t="s">
        <v>783</v>
      </c>
      <c r="C293" s="14">
        <v>45536</v>
      </c>
      <c r="D293">
        <v>4.36</v>
      </c>
    </row>
    <row r="294" spans="1:4">
      <c r="A294" t="s">
        <v>784</v>
      </c>
      <c r="B294" t="s">
        <v>785</v>
      </c>
      <c r="C294" s="14">
        <v>45536</v>
      </c>
      <c r="D294">
        <v>9.72</v>
      </c>
    </row>
    <row r="295" spans="1:4">
      <c r="A295" t="s">
        <v>786</v>
      </c>
      <c r="B295" t="s">
        <v>787</v>
      </c>
      <c r="C295" s="14">
        <v>45536</v>
      </c>
      <c r="D295">
        <v>8.71</v>
      </c>
    </row>
    <row r="296" spans="1:4">
      <c r="A296" t="s">
        <v>788</v>
      </c>
      <c r="B296" t="s">
        <v>789</v>
      </c>
      <c r="C296" s="14">
        <v>45536</v>
      </c>
      <c r="D296">
        <v>23.78</v>
      </c>
    </row>
    <row r="297" spans="1:4">
      <c r="A297" t="s">
        <v>790</v>
      </c>
      <c r="B297" t="s">
        <v>791</v>
      </c>
      <c r="C297" s="14">
        <v>45536</v>
      </c>
      <c r="D297">
        <v>26.14</v>
      </c>
    </row>
    <row r="298" spans="1:4">
      <c r="A298" t="s">
        <v>114</v>
      </c>
      <c r="B298" t="s">
        <v>792</v>
      </c>
      <c r="C298" s="14">
        <v>45536</v>
      </c>
      <c r="D298">
        <v>77.08</v>
      </c>
    </row>
    <row r="299" spans="1:4">
      <c r="A299" t="s">
        <v>793</v>
      </c>
      <c r="B299" t="s">
        <v>794</v>
      </c>
      <c r="C299" s="14">
        <v>45536</v>
      </c>
      <c r="D299">
        <v>6.08</v>
      </c>
    </row>
    <row r="300" spans="1:4">
      <c r="A300" t="s">
        <v>211</v>
      </c>
      <c r="B300" t="s">
        <v>795</v>
      </c>
      <c r="C300" s="14">
        <v>45536</v>
      </c>
      <c r="D300">
        <v>78.74</v>
      </c>
    </row>
    <row r="301" spans="1:4">
      <c r="A301" t="s">
        <v>796</v>
      </c>
      <c r="B301" t="s">
        <v>797</v>
      </c>
      <c r="C301" s="14">
        <v>45536</v>
      </c>
      <c r="D301">
        <v>4.82</v>
      </c>
    </row>
    <row r="302" spans="1:4">
      <c r="A302" t="s">
        <v>798</v>
      </c>
      <c r="B302" t="s">
        <v>799</v>
      </c>
      <c r="C302" s="14">
        <v>45536</v>
      </c>
      <c r="D302">
        <v>12.52</v>
      </c>
    </row>
    <row r="303" spans="1:4">
      <c r="A303" t="s">
        <v>800</v>
      </c>
      <c r="B303" t="s">
        <v>801</v>
      </c>
      <c r="C303" s="14">
        <v>45536</v>
      </c>
      <c r="D303">
        <v>9.53</v>
      </c>
    </row>
    <row r="304" spans="1:4">
      <c r="A304" t="s">
        <v>802</v>
      </c>
      <c r="B304" t="s">
        <v>803</v>
      </c>
      <c r="C304" s="14">
        <v>45536</v>
      </c>
      <c r="D304">
        <v>10.01</v>
      </c>
    </row>
    <row r="305" spans="1:4">
      <c r="A305" t="s">
        <v>804</v>
      </c>
      <c r="B305" t="s">
        <v>805</v>
      </c>
      <c r="C305" s="14">
        <v>45536</v>
      </c>
      <c r="D305">
        <v>4.69</v>
      </c>
    </row>
    <row r="306" spans="1:4">
      <c r="A306" t="s">
        <v>806</v>
      </c>
      <c r="B306" t="s">
        <v>807</v>
      </c>
      <c r="C306" s="14">
        <v>45536</v>
      </c>
      <c r="D306">
        <v>9.65</v>
      </c>
    </row>
    <row r="307" spans="1:4">
      <c r="A307" t="s">
        <v>808</v>
      </c>
      <c r="B307" t="s">
        <v>809</v>
      </c>
      <c r="C307" s="14">
        <v>45536</v>
      </c>
      <c r="D307">
        <v>8.24</v>
      </c>
    </row>
    <row r="308" spans="1:4">
      <c r="A308" t="s">
        <v>810</v>
      </c>
      <c r="B308" t="s">
        <v>811</v>
      </c>
      <c r="C308" s="14">
        <v>45536</v>
      </c>
      <c r="D308">
        <v>8.77</v>
      </c>
    </row>
    <row r="309" spans="1:4">
      <c r="A309" t="s">
        <v>812</v>
      </c>
      <c r="B309" t="s">
        <v>813</v>
      </c>
      <c r="C309" s="14">
        <v>45536</v>
      </c>
      <c r="D309">
        <v>12.68</v>
      </c>
    </row>
    <row r="310" spans="1:4">
      <c r="A310" t="s">
        <v>814</v>
      </c>
      <c r="B310" t="s">
        <v>815</v>
      </c>
      <c r="C310" s="14">
        <v>45536</v>
      </c>
      <c r="D310">
        <v>7.96</v>
      </c>
    </row>
    <row r="311" spans="1:4">
      <c r="A311" t="s">
        <v>816</v>
      </c>
      <c r="B311" t="s">
        <v>817</v>
      </c>
      <c r="C311" s="14">
        <v>45536</v>
      </c>
      <c r="D311">
        <v>11.93</v>
      </c>
    </row>
    <row r="312" spans="1:4">
      <c r="A312" t="s">
        <v>818</v>
      </c>
      <c r="B312" t="s">
        <v>819</v>
      </c>
      <c r="C312" s="14">
        <v>45536</v>
      </c>
      <c r="D312">
        <v>49.74</v>
      </c>
    </row>
    <row r="313" spans="1:4">
      <c r="A313" t="s">
        <v>820</v>
      </c>
      <c r="B313" t="s">
        <v>821</v>
      </c>
      <c r="C313" s="14">
        <v>45536</v>
      </c>
      <c r="D313">
        <v>11.25</v>
      </c>
    </row>
    <row r="314" spans="1:4">
      <c r="A314" t="s">
        <v>822</v>
      </c>
      <c r="B314" t="s">
        <v>823</v>
      </c>
      <c r="C314" s="14">
        <v>45536</v>
      </c>
      <c r="D314">
        <v>28.03</v>
      </c>
    </row>
    <row r="315" spans="1:4">
      <c r="A315" t="s">
        <v>824</v>
      </c>
      <c r="B315" t="s">
        <v>825</v>
      </c>
      <c r="C315" s="14">
        <v>45536</v>
      </c>
      <c r="D315">
        <v>8.81</v>
      </c>
    </row>
    <row r="316" spans="1:4">
      <c r="A316" t="s">
        <v>826</v>
      </c>
      <c r="B316" t="s">
        <v>827</v>
      </c>
      <c r="C316" s="14">
        <v>45536</v>
      </c>
      <c r="D316">
        <v>25.59</v>
      </c>
    </row>
    <row r="317" spans="1:4">
      <c r="A317" t="s">
        <v>828</v>
      </c>
      <c r="B317" t="s">
        <v>829</v>
      </c>
      <c r="C317" s="14">
        <v>45536</v>
      </c>
      <c r="D317">
        <v>5.88</v>
      </c>
    </row>
    <row r="318" spans="1:4">
      <c r="A318" t="s">
        <v>830</v>
      </c>
      <c r="B318" t="s">
        <v>831</v>
      </c>
      <c r="C318" s="14">
        <v>45536</v>
      </c>
      <c r="D318">
        <v>11.95</v>
      </c>
    </row>
    <row r="319" spans="1:4">
      <c r="A319" t="s">
        <v>832</v>
      </c>
      <c r="B319" t="s">
        <v>833</v>
      </c>
      <c r="C319" s="14">
        <v>45536</v>
      </c>
      <c r="D319">
        <v>5.76</v>
      </c>
    </row>
    <row r="320" spans="1:4">
      <c r="A320" t="s">
        <v>834</v>
      </c>
      <c r="B320" t="s">
        <v>835</v>
      </c>
      <c r="C320" s="14">
        <v>45536</v>
      </c>
      <c r="D320">
        <v>8.68</v>
      </c>
    </row>
    <row r="321" spans="1:4">
      <c r="A321" t="s">
        <v>836</v>
      </c>
      <c r="B321" t="s">
        <v>837</v>
      </c>
      <c r="C321" s="14">
        <v>45536</v>
      </c>
      <c r="D321">
        <v>8.56</v>
      </c>
    </row>
    <row r="322" spans="1:4">
      <c r="A322" t="s">
        <v>838</v>
      </c>
      <c r="B322" t="s">
        <v>839</v>
      </c>
      <c r="C322" s="14">
        <v>45536</v>
      </c>
      <c r="D322">
        <v>2.63</v>
      </c>
    </row>
    <row r="323" spans="1:4">
      <c r="A323" t="s">
        <v>840</v>
      </c>
      <c r="B323" t="s">
        <v>841</v>
      </c>
      <c r="C323" s="14">
        <v>45536</v>
      </c>
      <c r="D323">
        <v>13.2</v>
      </c>
    </row>
    <row r="324" spans="1:4">
      <c r="A324" t="s">
        <v>842</v>
      </c>
      <c r="B324" t="s">
        <v>843</v>
      </c>
      <c r="C324" s="14">
        <v>45536</v>
      </c>
      <c r="D324">
        <v>37.98</v>
      </c>
    </row>
    <row r="325" spans="1:4">
      <c r="A325" t="s">
        <v>844</v>
      </c>
      <c r="B325" t="s">
        <v>845</v>
      </c>
      <c r="C325" s="14">
        <v>45536</v>
      </c>
      <c r="D325">
        <v>6.55</v>
      </c>
    </row>
    <row r="326" spans="1:4">
      <c r="A326" t="s">
        <v>846</v>
      </c>
      <c r="B326" t="s">
        <v>847</v>
      </c>
      <c r="C326" s="14">
        <v>45536</v>
      </c>
      <c r="D326">
        <v>4.64</v>
      </c>
    </row>
    <row r="327" spans="1:4">
      <c r="A327" t="s">
        <v>848</v>
      </c>
      <c r="B327" t="s">
        <v>849</v>
      </c>
      <c r="C327" s="14">
        <v>45536</v>
      </c>
      <c r="D327">
        <v>15.19</v>
      </c>
    </row>
    <row r="328" spans="1:4">
      <c r="A328" t="s">
        <v>850</v>
      </c>
      <c r="B328" t="s">
        <v>851</v>
      </c>
      <c r="C328" s="14">
        <v>45536</v>
      </c>
      <c r="D328">
        <v>16.14</v>
      </c>
    </row>
    <row r="329" spans="1:4">
      <c r="A329" t="s">
        <v>852</v>
      </c>
      <c r="B329" t="s">
        <v>853</v>
      </c>
      <c r="C329" s="14">
        <v>45536</v>
      </c>
      <c r="D329">
        <v>6.14</v>
      </c>
    </row>
    <row r="330" spans="1:4">
      <c r="A330" t="s">
        <v>854</v>
      </c>
      <c r="B330" t="s">
        <v>855</v>
      </c>
      <c r="C330" s="14">
        <v>45536</v>
      </c>
      <c r="D330">
        <v>6.65</v>
      </c>
    </row>
    <row r="331" spans="1:4">
      <c r="A331" t="s">
        <v>856</v>
      </c>
      <c r="B331" t="s">
        <v>857</v>
      </c>
      <c r="C331" s="14">
        <v>45536</v>
      </c>
      <c r="D331">
        <v>6.76</v>
      </c>
    </row>
    <row r="332" spans="1:4">
      <c r="A332" t="s">
        <v>858</v>
      </c>
      <c r="B332" t="s">
        <v>859</v>
      </c>
      <c r="C332" s="14">
        <v>45536</v>
      </c>
      <c r="D332">
        <v>9.05</v>
      </c>
    </row>
    <row r="333" spans="1:4">
      <c r="A333" t="s">
        <v>860</v>
      </c>
      <c r="B333" t="s">
        <v>861</v>
      </c>
      <c r="C333" s="14">
        <v>45536</v>
      </c>
      <c r="D333">
        <v>7.22</v>
      </c>
    </row>
    <row r="334" spans="1:4">
      <c r="A334" t="s">
        <v>862</v>
      </c>
      <c r="B334" t="s">
        <v>863</v>
      </c>
      <c r="C334" s="14">
        <v>45536</v>
      </c>
      <c r="D334">
        <v>10.57</v>
      </c>
    </row>
    <row r="335" spans="1:4">
      <c r="A335" t="s">
        <v>864</v>
      </c>
      <c r="B335" t="s">
        <v>865</v>
      </c>
      <c r="C335" s="14">
        <v>45536</v>
      </c>
      <c r="D335">
        <v>7.27</v>
      </c>
    </row>
    <row r="336" spans="1:4">
      <c r="A336" t="s">
        <v>866</v>
      </c>
      <c r="B336" t="s">
        <v>867</v>
      </c>
      <c r="C336" s="14">
        <v>45536</v>
      </c>
      <c r="D336">
        <v>6.73</v>
      </c>
    </row>
    <row r="337" spans="1:4">
      <c r="A337" t="s">
        <v>868</v>
      </c>
      <c r="B337" t="s">
        <v>869</v>
      </c>
      <c r="C337" s="14">
        <v>45536</v>
      </c>
      <c r="D337">
        <v>6.48</v>
      </c>
    </row>
    <row r="338" spans="1:4">
      <c r="A338" t="s">
        <v>870</v>
      </c>
      <c r="B338" t="s">
        <v>871</v>
      </c>
      <c r="C338" s="14">
        <v>45536</v>
      </c>
      <c r="D338">
        <v>6.39</v>
      </c>
    </row>
    <row r="339" spans="1:4">
      <c r="A339" t="s">
        <v>872</v>
      </c>
      <c r="B339" t="s">
        <v>873</v>
      </c>
      <c r="C339" s="14">
        <v>45536</v>
      </c>
      <c r="D339">
        <v>10.39</v>
      </c>
    </row>
    <row r="340" spans="1:4">
      <c r="A340" t="s">
        <v>874</v>
      </c>
      <c r="B340" t="s">
        <v>875</v>
      </c>
      <c r="C340" s="14">
        <v>45536</v>
      </c>
      <c r="D340">
        <v>7.81</v>
      </c>
    </row>
    <row r="341" spans="1:4">
      <c r="A341" t="s">
        <v>876</v>
      </c>
      <c r="B341" t="s">
        <v>877</v>
      </c>
      <c r="C341" s="14">
        <v>45536</v>
      </c>
      <c r="D341">
        <v>3.82</v>
      </c>
    </row>
    <row r="342" spans="1:4">
      <c r="A342" t="s">
        <v>878</v>
      </c>
      <c r="B342" t="s">
        <v>879</v>
      </c>
      <c r="C342" s="14">
        <v>45536</v>
      </c>
      <c r="D342">
        <v>6.92</v>
      </c>
    </row>
    <row r="343" spans="1:4">
      <c r="A343" t="s">
        <v>880</v>
      </c>
      <c r="B343" t="s">
        <v>881</v>
      </c>
      <c r="C343" s="14">
        <v>45536</v>
      </c>
      <c r="D343">
        <v>4.69</v>
      </c>
    </row>
    <row r="344" spans="1:4">
      <c r="A344" t="s">
        <v>882</v>
      </c>
      <c r="B344" t="s">
        <v>883</v>
      </c>
      <c r="C344" s="14">
        <v>45536</v>
      </c>
      <c r="D344">
        <v>29.22</v>
      </c>
    </row>
    <row r="345" spans="1:4">
      <c r="A345" t="s">
        <v>884</v>
      </c>
      <c r="B345" t="s">
        <v>885</v>
      </c>
      <c r="C345" s="14">
        <v>45536</v>
      </c>
      <c r="D345">
        <v>21.63</v>
      </c>
    </row>
    <row r="346" spans="1:4">
      <c r="A346" t="s">
        <v>886</v>
      </c>
      <c r="B346" t="s">
        <v>887</v>
      </c>
      <c r="C346" s="14">
        <v>45536</v>
      </c>
      <c r="D346">
        <v>29.71</v>
      </c>
    </row>
    <row r="347" spans="1:4">
      <c r="A347" t="s">
        <v>888</v>
      </c>
      <c r="B347" t="s">
        <v>889</v>
      </c>
      <c r="C347" s="14">
        <v>45536</v>
      </c>
      <c r="D347">
        <v>30.95</v>
      </c>
    </row>
    <row r="348" spans="1:4">
      <c r="A348" t="s">
        <v>890</v>
      </c>
      <c r="B348" t="s">
        <v>891</v>
      </c>
      <c r="C348" s="14">
        <v>45536</v>
      </c>
      <c r="D348">
        <v>72.44</v>
      </c>
    </row>
    <row r="349" spans="1:4">
      <c r="A349" t="s">
        <v>892</v>
      </c>
      <c r="B349" t="s">
        <v>893</v>
      </c>
      <c r="C349" s="14">
        <v>45536</v>
      </c>
      <c r="D349">
        <v>17.89</v>
      </c>
    </row>
    <row r="350" spans="1:4">
      <c r="A350" t="s">
        <v>894</v>
      </c>
      <c r="B350" t="s">
        <v>895</v>
      </c>
      <c r="C350" s="14">
        <v>45536</v>
      </c>
      <c r="D350">
        <v>14.97</v>
      </c>
    </row>
    <row r="351" spans="1:4">
      <c r="A351" t="s">
        <v>896</v>
      </c>
      <c r="B351" t="s">
        <v>897</v>
      </c>
      <c r="C351" s="14">
        <v>45536</v>
      </c>
      <c r="D351">
        <v>23.45</v>
      </c>
    </row>
    <row r="352" spans="1:4">
      <c r="A352" t="s">
        <v>898</v>
      </c>
      <c r="B352" t="s">
        <v>899</v>
      </c>
      <c r="C352" s="14">
        <v>45536</v>
      </c>
      <c r="D352">
        <v>40.28</v>
      </c>
    </row>
    <row r="353" spans="1:4">
      <c r="A353" t="s">
        <v>900</v>
      </c>
      <c r="B353" t="s">
        <v>901</v>
      </c>
      <c r="C353" s="14">
        <v>45536</v>
      </c>
      <c r="D353">
        <v>38.36</v>
      </c>
    </row>
    <row r="354" spans="1:4">
      <c r="A354" t="s">
        <v>185</v>
      </c>
      <c r="B354" t="s">
        <v>902</v>
      </c>
      <c r="C354" s="14">
        <v>45536</v>
      </c>
      <c r="D354">
        <v>19.68</v>
      </c>
    </row>
    <row r="355" spans="1:4">
      <c r="A355" t="s">
        <v>903</v>
      </c>
      <c r="B355" t="s">
        <v>904</v>
      </c>
      <c r="C355" s="14">
        <v>45536</v>
      </c>
      <c r="D355">
        <v>21.72</v>
      </c>
    </row>
    <row r="356" spans="1:4">
      <c r="A356" t="s">
        <v>905</v>
      </c>
      <c r="B356" t="s">
        <v>906</v>
      </c>
      <c r="C356" s="14">
        <v>45536</v>
      </c>
      <c r="D356">
        <v>43.45</v>
      </c>
    </row>
    <row r="357" spans="1:4">
      <c r="A357" t="s">
        <v>907</v>
      </c>
      <c r="B357" t="s">
        <v>908</v>
      </c>
      <c r="C357" s="14">
        <v>45536</v>
      </c>
      <c r="D357">
        <v>33.51</v>
      </c>
    </row>
    <row r="358" spans="1:4">
      <c r="A358" t="s">
        <v>909</v>
      </c>
      <c r="B358" t="s">
        <v>910</v>
      </c>
      <c r="C358" s="14">
        <v>45536</v>
      </c>
      <c r="D358">
        <v>61.84</v>
      </c>
    </row>
    <row r="359" spans="1:4">
      <c r="A359" t="s">
        <v>911</v>
      </c>
      <c r="B359" t="s">
        <v>912</v>
      </c>
      <c r="C359" s="14">
        <v>45536</v>
      </c>
      <c r="D359">
        <v>70.34</v>
      </c>
    </row>
    <row r="360" spans="1:4">
      <c r="A360" t="s">
        <v>913</v>
      </c>
      <c r="B360" t="s">
        <v>914</v>
      </c>
      <c r="C360" s="14">
        <v>45536</v>
      </c>
      <c r="D360">
        <v>44.9</v>
      </c>
    </row>
    <row r="361" spans="1:4">
      <c r="A361" t="s">
        <v>915</v>
      </c>
      <c r="B361" t="s">
        <v>912</v>
      </c>
      <c r="C361" s="14">
        <v>45536</v>
      </c>
      <c r="D361">
        <v>70.34</v>
      </c>
    </row>
    <row r="362" spans="1:4">
      <c r="A362" t="s">
        <v>916</v>
      </c>
      <c r="B362" t="s">
        <v>917</v>
      </c>
      <c r="C362" s="14">
        <v>45536</v>
      </c>
      <c r="D362">
        <v>10.05</v>
      </c>
    </row>
    <row r="363" spans="1:4">
      <c r="A363" t="s">
        <v>918</v>
      </c>
      <c r="B363" t="s">
        <v>919</v>
      </c>
      <c r="C363" s="14">
        <v>45536</v>
      </c>
      <c r="D363">
        <v>9.02</v>
      </c>
    </row>
    <row r="364" spans="1:4">
      <c r="A364" t="s">
        <v>920</v>
      </c>
      <c r="B364" t="s">
        <v>921</v>
      </c>
      <c r="C364" s="14">
        <v>45536</v>
      </c>
      <c r="D364">
        <v>11.83</v>
      </c>
    </row>
    <row r="365" spans="1:4">
      <c r="A365" t="s">
        <v>922</v>
      </c>
      <c r="B365" t="s">
        <v>923</v>
      </c>
      <c r="C365" s="14">
        <v>45536</v>
      </c>
      <c r="D365">
        <v>14.4</v>
      </c>
    </row>
    <row r="366" spans="1:4">
      <c r="A366" t="s">
        <v>924</v>
      </c>
      <c r="B366" t="s">
        <v>925</v>
      </c>
      <c r="C366" s="14">
        <v>45536</v>
      </c>
      <c r="D366">
        <v>19.59</v>
      </c>
    </row>
    <row r="367" spans="1:4">
      <c r="A367" t="s">
        <v>926</v>
      </c>
      <c r="B367" t="s">
        <v>927</v>
      </c>
      <c r="C367" s="14">
        <v>45536</v>
      </c>
      <c r="D367">
        <v>9.75</v>
      </c>
    </row>
    <row r="368" spans="1:4">
      <c r="A368" t="s">
        <v>928</v>
      </c>
      <c r="B368" t="s">
        <v>929</v>
      </c>
      <c r="C368" s="14">
        <v>45536</v>
      </c>
      <c r="D368">
        <v>17.42</v>
      </c>
    </row>
    <row r="369" spans="1:4">
      <c r="A369" t="s">
        <v>930</v>
      </c>
      <c r="B369" t="s">
        <v>931</v>
      </c>
      <c r="C369" s="14">
        <v>45536</v>
      </c>
      <c r="D369">
        <v>9.74</v>
      </c>
    </row>
    <row r="370" spans="1:4">
      <c r="A370" t="s">
        <v>932</v>
      </c>
      <c r="B370" t="s">
        <v>933</v>
      </c>
      <c r="C370" s="14">
        <v>45536</v>
      </c>
      <c r="D370">
        <v>13.5</v>
      </c>
    </row>
    <row r="371" spans="1:4">
      <c r="A371" t="s">
        <v>934</v>
      </c>
      <c r="B371" t="s">
        <v>935</v>
      </c>
      <c r="C371" s="14">
        <v>45536</v>
      </c>
      <c r="D371">
        <v>25.47</v>
      </c>
    </row>
    <row r="372" spans="1:4">
      <c r="A372" t="s">
        <v>936</v>
      </c>
      <c r="B372" t="s">
        <v>937</v>
      </c>
      <c r="C372" s="14">
        <v>45536</v>
      </c>
      <c r="D372">
        <v>11.73</v>
      </c>
    </row>
    <row r="373" spans="1:4">
      <c r="A373" t="s">
        <v>938</v>
      </c>
      <c r="B373" t="s">
        <v>939</v>
      </c>
      <c r="C373" s="14">
        <v>45536</v>
      </c>
      <c r="D373">
        <v>22.37</v>
      </c>
    </row>
    <row r="374" spans="1:4">
      <c r="A374" t="s">
        <v>940</v>
      </c>
      <c r="B374" t="s">
        <v>941</v>
      </c>
      <c r="C374" s="14">
        <v>45536</v>
      </c>
      <c r="D374">
        <v>6.13</v>
      </c>
    </row>
    <row r="375" spans="1:4">
      <c r="A375" t="s">
        <v>942</v>
      </c>
      <c r="B375" t="s">
        <v>943</v>
      </c>
      <c r="C375" s="14">
        <v>45536</v>
      </c>
      <c r="D375">
        <v>6.82</v>
      </c>
    </row>
    <row r="376" spans="1:4">
      <c r="A376" t="s">
        <v>944</v>
      </c>
      <c r="B376" t="s">
        <v>945</v>
      </c>
      <c r="C376" s="14">
        <v>45536</v>
      </c>
      <c r="D376">
        <v>8.47</v>
      </c>
    </row>
    <row r="377" spans="1:4">
      <c r="A377" t="s">
        <v>946</v>
      </c>
      <c r="B377" t="s">
        <v>947</v>
      </c>
      <c r="C377" s="14">
        <v>45536</v>
      </c>
      <c r="D377">
        <v>8.47</v>
      </c>
    </row>
    <row r="378" spans="1:4">
      <c r="A378" t="s">
        <v>948</v>
      </c>
      <c r="B378" t="s">
        <v>949</v>
      </c>
      <c r="C378" s="14">
        <v>45536</v>
      </c>
      <c r="D378">
        <v>10.45</v>
      </c>
    </row>
    <row r="379" spans="1:4">
      <c r="A379" t="s">
        <v>950</v>
      </c>
      <c r="B379" t="s">
        <v>951</v>
      </c>
      <c r="C379" s="14">
        <v>45536</v>
      </c>
      <c r="D379">
        <v>12.01</v>
      </c>
    </row>
    <row r="380" spans="1:4">
      <c r="A380" t="s">
        <v>952</v>
      </c>
      <c r="B380" t="s">
        <v>953</v>
      </c>
      <c r="C380" s="14">
        <v>45536</v>
      </c>
      <c r="D380">
        <v>20.59</v>
      </c>
    </row>
    <row r="381" spans="1:4">
      <c r="A381" t="s">
        <v>954</v>
      </c>
      <c r="B381" t="s">
        <v>955</v>
      </c>
      <c r="C381" s="14">
        <v>45538</v>
      </c>
      <c r="D381">
        <v>18.84</v>
      </c>
    </row>
    <row r="382" spans="1:4">
      <c r="A382" t="s">
        <v>956</v>
      </c>
      <c r="B382" t="s">
        <v>957</v>
      </c>
      <c r="C382" s="14">
        <v>45536</v>
      </c>
      <c r="D382">
        <v>16.94</v>
      </c>
    </row>
    <row r="383" spans="1:4">
      <c r="A383" t="s">
        <v>958</v>
      </c>
      <c r="B383" t="s">
        <v>959</v>
      </c>
      <c r="C383" s="14">
        <v>45536</v>
      </c>
      <c r="D383">
        <v>24.55</v>
      </c>
    </row>
    <row r="384" spans="1:4">
      <c r="A384" t="s">
        <v>960</v>
      </c>
      <c r="B384" t="s">
        <v>961</v>
      </c>
      <c r="C384" s="14">
        <v>45536</v>
      </c>
      <c r="D384">
        <v>19.79</v>
      </c>
    </row>
    <row r="385" spans="1:4">
      <c r="A385" t="s">
        <v>962</v>
      </c>
      <c r="B385" t="s">
        <v>963</v>
      </c>
      <c r="C385" s="14">
        <v>45536</v>
      </c>
      <c r="D385">
        <v>37.69</v>
      </c>
    </row>
    <row r="386" spans="1:4">
      <c r="A386" t="s">
        <v>964</v>
      </c>
      <c r="B386" t="s">
        <v>965</v>
      </c>
      <c r="C386" s="14">
        <v>45539</v>
      </c>
      <c r="D386">
        <v>0</v>
      </c>
    </row>
    <row r="387" spans="1:4">
      <c r="A387" t="s">
        <v>236</v>
      </c>
      <c r="B387" t="s">
        <v>966</v>
      </c>
      <c r="C387" s="14">
        <v>45536</v>
      </c>
      <c r="D387">
        <v>17.62</v>
      </c>
    </row>
    <row r="388" spans="1:4">
      <c r="A388" t="s">
        <v>198</v>
      </c>
      <c r="B388" t="s">
        <v>967</v>
      </c>
      <c r="C388" s="14">
        <v>45536</v>
      </c>
      <c r="D388">
        <v>22.64</v>
      </c>
    </row>
    <row r="389" spans="1:4">
      <c r="A389" t="s">
        <v>968</v>
      </c>
      <c r="B389" t="s">
        <v>969</v>
      </c>
      <c r="C389" s="14">
        <v>45536</v>
      </c>
      <c r="D389">
        <v>12.59</v>
      </c>
    </row>
    <row r="390" spans="1:4">
      <c r="A390" t="s">
        <v>970</v>
      </c>
      <c r="B390" t="s">
        <v>971</v>
      </c>
      <c r="C390" s="14">
        <v>45536</v>
      </c>
      <c r="D390">
        <v>9.99</v>
      </c>
    </row>
    <row r="391" spans="1:4">
      <c r="A391" t="s">
        <v>972</v>
      </c>
      <c r="B391" t="s">
        <v>973</v>
      </c>
      <c r="C391" s="14">
        <v>45536</v>
      </c>
      <c r="D391">
        <v>5.19</v>
      </c>
    </row>
    <row r="392" spans="1:4">
      <c r="A392" t="s">
        <v>974</v>
      </c>
      <c r="B392" t="s">
        <v>975</v>
      </c>
      <c r="C392" s="14">
        <v>45536</v>
      </c>
      <c r="D392">
        <v>9.32</v>
      </c>
    </row>
    <row r="393" spans="1:4">
      <c r="A393" t="s">
        <v>976</v>
      </c>
      <c r="B393" t="s">
        <v>977</v>
      </c>
      <c r="C393" s="14">
        <v>45536</v>
      </c>
      <c r="D393">
        <v>2.39</v>
      </c>
    </row>
    <row r="394" spans="1:4">
      <c r="A394" t="s">
        <v>978</v>
      </c>
      <c r="B394" t="s">
        <v>979</v>
      </c>
      <c r="C394" s="14">
        <v>45536</v>
      </c>
      <c r="D394">
        <v>3.28</v>
      </c>
    </row>
    <row r="395" spans="1:4">
      <c r="A395" t="s">
        <v>980</v>
      </c>
      <c r="B395" t="s">
        <v>981</v>
      </c>
      <c r="C395" s="14">
        <v>45536</v>
      </c>
      <c r="D395">
        <v>3.28</v>
      </c>
    </row>
    <row r="396" spans="1:4">
      <c r="A396" t="s">
        <v>982</v>
      </c>
      <c r="B396" t="s">
        <v>983</v>
      </c>
      <c r="C396" s="14">
        <v>45536</v>
      </c>
      <c r="D396">
        <v>1.61</v>
      </c>
    </row>
    <row r="397" spans="1:4">
      <c r="A397" t="s">
        <v>984</v>
      </c>
      <c r="B397" t="s">
        <v>985</v>
      </c>
      <c r="C397" s="14">
        <v>45536</v>
      </c>
      <c r="D397">
        <v>1.61</v>
      </c>
    </row>
    <row r="398" spans="1:4">
      <c r="A398" t="s">
        <v>986</v>
      </c>
      <c r="B398" t="s">
        <v>987</v>
      </c>
      <c r="C398" s="14">
        <v>45536</v>
      </c>
      <c r="D398">
        <v>5.58</v>
      </c>
    </row>
    <row r="399" spans="1:4">
      <c r="A399" t="s">
        <v>988</v>
      </c>
      <c r="B399" t="s">
        <v>989</v>
      </c>
      <c r="C399" s="14">
        <v>45536</v>
      </c>
      <c r="D399">
        <v>7.14</v>
      </c>
    </row>
    <row r="400" spans="1:4">
      <c r="A400" t="s">
        <v>990</v>
      </c>
      <c r="B400" t="s">
        <v>991</v>
      </c>
      <c r="C400" s="14">
        <v>45536</v>
      </c>
      <c r="D400">
        <v>10.9</v>
      </c>
    </row>
    <row r="401" spans="1:4">
      <c r="A401" t="s">
        <v>992</v>
      </c>
      <c r="B401" t="s">
        <v>993</v>
      </c>
      <c r="C401" s="14">
        <v>45536</v>
      </c>
      <c r="D401">
        <v>8.15</v>
      </c>
    </row>
    <row r="402" spans="1:4">
      <c r="A402" t="s">
        <v>994</v>
      </c>
      <c r="B402" t="s">
        <v>995</v>
      </c>
      <c r="C402" s="14">
        <v>45536</v>
      </c>
      <c r="D402">
        <v>11.39</v>
      </c>
    </row>
    <row r="403" spans="1:4">
      <c r="A403" t="s">
        <v>996</v>
      </c>
      <c r="B403" t="s">
        <v>997</v>
      </c>
      <c r="C403" s="14">
        <v>45536</v>
      </c>
      <c r="D403">
        <v>11.93</v>
      </c>
    </row>
    <row r="404" spans="1:4">
      <c r="A404" t="s">
        <v>998</v>
      </c>
      <c r="B404" t="s">
        <v>999</v>
      </c>
      <c r="C404" s="14">
        <v>45536</v>
      </c>
      <c r="D404">
        <v>5.48</v>
      </c>
    </row>
    <row r="405" spans="1:4">
      <c r="A405" t="s">
        <v>1000</v>
      </c>
      <c r="B405" t="s">
        <v>1001</v>
      </c>
      <c r="C405" s="14">
        <v>45536</v>
      </c>
      <c r="D405">
        <v>40.05</v>
      </c>
    </row>
    <row r="406" spans="1:4">
      <c r="A406" t="s">
        <v>1002</v>
      </c>
      <c r="B406" t="s">
        <v>1003</v>
      </c>
      <c r="C406" s="14">
        <v>45536</v>
      </c>
      <c r="D406">
        <v>8.1</v>
      </c>
    </row>
    <row r="407" spans="1:4">
      <c r="A407" t="s">
        <v>1004</v>
      </c>
      <c r="B407" t="s">
        <v>1005</v>
      </c>
      <c r="C407" s="14">
        <v>45536</v>
      </c>
      <c r="D407">
        <v>10.46</v>
      </c>
    </row>
    <row r="408" spans="1:4">
      <c r="A408" t="s">
        <v>1006</v>
      </c>
      <c r="B408" t="s">
        <v>1007</v>
      </c>
      <c r="C408" s="14">
        <v>45536</v>
      </c>
      <c r="D408">
        <v>8.08</v>
      </c>
    </row>
    <row r="409" spans="1:4">
      <c r="A409" t="s">
        <v>1008</v>
      </c>
      <c r="B409" t="s">
        <v>1009</v>
      </c>
      <c r="C409" s="14">
        <v>45536</v>
      </c>
      <c r="D409">
        <v>9.09</v>
      </c>
    </row>
    <row r="410" spans="1:4">
      <c r="A410" t="s">
        <v>1010</v>
      </c>
      <c r="B410" t="s">
        <v>1011</v>
      </c>
      <c r="C410" s="14">
        <v>45536</v>
      </c>
      <c r="D410">
        <v>4.56</v>
      </c>
    </row>
    <row r="411" spans="1:4">
      <c r="A411" t="s">
        <v>1012</v>
      </c>
      <c r="B411" t="s">
        <v>1013</v>
      </c>
      <c r="C411" s="14">
        <v>45536</v>
      </c>
      <c r="D411">
        <v>13.78</v>
      </c>
    </row>
    <row r="412" spans="1:4">
      <c r="A412" t="s">
        <v>1014</v>
      </c>
      <c r="B412" t="s">
        <v>1015</v>
      </c>
      <c r="C412" s="14">
        <v>45536</v>
      </c>
      <c r="D412">
        <v>8.54</v>
      </c>
    </row>
    <row r="413" spans="1:4">
      <c r="A413" t="s">
        <v>1016</v>
      </c>
      <c r="B413" t="s">
        <v>1017</v>
      </c>
      <c r="C413" s="14">
        <v>45536</v>
      </c>
      <c r="D413">
        <v>14.7</v>
      </c>
    </row>
    <row r="414" spans="1:4">
      <c r="A414" t="s">
        <v>1018</v>
      </c>
      <c r="B414" t="s">
        <v>1019</v>
      </c>
      <c r="C414" s="14">
        <v>45536</v>
      </c>
      <c r="D414">
        <v>13.68</v>
      </c>
    </row>
    <row r="415" spans="1:4">
      <c r="A415" t="s">
        <v>1020</v>
      </c>
      <c r="B415" t="s">
        <v>1021</v>
      </c>
      <c r="C415" s="14">
        <v>45536</v>
      </c>
      <c r="D415">
        <v>4.46</v>
      </c>
    </row>
    <row r="416" spans="1:4">
      <c r="A416" t="s">
        <v>1022</v>
      </c>
      <c r="B416" t="s">
        <v>1023</v>
      </c>
      <c r="C416" s="14">
        <v>45536</v>
      </c>
      <c r="D416">
        <v>11.55</v>
      </c>
    </row>
    <row r="417" spans="1:4">
      <c r="A417" t="s">
        <v>1024</v>
      </c>
      <c r="B417" t="s">
        <v>1025</v>
      </c>
      <c r="C417" s="14">
        <v>45536</v>
      </c>
      <c r="D417">
        <v>4.17</v>
      </c>
    </row>
    <row r="418" spans="1:4">
      <c r="A418" t="s">
        <v>1026</v>
      </c>
      <c r="B418" t="s">
        <v>1027</v>
      </c>
      <c r="C418" s="14">
        <v>45536</v>
      </c>
      <c r="D418">
        <v>9.53</v>
      </c>
    </row>
    <row r="419" spans="1:4">
      <c r="A419" t="s">
        <v>1028</v>
      </c>
      <c r="B419" t="s">
        <v>1029</v>
      </c>
      <c r="C419" s="14">
        <v>45536</v>
      </c>
      <c r="D419">
        <v>1.27</v>
      </c>
    </row>
    <row r="420" spans="1:4">
      <c r="A420" t="s">
        <v>1030</v>
      </c>
      <c r="B420" t="s">
        <v>1031</v>
      </c>
      <c r="C420" s="14">
        <v>45536</v>
      </c>
      <c r="D420">
        <v>3.86</v>
      </c>
    </row>
    <row r="421" spans="1:4">
      <c r="A421" t="s">
        <v>1032</v>
      </c>
      <c r="B421" t="s">
        <v>1033</v>
      </c>
      <c r="C421" s="14">
        <v>45536</v>
      </c>
      <c r="D421">
        <v>7.45</v>
      </c>
    </row>
    <row r="422" spans="1:4">
      <c r="A422" t="s">
        <v>1034</v>
      </c>
      <c r="B422" t="s">
        <v>1035</v>
      </c>
      <c r="C422" s="14">
        <v>45536</v>
      </c>
      <c r="D422">
        <v>4.88</v>
      </c>
    </row>
    <row r="423" spans="1:4">
      <c r="A423" t="s">
        <v>1036</v>
      </c>
      <c r="B423" t="s">
        <v>1037</v>
      </c>
      <c r="C423" s="14">
        <v>45536</v>
      </c>
      <c r="D423">
        <v>13.39</v>
      </c>
    </row>
    <row r="424" spans="1:4">
      <c r="A424" t="s">
        <v>1038</v>
      </c>
      <c r="B424" t="s">
        <v>1039</v>
      </c>
      <c r="C424" s="14">
        <v>45536</v>
      </c>
      <c r="D424">
        <v>23.36</v>
      </c>
    </row>
    <row r="425" spans="1:4">
      <c r="A425" t="s">
        <v>1040</v>
      </c>
      <c r="B425" t="s">
        <v>1041</v>
      </c>
      <c r="C425" s="14">
        <v>45536</v>
      </c>
      <c r="D425">
        <v>21.43</v>
      </c>
    </row>
    <row r="426" spans="1:4">
      <c r="A426" t="s">
        <v>1042</v>
      </c>
      <c r="B426" t="s">
        <v>1043</v>
      </c>
      <c r="C426" s="14">
        <v>45536</v>
      </c>
      <c r="D426">
        <v>9.26</v>
      </c>
    </row>
    <row r="427" spans="1:4">
      <c r="A427" t="s">
        <v>1044</v>
      </c>
      <c r="B427" t="s">
        <v>1045</v>
      </c>
      <c r="C427" s="14">
        <v>45536</v>
      </c>
      <c r="D427">
        <v>20.59</v>
      </c>
    </row>
    <row r="428" spans="1:4">
      <c r="A428" t="s">
        <v>1046</v>
      </c>
      <c r="B428" t="s">
        <v>1047</v>
      </c>
      <c r="C428" s="14">
        <v>45536</v>
      </c>
      <c r="D428">
        <v>12.9</v>
      </c>
    </row>
    <row r="429" spans="1:4">
      <c r="A429" t="s">
        <v>1048</v>
      </c>
      <c r="B429" t="s">
        <v>1049</v>
      </c>
      <c r="C429" s="14">
        <v>45536</v>
      </c>
      <c r="D429">
        <v>18.87</v>
      </c>
    </row>
    <row r="430" spans="1:4">
      <c r="A430" t="s">
        <v>1050</v>
      </c>
      <c r="B430" t="s">
        <v>1051</v>
      </c>
      <c r="C430" s="14">
        <v>45536</v>
      </c>
      <c r="D430">
        <v>19.42</v>
      </c>
    </row>
    <row r="431" spans="1:4">
      <c r="A431" t="s">
        <v>1052</v>
      </c>
      <c r="B431" t="s">
        <v>1053</v>
      </c>
      <c r="C431" s="14">
        <v>45536</v>
      </c>
      <c r="D431">
        <v>27.88</v>
      </c>
    </row>
    <row r="432" spans="1:4">
      <c r="A432" t="s">
        <v>1054</v>
      </c>
      <c r="B432" t="s">
        <v>1055</v>
      </c>
      <c r="C432" s="14">
        <v>45536</v>
      </c>
      <c r="D432">
        <v>3.47</v>
      </c>
    </row>
    <row r="433" spans="1:4">
      <c r="A433" t="s">
        <v>1056</v>
      </c>
      <c r="B433" t="s">
        <v>1057</v>
      </c>
      <c r="C433" s="14">
        <v>45536</v>
      </c>
      <c r="D433">
        <v>21.69</v>
      </c>
    </row>
    <row r="434" spans="1:4">
      <c r="A434" t="s">
        <v>1058</v>
      </c>
      <c r="B434" t="s">
        <v>1059</v>
      </c>
      <c r="C434" s="14">
        <v>45536</v>
      </c>
      <c r="D434">
        <v>20.59</v>
      </c>
    </row>
    <row r="435" spans="1:4">
      <c r="A435" t="s">
        <v>1060</v>
      </c>
      <c r="B435" t="s">
        <v>1061</v>
      </c>
      <c r="C435" s="14">
        <v>45536</v>
      </c>
      <c r="D435">
        <v>11.51</v>
      </c>
    </row>
    <row r="436" spans="1:4">
      <c r="A436" t="s">
        <v>1062</v>
      </c>
      <c r="B436" t="s">
        <v>1063</v>
      </c>
      <c r="C436" s="14">
        <v>45536</v>
      </c>
      <c r="D436">
        <v>14.8</v>
      </c>
    </row>
    <row r="437" spans="1:4">
      <c r="A437" t="s">
        <v>1064</v>
      </c>
      <c r="B437" t="s">
        <v>1065</v>
      </c>
      <c r="C437" s="14">
        <v>45536</v>
      </c>
      <c r="D437">
        <v>10.62</v>
      </c>
    </row>
    <row r="438" spans="1:4">
      <c r="A438" t="s">
        <v>1066</v>
      </c>
      <c r="B438" t="s">
        <v>1067</v>
      </c>
      <c r="C438" s="14">
        <v>45536</v>
      </c>
      <c r="D438">
        <v>17.46</v>
      </c>
    </row>
    <row r="439" spans="1:4">
      <c r="A439" t="s">
        <v>1068</v>
      </c>
      <c r="B439" t="s">
        <v>1069</v>
      </c>
      <c r="C439" s="14">
        <v>45536</v>
      </c>
      <c r="D439">
        <v>11.58</v>
      </c>
    </row>
    <row r="440" spans="1:4">
      <c r="A440" t="s">
        <v>1070</v>
      </c>
      <c r="B440" t="s">
        <v>1071</v>
      </c>
      <c r="C440" s="14">
        <v>45536</v>
      </c>
      <c r="D440">
        <v>14.06</v>
      </c>
    </row>
    <row r="441" spans="1:4">
      <c r="A441" t="s">
        <v>1072</v>
      </c>
      <c r="B441" t="s">
        <v>1073</v>
      </c>
      <c r="C441" s="14">
        <v>45536</v>
      </c>
      <c r="D441">
        <v>4.99</v>
      </c>
    </row>
    <row r="442" spans="1:4">
      <c r="A442" t="s">
        <v>1074</v>
      </c>
      <c r="B442" t="s">
        <v>1075</v>
      </c>
      <c r="C442" s="14">
        <v>45536</v>
      </c>
      <c r="D442">
        <v>4.74</v>
      </c>
    </row>
    <row r="443" spans="1:4">
      <c r="A443" t="s">
        <v>1076</v>
      </c>
      <c r="B443" t="s">
        <v>1077</v>
      </c>
      <c r="C443" s="14">
        <v>45536</v>
      </c>
      <c r="D443">
        <v>3.59</v>
      </c>
    </row>
    <row r="444" spans="1:4">
      <c r="A444" t="s">
        <v>1078</v>
      </c>
      <c r="B444" t="s">
        <v>1079</v>
      </c>
      <c r="C444" s="14">
        <v>45536</v>
      </c>
      <c r="D444">
        <v>15.28</v>
      </c>
    </row>
    <row r="445" spans="1:4">
      <c r="A445" t="s">
        <v>1080</v>
      </c>
      <c r="B445" t="s">
        <v>1081</v>
      </c>
      <c r="C445" s="14">
        <v>45536</v>
      </c>
      <c r="D445">
        <v>15.01</v>
      </c>
    </row>
    <row r="446" spans="1:4">
      <c r="A446" t="s">
        <v>1082</v>
      </c>
      <c r="B446" t="s">
        <v>1083</v>
      </c>
      <c r="C446" s="14">
        <v>45536</v>
      </c>
      <c r="D446">
        <v>3.85</v>
      </c>
    </row>
    <row r="447" spans="1:4">
      <c r="A447" t="s">
        <v>1084</v>
      </c>
      <c r="B447" t="s">
        <v>1085</v>
      </c>
      <c r="C447" s="14">
        <v>45536</v>
      </c>
      <c r="D447">
        <v>11.14</v>
      </c>
    </row>
    <row r="448" spans="1:4">
      <c r="A448" t="s">
        <v>1086</v>
      </c>
      <c r="B448" t="s">
        <v>1087</v>
      </c>
      <c r="C448" s="14">
        <v>45536</v>
      </c>
      <c r="D448">
        <v>15.98</v>
      </c>
    </row>
    <row r="449" spans="1:4">
      <c r="A449" t="s">
        <v>1088</v>
      </c>
      <c r="B449" t="s">
        <v>1089</v>
      </c>
      <c r="C449" s="14">
        <v>45536</v>
      </c>
      <c r="D449">
        <v>17.46</v>
      </c>
    </row>
    <row r="450" spans="1:4">
      <c r="A450" t="s">
        <v>1090</v>
      </c>
      <c r="B450" t="s">
        <v>1091</v>
      </c>
      <c r="C450" s="14">
        <v>45536</v>
      </c>
      <c r="D450">
        <v>38.2</v>
      </c>
    </row>
    <row r="451" spans="1:4">
      <c r="A451" t="s">
        <v>1092</v>
      </c>
      <c r="B451" t="s">
        <v>1093</v>
      </c>
      <c r="C451" s="14">
        <v>45536</v>
      </c>
      <c r="D451">
        <v>11.46</v>
      </c>
    </row>
    <row r="452" spans="1:4">
      <c r="A452" t="s">
        <v>1094</v>
      </c>
      <c r="B452" t="s">
        <v>1095</v>
      </c>
      <c r="C452" s="14">
        <v>45536</v>
      </c>
      <c r="D452">
        <v>22.77</v>
      </c>
    </row>
    <row r="453" spans="1:4">
      <c r="A453" t="s">
        <v>1096</v>
      </c>
      <c r="B453" t="s">
        <v>1097</v>
      </c>
      <c r="C453" s="14">
        <v>45536</v>
      </c>
      <c r="D453">
        <v>10.86</v>
      </c>
    </row>
    <row r="454" spans="1:4">
      <c r="A454" t="s">
        <v>1098</v>
      </c>
      <c r="B454" t="s">
        <v>1099</v>
      </c>
      <c r="C454" s="14">
        <v>45536</v>
      </c>
      <c r="D454">
        <v>4.38</v>
      </c>
    </row>
    <row r="455" spans="1:4">
      <c r="A455" t="s">
        <v>1100</v>
      </c>
      <c r="B455" t="s">
        <v>1101</v>
      </c>
      <c r="C455" s="14">
        <v>45536</v>
      </c>
      <c r="D455">
        <v>8.42</v>
      </c>
    </row>
    <row r="456" spans="1:4">
      <c r="A456" t="s">
        <v>1102</v>
      </c>
      <c r="B456" t="s">
        <v>1103</v>
      </c>
      <c r="C456" s="14">
        <v>45536</v>
      </c>
      <c r="D456">
        <v>21.03</v>
      </c>
    </row>
    <row r="457" spans="1:4">
      <c r="A457" t="s">
        <v>1104</v>
      </c>
      <c r="B457" t="s">
        <v>1105</v>
      </c>
      <c r="C457" s="14">
        <v>45536</v>
      </c>
      <c r="D457">
        <v>7.4</v>
      </c>
    </row>
    <row r="458" spans="1:4">
      <c r="A458" t="s">
        <v>1106</v>
      </c>
      <c r="B458" t="s">
        <v>1107</v>
      </c>
      <c r="C458" s="14">
        <v>45536</v>
      </c>
      <c r="D458">
        <v>15.75</v>
      </c>
    </row>
    <row r="459" spans="1:4">
      <c r="A459" t="s">
        <v>1108</v>
      </c>
      <c r="B459" t="s">
        <v>1109</v>
      </c>
      <c r="C459" s="14">
        <v>45536</v>
      </c>
      <c r="D459">
        <v>51.28</v>
      </c>
    </row>
    <row r="460" spans="1:4">
      <c r="A460" t="s">
        <v>1110</v>
      </c>
      <c r="B460" t="s">
        <v>1111</v>
      </c>
      <c r="C460" s="14">
        <v>45536</v>
      </c>
      <c r="D460">
        <v>9.5</v>
      </c>
    </row>
    <row r="461" spans="1:4">
      <c r="A461" t="s">
        <v>1112</v>
      </c>
      <c r="B461" t="s">
        <v>1113</v>
      </c>
      <c r="C461" s="14">
        <v>45536</v>
      </c>
      <c r="D461">
        <v>10.63</v>
      </c>
    </row>
    <row r="462" spans="1:4">
      <c r="A462" t="s">
        <v>1114</v>
      </c>
      <c r="B462" t="s">
        <v>1115</v>
      </c>
      <c r="C462" s="14">
        <v>45536</v>
      </c>
      <c r="D462">
        <v>16.79</v>
      </c>
    </row>
    <row r="463" spans="1:4">
      <c r="A463" t="s">
        <v>1116</v>
      </c>
      <c r="B463" t="s">
        <v>1117</v>
      </c>
      <c r="C463" s="14">
        <v>45536</v>
      </c>
      <c r="D463">
        <v>6.62</v>
      </c>
    </row>
    <row r="464" spans="1:4">
      <c r="A464" t="s">
        <v>1118</v>
      </c>
      <c r="B464" t="s">
        <v>1119</v>
      </c>
      <c r="C464" s="14">
        <v>45536</v>
      </c>
      <c r="D464">
        <v>15.01</v>
      </c>
    </row>
    <row r="465" spans="1:4">
      <c r="A465" t="s">
        <v>1120</v>
      </c>
      <c r="B465" t="s">
        <v>1121</v>
      </c>
      <c r="C465" s="14">
        <v>45536</v>
      </c>
      <c r="D465">
        <v>17.46</v>
      </c>
    </row>
    <row r="466" spans="1:4">
      <c r="A466" t="s">
        <v>1122</v>
      </c>
      <c r="B466" t="s">
        <v>1123</v>
      </c>
      <c r="C466" s="14">
        <v>45536</v>
      </c>
      <c r="D466">
        <v>13.43</v>
      </c>
    </row>
    <row r="467" spans="1:4">
      <c r="A467" t="s">
        <v>1124</v>
      </c>
      <c r="B467" t="s">
        <v>1125</v>
      </c>
      <c r="C467" s="14">
        <v>45536</v>
      </c>
      <c r="D467">
        <v>4.74</v>
      </c>
    </row>
    <row r="468" spans="1:4">
      <c r="A468" t="s">
        <v>1126</v>
      </c>
      <c r="B468" t="s">
        <v>1127</v>
      </c>
      <c r="C468" s="14">
        <v>45536</v>
      </c>
      <c r="D468">
        <v>7.21</v>
      </c>
    </row>
    <row r="469" spans="1:4">
      <c r="A469" t="s">
        <v>1128</v>
      </c>
      <c r="B469" t="s">
        <v>1129</v>
      </c>
      <c r="C469" s="14">
        <v>45536</v>
      </c>
      <c r="D469">
        <v>10.6</v>
      </c>
    </row>
    <row r="470" spans="1:4">
      <c r="A470" t="s">
        <v>1130</v>
      </c>
      <c r="B470" t="s">
        <v>1131</v>
      </c>
      <c r="C470" s="14">
        <v>45536</v>
      </c>
      <c r="D470">
        <v>21.71</v>
      </c>
    </row>
    <row r="471" spans="1:4">
      <c r="A471" t="s">
        <v>1132</v>
      </c>
      <c r="B471" t="s">
        <v>1133</v>
      </c>
      <c r="C471" s="14">
        <v>45536</v>
      </c>
      <c r="D471">
        <v>74.29</v>
      </c>
    </row>
    <row r="472" spans="1:4">
      <c r="A472" t="s">
        <v>1134</v>
      </c>
      <c r="B472" t="s">
        <v>1135</v>
      </c>
      <c r="C472" s="14">
        <v>45536</v>
      </c>
      <c r="D472">
        <v>77.98</v>
      </c>
    </row>
    <row r="473" spans="1:4">
      <c r="A473" t="s">
        <v>1136</v>
      </c>
      <c r="B473" t="s">
        <v>1137</v>
      </c>
      <c r="C473" s="14">
        <v>45536</v>
      </c>
      <c r="D473">
        <v>31.33</v>
      </c>
    </row>
    <row r="474" spans="1:4">
      <c r="A474" t="s">
        <v>1138</v>
      </c>
      <c r="B474" t="s">
        <v>1139</v>
      </c>
      <c r="C474" s="14">
        <v>45536</v>
      </c>
      <c r="D474">
        <v>34.61</v>
      </c>
    </row>
    <row r="475" spans="1:4">
      <c r="A475" t="s">
        <v>1140</v>
      </c>
      <c r="B475" t="s">
        <v>1141</v>
      </c>
      <c r="C475" s="14">
        <v>45536</v>
      </c>
      <c r="D475">
        <v>19.26</v>
      </c>
    </row>
    <row r="476" spans="1:4">
      <c r="A476" t="s">
        <v>1142</v>
      </c>
      <c r="B476" t="s">
        <v>1143</v>
      </c>
      <c r="C476" s="14">
        <v>45536</v>
      </c>
      <c r="D476">
        <v>39.84</v>
      </c>
    </row>
    <row r="477" spans="1:4">
      <c r="A477" t="s">
        <v>1144</v>
      </c>
      <c r="B477" t="s">
        <v>1145</v>
      </c>
      <c r="C477" s="14">
        <v>45536</v>
      </c>
      <c r="D477">
        <v>42.41</v>
      </c>
    </row>
    <row r="478" spans="1:4">
      <c r="A478" t="s">
        <v>1146</v>
      </c>
      <c r="B478" t="s">
        <v>1147</v>
      </c>
      <c r="C478" s="14">
        <v>45536</v>
      </c>
      <c r="D478">
        <v>60.8</v>
      </c>
    </row>
    <row r="479" spans="1:4">
      <c r="A479" t="s">
        <v>1148</v>
      </c>
      <c r="B479" t="s">
        <v>1149</v>
      </c>
      <c r="C479" s="14">
        <v>45536</v>
      </c>
      <c r="D479">
        <v>17.59</v>
      </c>
    </row>
    <row r="480" spans="1:4">
      <c r="A480" t="s">
        <v>1150</v>
      </c>
      <c r="B480" t="s">
        <v>1151</v>
      </c>
      <c r="C480" s="14">
        <v>45536</v>
      </c>
      <c r="D480">
        <v>8.73</v>
      </c>
    </row>
    <row r="481" spans="1:4">
      <c r="A481" t="s">
        <v>1152</v>
      </c>
      <c r="B481" t="s">
        <v>1153</v>
      </c>
      <c r="C481" s="14">
        <v>45536</v>
      </c>
      <c r="D481">
        <v>4.82</v>
      </c>
    </row>
    <row r="482" spans="1:4">
      <c r="A482" t="s">
        <v>1154</v>
      </c>
      <c r="B482" t="s">
        <v>1155</v>
      </c>
      <c r="C482" s="14">
        <v>45536</v>
      </c>
      <c r="D482">
        <v>4.82</v>
      </c>
    </row>
    <row r="483" spans="1:4">
      <c r="A483" t="s">
        <v>1156</v>
      </c>
      <c r="B483" t="s">
        <v>1157</v>
      </c>
      <c r="C483" s="14">
        <v>45536</v>
      </c>
      <c r="D483">
        <v>7.37</v>
      </c>
    </row>
    <row r="484" spans="1:4">
      <c r="A484" t="s">
        <v>1158</v>
      </c>
      <c r="B484" t="s">
        <v>1159</v>
      </c>
      <c r="C484" s="14">
        <v>45536</v>
      </c>
      <c r="D484">
        <v>10.6</v>
      </c>
    </row>
    <row r="485" spans="1:4">
      <c r="A485" t="s">
        <v>1160</v>
      </c>
      <c r="B485" t="s">
        <v>1161</v>
      </c>
      <c r="C485" s="14">
        <v>45536</v>
      </c>
      <c r="D485">
        <v>15.69</v>
      </c>
    </row>
    <row r="486" spans="1:4">
      <c r="A486" t="s">
        <v>1162</v>
      </c>
      <c r="B486" t="s">
        <v>1163</v>
      </c>
      <c r="C486" s="14">
        <v>45536</v>
      </c>
      <c r="D486">
        <v>50.7</v>
      </c>
    </row>
    <row r="487" spans="1:4">
      <c r="A487" t="s">
        <v>1164</v>
      </c>
      <c r="B487" t="s">
        <v>1165</v>
      </c>
      <c r="C487" s="14">
        <v>45536</v>
      </c>
      <c r="D487">
        <v>11.43</v>
      </c>
    </row>
    <row r="488" spans="1:4">
      <c r="A488" t="s">
        <v>1166</v>
      </c>
      <c r="B488" t="s">
        <v>1167</v>
      </c>
      <c r="C488" s="14">
        <v>45536</v>
      </c>
      <c r="D488">
        <v>11.43</v>
      </c>
    </row>
    <row r="489" spans="1:4">
      <c r="A489" t="s">
        <v>1168</v>
      </c>
      <c r="B489" t="s">
        <v>1169</v>
      </c>
      <c r="C489" s="14">
        <v>45536</v>
      </c>
      <c r="D489">
        <v>11.43</v>
      </c>
    </row>
    <row r="490" spans="1:4">
      <c r="A490" t="s">
        <v>1170</v>
      </c>
      <c r="B490" t="s">
        <v>1171</v>
      </c>
      <c r="C490" s="14">
        <v>45536</v>
      </c>
      <c r="D490">
        <v>24.78</v>
      </c>
    </row>
    <row r="491" spans="1:4">
      <c r="A491" t="s">
        <v>1172</v>
      </c>
      <c r="B491" t="s">
        <v>1173</v>
      </c>
      <c r="C491" s="14">
        <v>45536</v>
      </c>
      <c r="D491">
        <v>22.76</v>
      </c>
    </row>
    <row r="492" spans="1:4">
      <c r="A492" t="s">
        <v>1174</v>
      </c>
      <c r="B492" t="s">
        <v>1175</v>
      </c>
      <c r="C492" s="14">
        <v>45536</v>
      </c>
      <c r="D492">
        <v>9.85</v>
      </c>
    </row>
    <row r="493" spans="1:4">
      <c r="A493" t="s">
        <v>1176</v>
      </c>
      <c r="B493" t="s">
        <v>1177</v>
      </c>
      <c r="C493" s="14">
        <v>45536</v>
      </c>
      <c r="D493">
        <v>15.75</v>
      </c>
    </row>
    <row r="494" spans="1:4">
      <c r="A494" t="s">
        <v>1178</v>
      </c>
      <c r="B494" t="s">
        <v>1179</v>
      </c>
      <c r="C494" s="14">
        <v>45536</v>
      </c>
      <c r="D494">
        <v>11.58</v>
      </c>
    </row>
    <row r="495" spans="1:4">
      <c r="A495" t="s">
        <v>1180</v>
      </c>
      <c r="B495" t="s">
        <v>1181</v>
      </c>
      <c r="C495" s="14">
        <v>45536</v>
      </c>
      <c r="D495">
        <v>12.05</v>
      </c>
    </row>
    <row r="496" spans="1:4">
      <c r="A496" t="s">
        <v>1182</v>
      </c>
      <c r="B496" t="s">
        <v>1183</v>
      </c>
      <c r="C496" s="14">
        <v>45536</v>
      </c>
      <c r="D496">
        <v>19.23</v>
      </c>
    </row>
    <row r="497" spans="1:4">
      <c r="A497" t="s">
        <v>1184</v>
      </c>
      <c r="B497" t="s">
        <v>1185</v>
      </c>
      <c r="C497" s="14">
        <v>45536</v>
      </c>
      <c r="D497">
        <v>14.03</v>
      </c>
    </row>
    <row r="498" spans="1:4">
      <c r="A498" t="s">
        <v>1186</v>
      </c>
      <c r="B498" t="s">
        <v>1187</v>
      </c>
      <c r="C498" s="14">
        <v>45536</v>
      </c>
      <c r="D498">
        <v>38.33</v>
      </c>
    </row>
    <row r="499" spans="1:4">
      <c r="A499" t="s">
        <v>1188</v>
      </c>
      <c r="B499" t="s">
        <v>1189</v>
      </c>
      <c r="C499" s="14">
        <v>45536</v>
      </c>
      <c r="D499">
        <v>41.19</v>
      </c>
    </row>
    <row r="500" spans="1:4">
      <c r="A500" t="s">
        <v>1190</v>
      </c>
      <c r="B500" t="s">
        <v>1191</v>
      </c>
      <c r="C500" s="14">
        <v>45536</v>
      </c>
      <c r="D500">
        <v>43.45</v>
      </c>
    </row>
    <row r="501" spans="1:4">
      <c r="A501" t="s">
        <v>1192</v>
      </c>
      <c r="B501" t="s">
        <v>1193</v>
      </c>
      <c r="C501" s="14">
        <v>45536</v>
      </c>
      <c r="D501">
        <v>20.73</v>
      </c>
    </row>
    <row r="502" spans="1:4">
      <c r="A502" t="s">
        <v>1194</v>
      </c>
      <c r="B502" t="s">
        <v>1195</v>
      </c>
      <c r="C502" s="14">
        <v>45536</v>
      </c>
      <c r="D502">
        <v>53.85</v>
      </c>
    </row>
    <row r="503" spans="1:4">
      <c r="A503" t="s">
        <v>1196</v>
      </c>
      <c r="B503" t="s">
        <v>1197</v>
      </c>
      <c r="C503" s="14">
        <v>45536</v>
      </c>
      <c r="D503">
        <v>24.68</v>
      </c>
    </row>
    <row r="504" spans="1:4">
      <c r="A504" t="s">
        <v>1198</v>
      </c>
      <c r="B504" t="s">
        <v>1199</v>
      </c>
      <c r="C504" s="14">
        <v>45536</v>
      </c>
      <c r="D504">
        <v>20.12</v>
      </c>
    </row>
    <row r="505" spans="1:4">
      <c r="A505" t="s">
        <v>1200</v>
      </c>
      <c r="B505" t="s">
        <v>1201</v>
      </c>
      <c r="C505" s="14">
        <v>45536</v>
      </c>
      <c r="D505">
        <v>27.26</v>
      </c>
    </row>
    <row r="506" spans="1:4">
      <c r="A506" t="s">
        <v>1202</v>
      </c>
      <c r="B506" t="s">
        <v>1203</v>
      </c>
      <c r="C506" s="14">
        <v>45536</v>
      </c>
      <c r="D506">
        <v>29.17</v>
      </c>
    </row>
    <row r="507" spans="1:4">
      <c r="A507" t="s">
        <v>1204</v>
      </c>
      <c r="B507" t="s">
        <v>1205</v>
      </c>
      <c r="C507" s="14">
        <v>45536</v>
      </c>
      <c r="D507">
        <v>9.86</v>
      </c>
    </row>
    <row r="508" spans="1:4">
      <c r="A508" t="s">
        <v>1206</v>
      </c>
      <c r="B508" t="s">
        <v>1207</v>
      </c>
      <c r="C508" s="14">
        <v>45536</v>
      </c>
      <c r="D508">
        <v>20.12</v>
      </c>
    </row>
    <row r="509" spans="1:4">
      <c r="A509" t="s">
        <v>1208</v>
      </c>
      <c r="B509" t="s">
        <v>1209</v>
      </c>
      <c r="C509" s="14">
        <v>45536</v>
      </c>
      <c r="D509">
        <v>27.05</v>
      </c>
    </row>
    <row r="510" spans="1:4">
      <c r="A510" t="s">
        <v>1210</v>
      </c>
      <c r="B510" t="s">
        <v>1211</v>
      </c>
      <c r="C510" s="14">
        <v>45536</v>
      </c>
      <c r="D510">
        <v>25.25</v>
      </c>
    </row>
    <row r="511" spans="1:4">
      <c r="A511" t="s">
        <v>1212</v>
      </c>
      <c r="B511" t="s">
        <v>1213</v>
      </c>
      <c r="C511" s="14">
        <v>45536</v>
      </c>
      <c r="D511">
        <v>27.05</v>
      </c>
    </row>
    <row r="512" spans="1:4">
      <c r="A512" t="s">
        <v>1214</v>
      </c>
      <c r="B512" t="s">
        <v>1215</v>
      </c>
      <c r="C512" s="14">
        <v>45536</v>
      </c>
      <c r="D512">
        <v>8.41</v>
      </c>
    </row>
    <row r="513" spans="1:4">
      <c r="A513" t="s">
        <v>1216</v>
      </c>
      <c r="B513" t="s">
        <v>1217</v>
      </c>
      <c r="C513" s="14">
        <v>45536</v>
      </c>
      <c r="D513">
        <v>23.51</v>
      </c>
    </row>
    <row r="514" spans="1:4">
      <c r="A514" t="s">
        <v>1218</v>
      </c>
      <c r="B514" t="s">
        <v>1219</v>
      </c>
      <c r="C514" s="14">
        <v>45536</v>
      </c>
      <c r="D514">
        <v>64.22</v>
      </c>
    </row>
    <row r="515" spans="1:4">
      <c r="A515" t="s">
        <v>1220</v>
      </c>
      <c r="B515" t="s">
        <v>1221</v>
      </c>
      <c r="C515" s="14">
        <v>45536</v>
      </c>
      <c r="D515">
        <v>32.4</v>
      </c>
    </row>
    <row r="516" spans="1:4">
      <c r="A516" t="s">
        <v>1222</v>
      </c>
      <c r="B516" t="s">
        <v>1223</v>
      </c>
      <c r="C516" s="14">
        <v>45536</v>
      </c>
      <c r="D516">
        <v>16.6</v>
      </c>
    </row>
    <row r="517" spans="1:4">
      <c r="A517" t="s">
        <v>1224</v>
      </c>
      <c r="B517" t="s">
        <v>1225</v>
      </c>
      <c r="C517" s="14">
        <v>45536</v>
      </c>
      <c r="D517">
        <v>17.23</v>
      </c>
    </row>
    <row r="518" spans="1:4">
      <c r="A518" t="s">
        <v>1226</v>
      </c>
      <c r="B518" t="s">
        <v>1227</v>
      </c>
      <c r="C518" s="14">
        <v>45536</v>
      </c>
      <c r="D518">
        <v>29.87</v>
      </c>
    </row>
    <row r="519" spans="1:4">
      <c r="A519" t="s">
        <v>1228</v>
      </c>
      <c r="B519" t="s">
        <v>1229</v>
      </c>
      <c r="C519" s="14">
        <v>45536</v>
      </c>
      <c r="D519">
        <v>29.78</v>
      </c>
    </row>
    <row r="520" spans="1:4">
      <c r="A520" t="s">
        <v>1230</v>
      </c>
      <c r="B520" t="s">
        <v>1231</v>
      </c>
      <c r="C520" s="14">
        <v>45536</v>
      </c>
      <c r="D520">
        <v>29.87</v>
      </c>
    </row>
    <row r="521" spans="1:4">
      <c r="A521" t="s">
        <v>1232</v>
      </c>
      <c r="B521" t="s">
        <v>1233</v>
      </c>
      <c r="C521" s="14">
        <v>45536</v>
      </c>
      <c r="D521">
        <v>29.78</v>
      </c>
    </row>
    <row r="522" spans="1:4">
      <c r="A522" t="s">
        <v>1234</v>
      </c>
      <c r="B522" t="s">
        <v>1235</v>
      </c>
      <c r="C522" s="14">
        <v>45536</v>
      </c>
      <c r="D522">
        <v>22.64</v>
      </c>
    </row>
    <row r="523" spans="1:4">
      <c r="A523" t="s">
        <v>1236</v>
      </c>
      <c r="B523" t="s">
        <v>1237</v>
      </c>
      <c r="C523" s="14">
        <v>45536</v>
      </c>
      <c r="D523">
        <v>20.67</v>
      </c>
    </row>
    <row r="524" spans="1:4">
      <c r="A524" t="s">
        <v>1238</v>
      </c>
      <c r="B524" t="s">
        <v>1239</v>
      </c>
      <c r="C524" s="14">
        <v>45536</v>
      </c>
      <c r="D524">
        <v>6.76</v>
      </c>
    </row>
    <row r="525" spans="1:4">
      <c r="A525" t="s">
        <v>1240</v>
      </c>
      <c r="B525" t="s">
        <v>1241</v>
      </c>
      <c r="C525" s="14">
        <v>45536</v>
      </c>
      <c r="D525">
        <v>8.15</v>
      </c>
    </row>
    <row r="526" spans="1:4">
      <c r="A526" t="s">
        <v>1242</v>
      </c>
      <c r="B526" t="s">
        <v>1243</v>
      </c>
      <c r="C526" s="14">
        <v>45536</v>
      </c>
      <c r="D526">
        <v>30.1</v>
      </c>
    </row>
    <row r="527" spans="1:4">
      <c r="A527" t="s">
        <v>1244</v>
      </c>
      <c r="B527" t="s">
        <v>1245</v>
      </c>
      <c r="C527" s="14">
        <v>45536</v>
      </c>
      <c r="D527">
        <v>8.41</v>
      </c>
    </row>
    <row r="528" spans="1:4">
      <c r="A528" t="s">
        <v>1246</v>
      </c>
      <c r="B528" t="s">
        <v>1247</v>
      </c>
      <c r="C528" s="14">
        <v>45536</v>
      </c>
      <c r="D528">
        <v>11.65</v>
      </c>
    </row>
    <row r="529" spans="1:4">
      <c r="A529" t="s">
        <v>1248</v>
      </c>
      <c r="B529" t="s">
        <v>1249</v>
      </c>
      <c r="C529" s="14">
        <v>45536</v>
      </c>
      <c r="D529">
        <v>6.47</v>
      </c>
    </row>
    <row r="530" spans="1:4">
      <c r="A530" t="s">
        <v>1250</v>
      </c>
      <c r="B530" t="s">
        <v>1251</v>
      </c>
      <c r="C530" s="14">
        <v>45536</v>
      </c>
      <c r="D530">
        <v>13.4</v>
      </c>
    </row>
    <row r="531" spans="1:4">
      <c r="A531" t="s">
        <v>1252</v>
      </c>
      <c r="B531" t="s">
        <v>1253</v>
      </c>
      <c r="C531" s="14">
        <v>45536</v>
      </c>
      <c r="D531">
        <v>62.96</v>
      </c>
    </row>
    <row r="532" spans="1:4">
      <c r="A532" t="s">
        <v>1254</v>
      </c>
      <c r="B532" t="s">
        <v>1255</v>
      </c>
      <c r="C532" s="14">
        <v>45536</v>
      </c>
      <c r="D532">
        <v>11.42</v>
      </c>
    </row>
    <row r="533" spans="1:4">
      <c r="A533" t="s">
        <v>1256</v>
      </c>
      <c r="B533" t="s">
        <v>1257</v>
      </c>
      <c r="C533" s="14">
        <v>45536</v>
      </c>
      <c r="D533">
        <v>28.46</v>
      </c>
    </row>
    <row r="534" spans="1:4">
      <c r="A534" t="s">
        <v>1258</v>
      </c>
      <c r="B534" t="s">
        <v>1259</v>
      </c>
      <c r="C534" s="14">
        <v>45536</v>
      </c>
      <c r="D534">
        <v>15.76</v>
      </c>
    </row>
    <row r="535" spans="1:4">
      <c r="A535" t="s">
        <v>1260</v>
      </c>
      <c r="B535" t="s">
        <v>1261</v>
      </c>
      <c r="C535" s="14">
        <v>45536</v>
      </c>
      <c r="D535">
        <v>48.31</v>
      </c>
    </row>
    <row r="536" spans="1:4">
      <c r="A536" t="s">
        <v>1262</v>
      </c>
      <c r="B536" t="s">
        <v>1263</v>
      </c>
      <c r="C536" s="14">
        <v>45536</v>
      </c>
      <c r="D536">
        <v>29.17</v>
      </c>
    </row>
    <row r="537" spans="1:4">
      <c r="A537" t="s">
        <v>1264</v>
      </c>
      <c r="B537" t="s">
        <v>1265</v>
      </c>
      <c r="C537" s="14">
        <v>45536</v>
      </c>
      <c r="D537">
        <v>23.37</v>
      </c>
    </row>
    <row r="538" spans="1:4">
      <c r="A538" t="s">
        <v>1266</v>
      </c>
      <c r="B538" t="s">
        <v>1267</v>
      </c>
      <c r="C538" s="14">
        <v>45536</v>
      </c>
      <c r="D538">
        <v>13.26</v>
      </c>
    </row>
    <row r="539" spans="1:4">
      <c r="A539" t="s">
        <v>1268</v>
      </c>
      <c r="B539" t="s">
        <v>1269</v>
      </c>
      <c r="C539" s="14">
        <v>45536</v>
      </c>
      <c r="D539">
        <v>35.74</v>
      </c>
    </row>
    <row r="540" spans="1:4">
      <c r="A540" t="s">
        <v>1270</v>
      </c>
      <c r="B540" t="s">
        <v>1271</v>
      </c>
      <c r="C540" s="14">
        <v>45536</v>
      </c>
      <c r="D540">
        <v>15.75</v>
      </c>
    </row>
    <row r="541" spans="1:4">
      <c r="A541" t="s">
        <v>1272</v>
      </c>
      <c r="B541" t="s">
        <v>1273</v>
      </c>
      <c r="C541" s="14">
        <v>45536</v>
      </c>
      <c r="D541">
        <v>11.42</v>
      </c>
    </row>
    <row r="542" spans="1:4">
      <c r="A542" t="s">
        <v>1274</v>
      </c>
      <c r="B542" t="s">
        <v>1275</v>
      </c>
      <c r="C542" s="14">
        <v>45536</v>
      </c>
      <c r="D542">
        <v>8.41</v>
      </c>
    </row>
    <row r="543" spans="1:4">
      <c r="A543" t="s">
        <v>1276</v>
      </c>
      <c r="B543" t="s">
        <v>1277</v>
      </c>
      <c r="C543" s="14">
        <v>45536</v>
      </c>
      <c r="D543">
        <v>8.47</v>
      </c>
    </row>
    <row r="544" spans="1:4">
      <c r="A544" t="s">
        <v>1278</v>
      </c>
      <c r="B544" t="s">
        <v>1279</v>
      </c>
      <c r="C544" s="14">
        <v>45536</v>
      </c>
      <c r="D544">
        <v>33.61</v>
      </c>
    </row>
    <row r="545" spans="1:4">
      <c r="A545" t="s">
        <v>1280</v>
      </c>
      <c r="B545" t="s">
        <v>1281</v>
      </c>
      <c r="C545" s="14">
        <v>45536</v>
      </c>
      <c r="D545">
        <v>12.87</v>
      </c>
    </row>
    <row r="546" spans="1:4">
      <c r="A546" t="s">
        <v>1282</v>
      </c>
      <c r="B546" t="s">
        <v>1283</v>
      </c>
      <c r="C546" s="14">
        <v>45536</v>
      </c>
      <c r="D546">
        <v>15.75</v>
      </c>
    </row>
    <row r="547" spans="1:4">
      <c r="A547" t="s">
        <v>1284</v>
      </c>
      <c r="B547" t="s">
        <v>1279</v>
      </c>
      <c r="C547" s="14">
        <v>45536</v>
      </c>
      <c r="D547">
        <v>43.86</v>
      </c>
    </row>
    <row r="548" spans="1:4">
      <c r="A548" t="s">
        <v>1285</v>
      </c>
      <c r="B548" t="s">
        <v>1286</v>
      </c>
      <c r="C548" s="14">
        <v>45536</v>
      </c>
      <c r="D548">
        <v>8.24</v>
      </c>
    </row>
    <row r="549" spans="1:4">
      <c r="A549" t="s">
        <v>1287</v>
      </c>
      <c r="B549" t="s">
        <v>1288</v>
      </c>
      <c r="C549" s="14">
        <v>45536</v>
      </c>
      <c r="D549">
        <v>28.94</v>
      </c>
    </row>
    <row r="550" spans="1:4">
      <c r="A550" t="s">
        <v>1289</v>
      </c>
      <c r="B550" t="s">
        <v>1290</v>
      </c>
      <c r="C550" s="14">
        <v>45536</v>
      </c>
      <c r="D550">
        <v>35.74</v>
      </c>
    </row>
    <row r="551" spans="1:4">
      <c r="A551" t="s">
        <v>1291</v>
      </c>
      <c r="B551" t="s">
        <v>1292</v>
      </c>
      <c r="C551" s="14">
        <v>45536</v>
      </c>
      <c r="D551">
        <v>43.56</v>
      </c>
    </row>
    <row r="552" spans="1:4">
      <c r="A552" t="s">
        <v>1293</v>
      </c>
      <c r="B552" t="s">
        <v>1294</v>
      </c>
      <c r="C552" s="14">
        <v>45536</v>
      </c>
      <c r="D552">
        <v>21.17</v>
      </c>
    </row>
    <row r="553" spans="1:4">
      <c r="A553" t="s">
        <v>1295</v>
      </c>
      <c r="B553" t="s">
        <v>1296</v>
      </c>
      <c r="C553" s="14">
        <v>45536</v>
      </c>
      <c r="D553">
        <v>8.24</v>
      </c>
    </row>
    <row r="554" spans="1:4">
      <c r="A554" t="s">
        <v>1297</v>
      </c>
      <c r="B554" t="s">
        <v>1298</v>
      </c>
      <c r="C554" s="14">
        <v>45536</v>
      </c>
      <c r="D554">
        <v>7.99</v>
      </c>
    </row>
    <row r="555" spans="1:4">
      <c r="A555" t="s">
        <v>1299</v>
      </c>
      <c r="B555" t="s">
        <v>1300</v>
      </c>
      <c r="C555" s="14">
        <v>45536</v>
      </c>
      <c r="D555">
        <v>11.42</v>
      </c>
    </row>
    <row r="556" spans="1:4">
      <c r="A556" t="s">
        <v>1301</v>
      </c>
      <c r="B556" t="s">
        <v>1302</v>
      </c>
      <c r="C556" s="14">
        <v>45536</v>
      </c>
      <c r="D556">
        <v>16.6</v>
      </c>
    </row>
    <row r="557" spans="1:4">
      <c r="A557" t="s">
        <v>1303</v>
      </c>
      <c r="B557" t="s">
        <v>1304</v>
      </c>
      <c r="C557" s="14">
        <v>45536</v>
      </c>
      <c r="D557">
        <v>33.71</v>
      </c>
    </row>
    <row r="558" spans="1:4">
      <c r="A558" t="s">
        <v>206</v>
      </c>
      <c r="B558" t="s">
        <v>1305</v>
      </c>
      <c r="C558" s="14">
        <v>45536</v>
      </c>
      <c r="D558">
        <v>3.28</v>
      </c>
    </row>
    <row r="559" spans="1:4">
      <c r="A559" t="s">
        <v>205</v>
      </c>
      <c r="B559" t="s">
        <v>1306</v>
      </c>
      <c r="C559" s="14">
        <v>45536</v>
      </c>
      <c r="D559">
        <v>16.03</v>
      </c>
    </row>
    <row r="560" spans="1:4">
      <c r="A560" t="s">
        <v>1307</v>
      </c>
      <c r="B560" t="s">
        <v>1308</v>
      </c>
      <c r="C560" s="14">
        <v>45536</v>
      </c>
      <c r="D560">
        <v>20.61</v>
      </c>
    </row>
    <row r="561" spans="1:4">
      <c r="A561" t="s">
        <v>1309</v>
      </c>
      <c r="B561" t="s">
        <v>1310</v>
      </c>
      <c r="C561" s="14">
        <v>45536</v>
      </c>
      <c r="D561">
        <v>13.18</v>
      </c>
    </row>
    <row r="562" spans="1:4">
      <c r="A562" t="s">
        <v>1311</v>
      </c>
      <c r="B562" t="s">
        <v>1312</v>
      </c>
      <c r="C562" s="14">
        <v>45536</v>
      </c>
      <c r="D562">
        <v>4.45</v>
      </c>
    </row>
    <row r="563" spans="1:4">
      <c r="A563" t="s">
        <v>1313</v>
      </c>
      <c r="B563" t="s">
        <v>1314</v>
      </c>
      <c r="C563" s="14">
        <v>45536</v>
      </c>
      <c r="D563">
        <v>12.06</v>
      </c>
    </row>
    <row r="564" spans="1:4">
      <c r="A564" t="s">
        <v>1315</v>
      </c>
      <c r="B564" t="s">
        <v>1316</v>
      </c>
      <c r="C564" s="14">
        <v>45536</v>
      </c>
      <c r="D564">
        <v>14.48</v>
      </c>
    </row>
    <row r="565" spans="1:4">
      <c r="A565" t="s">
        <v>1317</v>
      </c>
      <c r="B565" t="s">
        <v>1318</v>
      </c>
      <c r="C565" s="14">
        <v>45536</v>
      </c>
      <c r="D565">
        <v>32.4</v>
      </c>
    </row>
    <row r="566" spans="1:4">
      <c r="A566" t="s">
        <v>1319</v>
      </c>
      <c r="B566" t="s">
        <v>1320</v>
      </c>
      <c r="C566" s="14">
        <v>45536</v>
      </c>
      <c r="D566">
        <v>6.77</v>
      </c>
    </row>
    <row r="567" spans="1:4">
      <c r="A567" t="s">
        <v>1321</v>
      </c>
      <c r="B567" t="s">
        <v>1322</v>
      </c>
      <c r="C567" s="14">
        <v>45536</v>
      </c>
      <c r="D567">
        <v>44.09</v>
      </c>
    </row>
    <row r="568" spans="1:4">
      <c r="A568" t="s">
        <v>1323</v>
      </c>
      <c r="B568" t="s">
        <v>1324</v>
      </c>
      <c r="C568" s="14">
        <v>45536</v>
      </c>
      <c r="D568">
        <v>32.1</v>
      </c>
    </row>
    <row r="569" spans="1:4">
      <c r="A569" t="s">
        <v>1325</v>
      </c>
      <c r="B569" t="s">
        <v>1326</v>
      </c>
      <c r="C569" s="14">
        <v>45536</v>
      </c>
      <c r="D569">
        <v>33.76</v>
      </c>
    </row>
    <row r="570" spans="1:4">
      <c r="A570" t="s">
        <v>1327</v>
      </c>
      <c r="B570" t="s">
        <v>1328</v>
      </c>
      <c r="C570" s="14">
        <v>45536</v>
      </c>
      <c r="D570">
        <v>7.34</v>
      </c>
    </row>
    <row r="571" spans="1:4">
      <c r="A571" t="s">
        <v>1329</v>
      </c>
      <c r="B571" t="s">
        <v>1330</v>
      </c>
      <c r="C571" s="14">
        <v>45536</v>
      </c>
      <c r="D571">
        <v>11.46</v>
      </c>
    </row>
    <row r="572" spans="1:4">
      <c r="A572" t="s">
        <v>1331</v>
      </c>
      <c r="B572" t="s">
        <v>1332</v>
      </c>
      <c r="C572" s="14">
        <v>45536</v>
      </c>
      <c r="D572">
        <v>8.06</v>
      </c>
    </row>
    <row r="573" spans="1:4">
      <c r="A573" t="s">
        <v>1333</v>
      </c>
      <c r="B573" t="s">
        <v>1334</v>
      </c>
      <c r="C573" s="14">
        <v>45536</v>
      </c>
      <c r="D573">
        <v>6.62</v>
      </c>
    </row>
    <row r="574" spans="1:4">
      <c r="A574" t="s">
        <v>1335</v>
      </c>
      <c r="B574" t="s">
        <v>1336</v>
      </c>
      <c r="C574" s="14">
        <v>45536</v>
      </c>
      <c r="D574">
        <v>22.62</v>
      </c>
    </row>
    <row r="575" spans="1:4">
      <c r="A575" t="s">
        <v>1337</v>
      </c>
      <c r="B575" t="s">
        <v>1338</v>
      </c>
      <c r="C575" s="14">
        <v>45536</v>
      </c>
      <c r="D575">
        <v>16.5</v>
      </c>
    </row>
    <row r="576" spans="1:4">
      <c r="A576" t="s">
        <v>1339</v>
      </c>
      <c r="B576" t="s">
        <v>1340</v>
      </c>
      <c r="C576" s="14">
        <v>45536</v>
      </c>
      <c r="D576">
        <v>5.3</v>
      </c>
    </row>
    <row r="577" spans="1:4">
      <c r="A577" t="s">
        <v>1341</v>
      </c>
      <c r="B577" t="s">
        <v>1342</v>
      </c>
      <c r="C577" s="14">
        <v>45543</v>
      </c>
      <c r="D577">
        <v>44.94</v>
      </c>
    </row>
    <row r="578" spans="1:4">
      <c r="A578" t="s">
        <v>1343</v>
      </c>
      <c r="B578" t="s">
        <v>1344</v>
      </c>
      <c r="C578" s="14">
        <v>45536</v>
      </c>
      <c r="D578">
        <v>58.42</v>
      </c>
    </row>
    <row r="579" spans="1:4">
      <c r="A579" t="s">
        <v>1345</v>
      </c>
      <c r="B579" t="s">
        <v>1346</v>
      </c>
      <c r="C579" s="14">
        <v>45536</v>
      </c>
      <c r="D579">
        <v>71.65</v>
      </c>
    </row>
    <row r="580" spans="1:4">
      <c r="A580" t="s">
        <v>1347</v>
      </c>
      <c r="B580" t="s">
        <v>1348</v>
      </c>
      <c r="C580" s="14">
        <v>45536</v>
      </c>
      <c r="D580">
        <v>77.16</v>
      </c>
    </row>
    <row r="581" spans="1:4">
      <c r="A581" t="s">
        <v>1349</v>
      </c>
      <c r="B581" t="s">
        <v>1350</v>
      </c>
      <c r="C581" s="14">
        <v>45536</v>
      </c>
      <c r="D581">
        <v>110.23</v>
      </c>
    </row>
    <row r="582" spans="1:4">
      <c r="A582" t="s">
        <v>1351</v>
      </c>
      <c r="B582" t="s">
        <v>1352</v>
      </c>
      <c r="C582" s="14">
        <v>45536</v>
      </c>
      <c r="D582">
        <v>17.29</v>
      </c>
    </row>
    <row r="583" spans="1:4">
      <c r="A583" t="s">
        <v>1353</v>
      </c>
      <c r="B583" t="s">
        <v>1354</v>
      </c>
      <c r="C583" s="14">
        <v>45536</v>
      </c>
      <c r="D583">
        <v>17.1</v>
      </c>
    </row>
    <row r="584" spans="1:4">
      <c r="A584" t="s">
        <v>1355</v>
      </c>
      <c r="B584" t="s">
        <v>1356</v>
      </c>
      <c r="C584" s="14">
        <v>45536</v>
      </c>
      <c r="D584">
        <v>5.43</v>
      </c>
    </row>
    <row r="585" spans="1:4">
      <c r="A585" t="s">
        <v>1357</v>
      </c>
      <c r="B585" t="s">
        <v>1358</v>
      </c>
      <c r="C585" s="14">
        <v>45536</v>
      </c>
      <c r="D585">
        <v>8.43</v>
      </c>
    </row>
    <row r="586" spans="1:4">
      <c r="A586" t="s">
        <v>1359</v>
      </c>
      <c r="B586" t="s">
        <v>1360</v>
      </c>
      <c r="C586" s="14">
        <v>45536</v>
      </c>
      <c r="D586">
        <v>4.7</v>
      </c>
    </row>
    <row r="587" spans="1:4">
      <c r="A587" t="s">
        <v>1361</v>
      </c>
      <c r="B587" t="s">
        <v>1362</v>
      </c>
      <c r="C587" s="14">
        <v>45543</v>
      </c>
      <c r="D587">
        <v>47.98</v>
      </c>
    </row>
    <row r="588" spans="1:4">
      <c r="A588" t="s">
        <v>1363</v>
      </c>
      <c r="B588" t="s">
        <v>1364</v>
      </c>
      <c r="C588" s="14">
        <v>45536</v>
      </c>
      <c r="D588">
        <v>2.4</v>
      </c>
    </row>
    <row r="589" spans="1:4">
      <c r="A589" t="s">
        <v>1365</v>
      </c>
      <c r="B589" t="s">
        <v>1366</v>
      </c>
      <c r="C589" s="14">
        <v>45536</v>
      </c>
      <c r="D589">
        <v>2.4</v>
      </c>
    </row>
    <row r="590" spans="1:4">
      <c r="A590" t="s">
        <v>1367</v>
      </c>
      <c r="B590" t="s">
        <v>1368</v>
      </c>
      <c r="C590" s="14">
        <v>45536</v>
      </c>
      <c r="D590">
        <v>3.61</v>
      </c>
    </row>
    <row r="591" spans="1:4">
      <c r="A591" t="s">
        <v>1369</v>
      </c>
      <c r="B591" t="s">
        <v>1370</v>
      </c>
      <c r="C591" s="14">
        <v>45536</v>
      </c>
      <c r="D591">
        <v>4.92</v>
      </c>
    </row>
    <row r="592" spans="1:4">
      <c r="A592" t="s">
        <v>1371</v>
      </c>
      <c r="B592" t="s">
        <v>1372</v>
      </c>
      <c r="C592" s="14">
        <v>45536</v>
      </c>
      <c r="D592">
        <v>4.77</v>
      </c>
    </row>
    <row r="593" spans="1:4">
      <c r="A593" t="s">
        <v>1373</v>
      </c>
      <c r="B593" t="s">
        <v>1374</v>
      </c>
      <c r="C593" s="14">
        <v>45536</v>
      </c>
      <c r="D593">
        <v>2.02</v>
      </c>
    </row>
    <row r="594" spans="1:4">
      <c r="A594" t="s">
        <v>1375</v>
      </c>
      <c r="B594" t="s">
        <v>1376</v>
      </c>
      <c r="C594" s="14">
        <v>45536</v>
      </c>
      <c r="D594">
        <v>1.35</v>
      </c>
    </row>
    <row r="595" spans="1:4">
      <c r="A595" t="s">
        <v>1377</v>
      </c>
      <c r="B595" t="s">
        <v>1378</v>
      </c>
      <c r="C595" s="14">
        <v>45536</v>
      </c>
      <c r="D595">
        <v>3.23</v>
      </c>
    </row>
    <row r="596" spans="1:4">
      <c r="A596" t="s">
        <v>1379</v>
      </c>
      <c r="B596" t="s">
        <v>1380</v>
      </c>
      <c r="C596" s="14">
        <v>45536</v>
      </c>
      <c r="D596">
        <v>4.04</v>
      </c>
    </row>
    <row r="597" spans="1:4">
      <c r="A597" t="s">
        <v>1381</v>
      </c>
      <c r="B597" t="s">
        <v>1382</v>
      </c>
      <c r="C597" s="14">
        <v>45536</v>
      </c>
      <c r="D597">
        <v>4.07</v>
      </c>
    </row>
    <row r="598" spans="1:4">
      <c r="A598" t="s">
        <v>1383</v>
      </c>
      <c r="B598" t="s">
        <v>1384</v>
      </c>
      <c r="C598" s="14">
        <v>45536</v>
      </c>
      <c r="D598">
        <v>5.27</v>
      </c>
    </row>
    <row r="599" spans="1:4">
      <c r="A599" t="s">
        <v>1385</v>
      </c>
      <c r="B599" t="s">
        <v>1386</v>
      </c>
      <c r="C599" s="14">
        <v>45536</v>
      </c>
      <c r="D599">
        <v>2.17</v>
      </c>
    </row>
    <row r="600" spans="1:4">
      <c r="A600" t="s">
        <v>1387</v>
      </c>
      <c r="B600" t="s">
        <v>1388</v>
      </c>
      <c r="C600" s="14">
        <v>45536</v>
      </c>
      <c r="D600">
        <v>2.17</v>
      </c>
    </row>
    <row r="601" spans="1:4">
      <c r="A601" t="s">
        <v>1389</v>
      </c>
      <c r="B601" t="s">
        <v>1390</v>
      </c>
      <c r="C601" s="14">
        <v>45536</v>
      </c>
      <c r="D601">
        <v>0.49</v>
      </c>
    </row>
    <row r="602" spans="1:4">
      <c r="A602" t="s">
        <v>1391</v>
      </c>
      <c r="B602" t="s">
        <v>1392</v>
      </c>
      <c r="C602" s="14">
        <v>45536</v>
      </c>
      <c r="D602">
        <v>3.97</v>
      </c>
    </row>
    <row r="603" spans="1:4">
      <c r="A603" t="s">
        <v>1393</v>
      </c>
      <c r="B603" t="s">
        <v>1394</v>
      </c>
      <c r="C603" s="14">
        <v>45536</v>
      </c>
      <c r="D603">
        <v>19.77</v>
      </c>
    </row>
    <row r="604" spans="1:4">
      <c r="A604" t="s">
        <v>1395</v>
      </c>
      <c r="B604" t="s">
        <v>1396</v>
      </c>
      <c r="C604" s="14">
        <v>45536</v>
      </c>
      <c r="D604">
        <v>7.97</v>
      </c>
    </row>
    <row r="605" spans="1:4">
      <c r="A605" t="s">
        <v>1397</v>
      </c>
      <c r="B605" t="s">
        <v>1398</v>
      </c>
      <c r="C605" s="14">
        <v>45536</v>
      </c>
      <c r="D605">
        <v>4.48</v>
      </c>
    </row>
    <row r="606" spans="1:4">
      <c r="A606" t="s">
        <v>1399</v>
      </c>
      <c r="B606" t="s">
        <v>1400</v>
      </c>
      <c r="C606" s="14">
        <v>45536</v>
      </c>
      <c r="D606">
        <v>3.49</v>
      </c>
    </row>
    <row r="607" spans="1:4">
      <c r="A607" t="s">
        <v>1401</v>
      </c>
      <c r="B607" t="s">
        <v>1402</v>
      </c>
      <c r="C607" s="14">
        <v>45536</v>
      </c>
      <c r="D607">
        <v>4.69</v>
      </c>
    </row>
    <row r="608" spans="1:4">
      <c r="A608" t="s">
        <v>1403</v>
      </c>
      <c r="B608" t="s">
        <v>1404</v>
      </c>
      <c r="C608" s="14">
        <v>45536</v>
      </c>
      <c r="D608">
        <v>7.29</v>
      </c>
    </row>
    <row r="609" spans="1:4">
      <c r="A609" t="s">
        <v>1405</v>
      </c>
      <c r="B609" t="s">
        <v>1406</v>
      </c>
      <c r="C609" s="14">
        <v>45536</v>
      </c>
      <c r="D609">
        <v>10.99</v>
      </c>
    </row>
    <row r="610" spans="1:4">
      <c r="A610" t="s">
        <v>1407</v>
      </c>
      <c r="B610" t="s">
        <v>1408</v>
      </c>
      <c r="C610" s="14">
        <v>45536</v>
      </c>
      <c r="D610">
        <v>9.89</v>
      </c>
    </row>
    <row r="611" spans="1:4">
      <c r="A611" t="s">
        <v>1409</v>
      </c>
      <c r="B611" t="s">
        <v>1410</v>
      </c>
      <c r="C611" s="14">
        <v>45536</v>
      </c>
      <c r="D611">
        <v>2.39</v>
      </c>
    </row>
    <row r="612" spans="1:4">
      <c r="A612" t="s">
        <v>1411</v>
      </c>
      <c r="B612" t="s">
        <v>1412</v>
      </c>
      <c r="C612" s="14">
        <v>45536</v>
      </c>
      <c r="D612">
        <v>2.69</v>
      </c>
    </row>
    <row r="613" spans="1:4">
      <c r="A613" t="s">
        <v>1413</v>
      </c>
      <c r="B613" t="s">
        <v>1414</v>
      </c>
      <c r="C613" s="14">
        <v>45536</v>
      </c>
      <c r="D613">
        <v>3.49</v>
      </c>
    </row>
    <row r="614" spans="1:4">
      <c r="A614" t="s">
        <v>1415</v>
      </c>
      <c r="B614" t="s">
        <v>1416</v>
      </c>
      <c r="C614" s="14">
        <v>45536</v>
      </c>
      <c r="D614">
        <v>1.94</v>
      </c>
    </row>
    <row r="615" spans="1:4">
      <c r="A615" t="s">
        <v>1417</v>
      </c>
      <c r="B615" t="s">
        <v>1418</v>
      </c>
      <c r="C615" s="14">
        <v>45536</v>
      </c>
      <c r="D615">
        <v>1.94</v>
      </c>
    </row>
    <row r="616" spans="1:4">
      <c r="A616" t="s">
        <v>1419</v>
      </c>
      <c r="B616" t="s">
        <v>1420</v>
      </c>
      <c r="C616" s="14">
        <v>45536</v>
      </c>
      <c r="D616">
        <v>1.94</v>
      </c>
    </row>
    <row r="617" spans="1:4">
      <c r="A617" t="s">
        <v>1421</v>
      </c>
      <c r="B617" t="s">
        <v>1422</v>
      </c>
      <c r="C617" s="14">
        <v>45536</v>
      </c>
      <c r="D617">
        <v>2.99</v>
      </c>
    </row>
    <row r="618" spans="1:4">
      <c r="A618" t="s">
        <v>1423</v>
      </c>
      <c r="B618" t="s">
        <v>1424</v>
      </c>
      <c r="C618" s="14">
        <v>45536</v>
      </c>
      <c r="D618">
        <v>10</v>
      </c>
    </row>
    <row r="619" spans="1:4">
      <c r="A619" t="s">
        <v>1425</v>
      </c>
      <c r="B619" t="s">
        <v>1426</v>
      </c>
      <c r="C619" s="14">
        <v>45536</v>
      </c>
      <c r="D619">
        <v>8.5</v>
      </c>
    </row>
    <row r="620" spans="1:4">
      <c r="A620" t="s">
        <v>1427</v>
      </c>
      <c r="B620" t="s">
        <v>1428</v>
      </c>
      <c r="C620" s="14">
        <v>45536</v>
      </c>
      <c r="D620">
        <v>5.5</v>
      </c>
    </row>
    <row r="621" spans="1:4">
      <c r="A621" t="s">
        <v>1429</v>
      </c>
      <c r="B621" t="s">
        <v>1430</v>
      </c>
      <c r="C621" s="14">
        <v>45536</v>
      </c>
      <c r="D621">
        <v>3.75</v>
      </c>
    </row>
    <row r="622" spans="1:4">
      <c r="A622" t="s">
        <v>1431</v>
      </c>
      <c r="B622" t="s">
        <v>1432</v>
      </c>
      <c r="C622" s="14">
        <v>45536</v>
      </c>
      <c r="D622">
        <v>2.75</v>
      </c>
    </row>
    <row r="623" spans="1:4">
      <c r="A623" t="s">
        <v>1433</v>
      </c>
      <c r="B623" t="s">
        <v>1434</v>
      </c>
      <c r="C623" s="14">
        <v>45536</v>
      </c>
      <c r="D623">
        <v>3.75</v>
      </c>
    </row>
    <row r="624" spans="1:4">
      <c r="A624" t="s">
        <v>1435</v>
      </c>
      <c r="B624" t="s">
        <v>1436</v>
      </c>
      <c r="C624" s="14">
        <v>45536</v>
      </c>
      <c r="D624">
        <v>5</v>
      </c>
    </row>
    <row r="625" spans="1:4">
      <c r="A625" t="s">
        <v>1437</v>
      </c>
      <c r="B625" t="s">
        <v>1438</v>
      </c>
      <c r="C625" s="14">
        <v>45536</v>
      </c>
      <c r="D625">
        <v>2.5</v>
      </c>
    </row>
    <row r="626" spans="1:4">
      <c r="A626" t="s">
        <v>1439</v>
      </c>
      <c r="B626" t="s">
        <v>1440</v>
      </c>
      <c r="C626" s="14">
        <v>45536</v>
      </c>
      <c r="D626">
        <v>2.15</v>
      </c>
    </row>
    <row r="627" spans="1:4">
      <c r="A627" t="s">
        <v>1441</v>
      </c>
      <c r="B627" t="s">
        <v>1442</v>
      </c>
      <c r="C627" s="14">
        <v>45536</v>
      </c>
      <c r="D627">
        <v>1.4</v>
      </c>
    </row>
    <row r="628" spans="1:4">
      <c r="A628" t="s">
        <v>1443</v>
      </c>
      <c r="B628" t="s">
        <v>1444</v>
      </c>
      <c r="C628" s="14">
        <v>45536</v>
      </c>
      <c r="D628">
        <v>1.4</v>
      </c>
    </row>
    <row r="629" spans="1:4">
      <c r="A629" t="s">
        <v>1445</v>
      </c>
      <c r="B629" t="s">
        <v>1446</v>
      </c>
      <c r="C629" s="14">
        <v>45536</v>
      </c>
      <c r="D629">
        <v>1.4</v>
      </c>
    </row>
    <row r="630" spans="1:4">
      <c r="A630" t="s">
        <v>1447</v>
      </c>
      <c r="B630" t="s">
        <v>1448</v>
      </c>
      <c r="C630" s="14">
        <v>45536</v>
      </c>
      <c r="D630">
        <v>1.9</v>
      </c>
    </row>
    <row r="631" spans="1:4">
      <c r="A631" t="s">
        <v>1449</v>
      </c>
      <c r="B631" t="s">
        <v>1450</v>
      </c>
      <c r="C631" s="14">
        <v>45536</v>
      </c>
      <c r="D631">
        <v>1.9</v>
      </c>
    </row>
    <row r="632" spans="1:4">
      <c r="A632" t="s">
        <v>1451</v>
      </c>
      <c r="B632" t="s">
        <v>1452</v>
      </c>
      <c r="C632" s="14">
        <v>45536</v>
      </c>
      <c r="D632">
        <v>1.4</v>
      </c>
    </row>
    <row r="633" spans="1:4">
      <c r="A633" t="s">
        <v>1453</v>
      </c>
      <c r="B633" t="s">
        <v>1454</v>
      </c>
      <c r="C633" s="14">
        <v>45536</v>
      </c>
      <c r="D633">
        <v>1.4</v>
      </c>
    </row>
    <row r="634" spans="1:4">
      <c r="A634" t="s">
        <v>1455</v>
      </c>
      <c r="B634" t="s">
        <v>1456</v>
      </c>
      <c r="C634" s="14">
        <v>45536</v>
      </c>
      <c r="D634">
        <v>2.15</v>
      </c>
    </row>
    <row r="635" spans="1:4">
      <c r="A635" t="s">
        <v>1457</v>
      </c>
      <c r="B635" t="s">
        <v>1458</v>
      </c>
      <c r="C635" s="14">
        <v>45536</v>
      </c>
      <c r="D635">
        <v>1.9</v>
      </c>
    </row>
    <row r="636" spans="1:4">
      <c r="A636" t="s">
        <v>1459</v>
      </c>
      <c r="B636" t="s">
        <v>1460</v>
      </c>
      <c r="C636" s="14">
        <v>45536</v>
      </c>
      <c r="D636">
        <v>3.5</v>
      </c>
    </row>
    <row r="637" spans="1:4">
      <c r="A637" t="s">
        <v>1461</v>
      </c>
      <c r="B637" t="s">
        <v>1462</v>
      </c>
      <c r="C637" s="14">
        <v>45536</v>
      </c>
      <c r="D637">
        <v>1.5</v>
      </c>
    </row>
    <row r="638" spans="1:4">
      <c r="A638" t="s">
        <v>1463</v>
      </c>
      <c r="B638" t="s">
        <v>1464</v>
      </c>
      <c r="C638" s="14">
        <v>45536</v>
      </c>
      <c r="D638">
        <v>4.5</v>
      </c>
    </row>
    <row r="639" spans="1:4">
      <c r="A639" t="s">
        <v>1465</v>
      </c>
      <c r="B639" t="s">
        <v>1466</v>
      </c>
      <c r="C639" s="14">
        <v>45536</v>
      </c>
      <c r="D639">
        <v>4</v>
      </c>
    </row>
    <row r="640" spans="1:4">
      <c r="A640" t="s">
        <v>1467</v>
      </c>
      <c r="B640" t="s">
        <v>1468</v>
      </c>
      <c r="C640" s="14">
        <v>45536</v>
      </c>
      <c r="D640">
        <v>4</v>
      </c>
    </row>
    <row r="641" spans="1:4">
      <c r="A641" t="s">
        <v>1469</v>
      </c>
      <c r="B641" t="s">
        <v>1470</v>
      </c>
      <c r="C641" s="14">
        <v>45536</v>
      </c>
      <c r="D641">
        <v>3.75</v>
      </c>
    </row>
    <row r="642" spans="1:4">
      <c r="A642" t="s">
        <v>1471</v>
      </c>
      <c r="B642" t="s">
        <v>1472</v>
      </c>
      <c r="C642" s="14">
        <v>45536</v>
      </c>
      <c r="D642">
        <v>3</v>
      </c>
    </row>
    <row r="643" spans="1:4">
      <c r="A643" t="s">
        <v>1473</v>
      </c>
      <c r="B643" t="s">
        <v>1474</v>
      </c>
      <c r="C643" s="14">
        <v>45536</v>
      </c>
      <c r="D643">
        <v>3</v>
      </c>
    </row>
    <row r="644" spans="1:4">
      <c r="A644" t="s">
        <v>1475</v>
      </c>
      <c r="B644" t="s">
        <v>1476</v>
      </c>
      <c r="C644" s="14">
        <v>45536</v>
      </c>
      <c r="D644">
        <v>2.75</v>
      </c>
    </row>
    <row r="645" spans="1:4">
      <c r="A645" t="s">
        <v>1477</v>
      </c>
      <c r="B645" t="s">
        <v>1478</v>
      </c>
      <c r="C645" s="14">
        <v>45536</v>
      </c>
      <c r="D645">
        <v>2.75</v>
      </c>
    </row>
    <row r="646" spans="1:4">
      <c r="A646" t="s">
        <v>1479</v>
      </c>
      <c r="B646" t="s">
        <v>1480</v>
      </c>
      <c r="C646" s="14">
        <v>45536</v>
      </c>
      <c r="D646">
        <v>3.25</v>
      </c>
    </row>
    <row r="647" spans="1:4">
      <c r="A647" t="s">
        <v>1481</v>
      </c>
      <c r="B647" t="s">
        <v>1482</v>
      </c>
      <c r="C647" s="14">
        <v>45536</v>
      </c>
      <c r="D647">
        <v>4</v>
      </c>
    </row>
    <row r="648" spans="1:4">
      <c r="A648" t="s">
        <v>1483</v>
      </c>
      <c r="B648" t="s">
        <v>1484</v>
      </c>
      <c r="C648" s="14">
        <v>45536</v>
      </c>
      <c r="D648">
        <v>4</v>
      </c>
    </row>
    <row r="649" spans="1:4">
      <c r="A649" t="s">
        <v>1485</v>
      </c>
      <c r="B649" t="s">
        <v>1486</v>
      </c>
      <c r="C649" s="14">
        <v>45536</v>
      </c>
      <c r="D649">
        <v>4</v>
      </c>
    </row>
    <row r="650" spans="1:4">
      <c r="A650" t="s">
        <v>1487</v>
      </c>
      <c r="B650" t="s">
        <v>1488</v>
      </c>
      <c r="C650" s="14">
        <v>45536</v>
      </c>
      <c r="D650">
        <v>4</v>
      </c>
    </row>
    <row r="651" spans="1:4">
      <c r="A651" t="s">
        <v>1489</v>
      </c>
      <c r="B651" t="s">
        <v>1490</v>
      </c>
      <c r="C651" s="14">
        <v>45536</v>
      </c>
      <c r="D651">
        <v>4</v>
      </c>
    </row>
    <row r="652" spans="1:4">
      <c r="A652" t="s">
        <v>1491</v>
      </c>
      <c r="B652" t="s">
        <v>1492</v>
      </c>
      <c r="C652" s="14">
        <v>45536</v>
      </c>
      <c r="D652">
        <v>4</v>
      </c>
    </row>
    <row r="653" spans="1:4">
      <c r="A653" t="s">
        <v>1493</v>
      </c>
      <c r="B653" t="s">
        <v>1482</v>
      </c>
      <c r="C653" s="14">
        <v>45536</v>
      </c>
      <c r="D653">
        <v>4</v>
      </c>
    </row>
    <row r="654" spans="1:4">
      <c r="A654" t="s">
        <v>1494</v>
      </c>
      <c r="B654" t="s">
        <v>1495</v>
      </c>
      <c r="C654" s="14">
        <v>45536</v>
      </c>
      <c r="D654">
        <v>1.65</v>
      </c>
    </row>
    <row r="655" spans="1:4">
      <c r="A655" t="s">
        <v>1496</v>
      </c>
      <c r="B655" t="s">
        <v>1497</v>
      </c>
      <c r="C655" s="14">
        <v>45536</v>
      </c>
      <c r="D655">
        <v>2.75</v>
      </c>
    </row>
    <row r="656" spans="1:4">
      <c r="A656" t="s">
        <v>1498</v>
      </c>
      <c r="B656" t="s">
        <v>1499</v>
      </c>
      <c r="C656" s="14">
        <v>45536</v>
      </c>
      <c r="D656">
        <v>6</v>
      </c>
    </row>
    <row r="657" spans="1:4">
      <c r="A657" t="s">
        <v>1500</v>
      </c>
      <c r="B657" t="s">
        <v>1501</v>
      </c>
      <c r="C657" s="14">
        <v>45536</v>
      </c>
      <c r="D657">
        <v>3</v>
      </c>
    </row>
    <row r="658" spans="1:4">
      <c r="A658" t="s">
        <v>1502</v>
      </c>
      <c r="B658" t="s">
        <v>1503</v>
      </c>
      <c r="C658" s="14">
        <v>45536</v>
      </c>
      <c r="D658">
        <v>4</v>
      </c>
    </row>
    <row r="659" spans="1:4">
      <c r="A659" t="s">
        <v>1504</v>
      </c>
      <c r="B659" t="s">
        <v>1505</v>
      </c>
      <c r="C659" s="14">
        <v>45536</v>
      </c>
      <c r="D659">
        <v>4</v>
      </c>
    </row>
    <row r="660" spans="1:4">
      <c r="A660" t="s">
        <v>1506</v>
      </c>
      <c r="B660" t="s">
        <v>1507</v>
      </c>
      <c r="C660" s="14">
        <v>45536</v>
      </c>
      <c r="D660">
        <v>5.5</v>
      </c>
    </row>
    <row r="661" spans="1:4">
      <c r="A661" t="s">
        <v>1508</v>
      </c>
      <c r="B661" t="s">
        <v>1509</v>
      </c>
      <c r="C661" s="14">
        <v>45536</v>
      </c>
      <c r="D661">
        <v>19.98</v>
      </c>
    </row>
    <row r="662" spans="1:4">
      <c r="A662" t="s">
        <v>1510</v>
      </c>
      <c r="B662" t="s">
        <v>1511</v>
      </c>
      <c r="C662" s="14">
        <v>45536</v>
      </c>
      <c r="D662">
        <v>37.79</v>
      </c>
    </row>
    <row r="663" spans="1:4">
      <c r="A663" t="s">
        <v>263</v>
      </c>
      <c r="B663" t="s">
        <v>1512</v>
      </c>
      <c r="C663" s="14">
        <v>45543</v>
      </c>
      <c r="D663">
        <v>17.48</v>
      </c>
    </row>
    <row r="664" spans="1:4">
      <c r="A664" t="s">
        <v>226</v>
      </c>
      <c r="B664" t="s">
        <v>1513</v>
      </c>
      <c r="C664" s="14">
        <v>45536</v>
      </c>
      <c r="D664">
        <v>57.8</v>
      </c>
    </row>
    <row r="665" spans="1:4">
      <c r="A665" t="s">
        <v>161</v>
      </c>
      <c r="B665" t="s">
        <v>1514</v>
      </c>
      <c r="C665" s="14">
        <v>45536</v>
      </c>
      <c r="D665">
        <v>69.65</v>
      </c>
    </row>
    <row r="666" spans="1:4">
      <c r="A666" t="s">
        <v>165</v>
      </c>
      <c r="B666" t="s">
        <v>1515</v>
      </c>
      <c r="C666" s="14">
        <v>45536</v>
      </c>
      <c r="D666">
        <v>87.45</v>
      </c>
    </row>
    <row r="667" spans="1:4">
      <c r="A667" t="s">
        <v>157</v>
      </c>
      <c r="B667" t="s">
        <v>1516</v>
      </c>
      <c r="C667" s="14">
        <v>45536</v>
      </c>
      <c r="D667">
        <v>126</v>
      </c>
    </row>
    <row r="668" spans="1:4">
      <c r="A668" t="s">
        <v>187</v>
      </c>
      <c r="B668" t="s">
        <v>1517</v>
      </c>
      <c r="C668" s="14">
        <v>45536</v>
      </c>
      <c r="D668">
        <v>132.92</v>
      </c>
    </row>
    <row r="669" spans="1:4">
      <c r="A669" t="s">
        <v>189</v>
      </c>
      <c r="B669" t="s">
        <v>1518</v>
      </c>
      <c r="C669" s="14">
        <v>45536</v>
      </c>
      <c r="D669">
        <v>85.31</v>
      </c>
    </row>
    <row r="670" spans="1:4">
      <c r="A670" t="s">
        <v>240</v>
      </c>
      <c r="B670" t="s">
        <v>1519</v>
      </c>
      <c r="C670" s="14">
        <v>45536</v>
      </c>
      <c r="D670">
        <v>166.47</v>
      </c>
    </row>
    <row r="671" spans="1:4">
      <c r="A671" t="s">
        <v>257</v>
      </c>
      <c r="B671" t="s">
        <v>1520</v>
      </c>
      <c r="C671" s="14">
        <v>45536</v>
      </c>
      <c r="D671">
        <v>174.3</v>
      </c>
    </row>
    <row r="672" spans="1:4">
      <c r="A672" t="s">
        <v>227</v>
      </c>
      <c r="B672" t="s">
        <v>1521</v>
      </c>
      <c r="C672" s="14">
        <v>45536</v>
      </c>
      <c r="D672">
        <v>171.35</v>
      </c>
    </row>
    <row r="673" spans="1:4">
      <c r="A673" t="s">
        <v>224</v>
      </c>
      <c r="B673" t="s">
        <v>1522</v>
      </c>
      <c r="C673" s="14">
        <v>45536</v>
      </c>
      <c r="D673">
        <v>208.95</v>
      </c>
    </row>
    <row r="674" spans="1:4">
      <c r="A674" t="s">
        <v>166</v>
      </c>
      <c r="B674" t="s">
        <v>1523</v>
      </c>
      <c r="C674" s="14">
        <v>45536</v>
      </c>
      <c r="D674">
        <v>324.06</v>
      </c>
    </row>
    <row r="675" spans="1:4">
      <c r="A675" t="s">
        <v>163</v>
      </c>
      <c r="B675" t="s">
        <v>1524</v>
      </c>
      <c r="C675" s="14">
        <v>45536</v>
      </c>
      <c r="D675">
        <v>339.32</v>
      </c>
    </row>
    <row r="676" spans="1:4">
      <c r="A676" t="s">
        <v>223</v>
      </c>
      <c r="B676" t="s">
        <v>1525</v>
      </c>
      <c r="C676" s="14">
        <v>45536</v>
      </c>
      <c r="D676">
        <v>597.05</v>
      </c>
    </row>
    <row r="677" spans="1:4">
      <c r="A677" t="s">
        <v>213</v>
      </c>
      <c r="B677" t="s">
        <v>1526</v>
      </c>
      <c r="C677" s="14">
        <v>45536</v>
      </c>
      <c r="D677">
        <v>193.63</v>
      </c>
    </row>
    <row r="678" spans="1:4">
      <c r="A678" t="s">
        <v>164</v>
      </c>
      <c r="B678" t="s">
        <v>1527</v>
      </c>
      <c r="C678" s="14">
        <v>45536</v>
      </c>
      <c r="D678">
        <v>221.03</v>
      </c>
    </row>
    <row r="679" spans="1:4">
      <c r="A679" t="s">
        <v>261</v>
      </c>
      <c r="B679" t="s">
        <v>1528</v>
      </c>
      <c r="C679" s="14">
        <v>45536</v>
      </c>
      <c r="D679">
        <v>313.11</v>
      </c>
    </row>
    <row r="680" spans="1:4">
      <c r="A680" t="s">
        <v>190</v>
      </c>
      <c r="B680" t="s">
        <v>1529</v>
      </c>
      <c r="C680" s="14">
        <v>45543</v>
      </c>
      <c r="D680">
        <v>291.9</v>
      </c>
    </row>
    <row r="681" spans="1:4">
      <c r="A681" t="s">
        <v>220</v>
      </c>
      <c r="B681" t="s">
        <v>1530</v>
      </c>
      <c r="C681" s="14">
        <v>45536</v>
      </c>
      <c r="D681">
        <v>26.24</v>
      </c>
    </row>
    <row r="682" spans="1:4">
      <c r="A682" t="s">
        <v>241</v>
      </c>
      <c r="B682" t="s">
        <v>1531</v>
      </c>
      <c r="C682" s="14">
        <v>45536</v>
      </c>
      <c r="D682">
        <v>820.31</v>
      </c>
    </row>
    <row r="683" spans="1:4">
      <c r="A683" t="s">
        <v>228</v>
      </c>
      <c r="B683" t="s">
        <v>1532</v>
      </c>
      <c r="C683" s="14">
        <v>45536</v>
      </c>
      <c r="D683">
        <v>254.53</v>
      </c>
    </row>
    <row r="684" spans="1:4">
      <c r="A684" t="s">
        <v>258</v>
      </c>
      <c r="B684" t="s">
        <v>1533</v>
      </c>
      <c r="C684" s="14">
        <v>45536</v>
      </c>
      <c r="D684">
        <v>50.38</v>
      </c>
    </row>
    <row r="685" spans="1:4">
      <c r="A685" t="s">
        <v>159</v>
      </c>
      <c r="B685" t="s">
        <v>1534</v>
      </c>
      <c r="C685" s="14">
        <v>45536</v>
      </c>
      <c r="D685">
        <v>92.94</v>
      </c>
    </row>
    <row r="686" spans="1:4">
      <c r="A686" t="s">
        <v>254</v>
      </c>
      <c r="B686" t="s">
        <v>1535</v>
      </c>
      <c r="C686" s="14">
        <v>45536</v>
      </c>
      <c r="D686">
        <v>15.74</v>
      </c>
    </row>
    <row r="687" spans="1:4">
      <c r="A687" t="s">
        <v>256</v>
      </c>
      <c r="B687" t="s">
        <v>1536</v>
      </c>
      <c r="C687" s="14">
        <v>45536</v>
      </c>
      <c r="D687">
        <v>11.01</v>
      </c>
    </row>
    <row r="688" spans="1:4">
      <c r="A688" t="s">
        <v>221</v>
      </c>
      <c r="B688" t="s">
        <v>1537</v>
      </c>
      <c r="C688" s="14">
        <v>45536</v>
      </c>
      <c r="D688">
        <v>5.45</v>
      </c>
    </row>
    <row r="689" spans="1:4">
      <c r="A689" t="s">
        <v>162</v>
      </c>
      <c r="B689" t="s">
        <v>1538</v>
      </c>
      <c r="C689" s="14">
        <v>45536</v>
      </c>
      <c r="D689">
        <v>6.29</v>
      </c>
    </row>
    <row r="690" spans="1:4">
      <c r="A690" t="s">
        <v>155</v>
      </c>
      <c r="B690" t="s">
        <v>1539</v>
      </c>
      <c r="C690" s="14">
        <v>45536</v>
      </c>
      <c r="D690">
        <v>633.27</v>
      </c>
    </row>
    <row r="691" spans="1:4">
      <c r="A691" t="s">
        <v>160</v>
      </c>
      <c r="B691" t="s">
        <v>1540</v>
      </c>
      <c r="C691" s="14">
        <v>45536</v>
      </c>
      <c r="D691">
        <v>463.3</v>
      </c>
    </row>
    <row r="692" spans="1:4">
      <c r="A692" t="s">
        <v>222</v>
      </c>
      <c r="B692" t="s">
        <v>1541</v>
      </c>
      <c r="C692" s="14">
        <v>45536</v>
      </c>
      <c r="D692">
        <v>543.16</v>
      </c>
    </row>
    <row r="693" spans="1:4">
      <c r="A693" t="s">
        <v>186</v>
      </c>
      <c r="B693" t="s">
        <v>1542</v>
      </c>
      <c r="C693" s="14">
        <v>45536</v>
      </c>
      <c r="D693">
        <v>96.37</v>
      </c>
    </row>
    <row r="694" spans="1:4">
      <c r="A694" t="s">
        <v>244</v>
      </c>
      <c r="B694" t="s">
        <v>1543</v>
      </c>
      <c r="C694" s="14">
        <v>45536</v>
      </c>
      <c r="D694">
        <v>173.79</v>
      </c>
    </row>
    <row r="695" spans="1:4">
      <c r="A695" t="s">
        <v>235</v>
      </c>
      <c r="B695" t="s">
        <v>1544</v>
      </c>
      <c r="C695" s="14">
        <v>45536</v>
      </c>
      <c r="D695">
        <v>195.12</v>
      </c>
    </row>
    <row r="696" spans="1:4">
      <c r="A696" t="s">
        <v>188</v>
      </c>
      <c r="B696" t="s">
        <v>1545</v>
      </c>
      <c r="C696" s="14">
        <v>45536</v>
      </c>
      <c r="D696">
        <v>157.5</v>
      </c>
    </row>
    <row r="697" spans="1:4">
      <c r="A697" t="s">
        <v>243</v>
      </c>
      <c r="B697" t="s">
        <v>1546</v>
      </c>
      <c r="C697" s="14">
        <v>45536</v>
      </c>
      <c r="D697">
        <v>131.24</v>
      </c>
    </row>
    <row r="698" spans="1:4">
      <c r="A698" t="s">
        <v>170</v>
      </c>
      <c r="B698" t="s">
        <v>1547</v>
      </c>
      <c r="C698" s="14">
        <v>45536</v>
      </c>
      <c r="D698">
        <v>164.06</v>
      </c>
    </row>
    <row r="699" spans="1:4">
      <c r="A699" t="s">
        <v>207</v>
      </c>
      <c r="B699" t="s">
        <v>1548</v>
      </c>
      <c r="C699" s="14">
        <v>45536</v>
      </c>
      <c r="D699">
        <v>179.67</v>
      </c>
    </row>
    <row r="700" spans="1:4">
      <c r="A700" t="s">
        <v>231</v>
      </c>
      <c r="B700" t="s">
        <v>1549</v>
      </c>
      <c r="C700" s="14">
        <v>45536</v>
      </c>
      <c r="D700">
        <v>236.28</v>
      </c>
    </row>
    <row r="701" spans="1:4">
      <c r="A701" t="s">
        <v>172</v>
      </c>
      <c r="B701" t="s">
        <v>1550</v>
      </c>
      <c r="C701" s="14">
        <v>45536</v>
      </c>
      <c r="D701">
        <v>295.31</v>
      </c>
    </row>
    <row r="702" spans="1:4">
      <c r="A702" t="s">
        <v>245</v>
      </c>
      <c r="B702" t="s">
        <v>1551</v>
      </c>
      <c r="C702" s="14">
        <v>45536</v>
      </c>
      <c r="D702">
        <v>328.12</v>
      </c>
    </row>
    <row r="703" spans="1:4">
      <c r="A703" t="s">
        <v>180</v>
      </c>
      <c r="B703" t="s">
        <v>1552</v>
      </c>
      <c r="C703" s="14">
        <v>45536</v>
      </c>
      <c r="D703">
        <v>336.13</v>
      </c>
    </row>
    <row r="704" spans="1:4">
      <c r="A704" t="s">
        <v>169</v>
      </c>
      <c r="B704" t="s">
        <v>1553</v>
      </c>
      <c r="C704" s="14">
        <v>45536</v>
      </c>
      <c r="D704">
        <v>393.74</v>
      </c>
    </row>
    <row r="705" spans="1:4">
      <c r="A705" t="s">
        <v>171</v>
      </c>
      <c r="B705" t="s">
        <v>1554</v>
      </c>
      <c r="C705" s="14">
        <v>45536</v>
      </c>
      <c r="D705">
        <v>320.41</v>
      </c>
    </row>
    <row r="706" spans="1:4">
      <c r="A706" t="s">
        <v>234</v>
      </c>
      <c r="B706" t="s">
        <v>1555</v>
      </c>
      <c r="C706" s="14">
        <v>45536</v>
      </c>
      <c r="D706">
        <v>340.18</v>
      </c>
    </row>
    <row r="707" spans="1:4">
      <c r="A707" t="s">
        <v>247</v>
      </c>
      <c r="B707" t="s">
        <v>1556</v>
      </c>
      <c r="C707" s="14">
        <v>45536</v>
      </c>
      <c r="D707">
        <v>315.05</v>
      </c>
    </row>
    <row r="708" spans="1:4">
      <c r="A708" t="s">
        <v>92</v>
      </c>
      <c r="B708" t="s">
        <v>1557</v>
      </c>
      <c r="C708" s="14">
        <v>45536</v>
      </c>
      <c r="D708">
        <v>29.37</v>
      </c>
    </row>
    <row r="709" spans="1:4">
      <c r="A709" t="s">
        <v>131</v>
      </c>
      <c r="B709" t="s">
        <v>1558</v>
      </c>
      <c r="C709" s="14">
        <v>45536</v>
      </c>
      <c r="D709">
        <v>31.28</v>
      </c>
    </row>
    <row r="710" spans="1:4">
      <c r="A710" t="s">
        <v>78</v>
      </c>
      <c r="B710" t="s">
        <v>1559</v>
      </c>
      <c r="C710" s="14">
        <v>45536</v>
      </c>
      <c r="D710">
        <v>30.57</v>
      </c>
    </row>
    <row r="711" spans="1:4">
      <c r="A711" t="s">
        <v>44</v>
      </c>
      <c r="B711" t="s">
        <v>1560</v>
      </c>
      <c r="C711" s="14">
        <v>45536</v>
      </c>
      <c r="D711">
        <v>35.33</v>
      </c>
    </row>
    <row r="712" spans="1:4">
      <c r="A712" t="s">
        <v>248</v>
      </c>
      <c r="B712" t="s">
        <v>1561</v>
      </c>
      <c r="C712" s="14">
        <v>45536</v>
      </c>
      <c r="D712">
        <v>22.04</v>
      </c>
    </row>
    <row r="713" spans="1:4">
      <c r="A713" t="s">
        <v>192</v>
      </c>
      <c r="B713" t="s">
        <v>1562</v>
      </c>
      <c r="C713" s="14">
        <v>45536</v>
      </c>
      <c r="D713">
        <v>24.14</v>
      </c>
    </row>
    <row r="714" spans="1:4">
      <c r="A714" t="s">
        <v>1563</v>
      </c>
      <c r="B714" t="s">
        <v>1564</v>
      </c>
      <c r="C714" s="14">
        <v>45566</v>
      </c>
      <c r="D714">
        <v>33.45</v>
      </c>
    </row>
    <row r="715" spans="1:4">
      <c r="A715" t="s">
        <v>196</v>
      </c>
      <c r="B715" t="s">
        <v>1562</v>
      </c>
      <c r="C715" s="14">
        <v>45536</v>
      </c>
      <c r="D715">
        <v>4.21</v>
      </c>
    </row>
    <row r="716" spans="1:4">
      <c r="A716" t="s">
        <v>202</v>
      </c>
      <c r="B716" t="s">
        <v>1562</v>
      </c>
      <c r="C716" s="14">
        <v>45536</v>
      </c>
      <c r="D716">
        <v>4.21</v>
      </c>
    </row>
    <row r="717" spans="1:4">
      <c r="A717" t="s">
        <v>259</v>
      </c>
      <c r="B717" t="s">
        <v>1562</v>
      </c>
      <c r="C717" s="14">
        <v>45543</v>
      </c>
      <c r="D717">
        <v>11.42</v>
      </c>
    </row>
    <row r="718" spans="1:4">
      <c r="A718" t="s">
        <v>210</v>
      </c>
      <c r="B718" t="s">
        <v>1562</v>
      </c>
      <c r="C718" s="14">
        <v>45543</v>
      </c>
      <c r="D718">
        <v>12.83</v>
      </c>
    </row>
    <row r="719" spans="1:4">
      <c r="A719" t="s">
        <v>197</v>
      </c>
      <c r="B719" t="s">
        <v>1565</v>
      </c>
      <c r="C719" s="14">
        <v>45536</v>
      </c>
      <c r="D719">
        <v>28.71</v>
      </c>
    </row>
    <row r="720" spans="1:4">
      <c r="A720" t="s">
        <v>193</v>
      </c>
      <c r="B720" t="s">
        <v>1566</v>
      </c>
      <c r="C720" s="14">
        <v>45536</v>
      </c>
      <c r="D720">
        <v>12.59</v>
      </c>
    </row>
    <row r="721" spans="1:4">
      <c r="A721" t="s">
        <v>1567</v>
      </c>
      <c r="B721" t="s">
        <v>1568</v>
      </c>
      <c r="C721" s="14">
        <v>45566</v>
      </c>
      <c r="D721">
        <v>0</v>
      </c>
    </row>
    <row r="722" spans="1:4">
      <c r="A722" t="s">
        <v>1569</v>
      </c>
      <c r="B722" t="s">
        <v>1570</v>
      </c>
      <c r="C722" s="14">
        <v>45566</v>
      </c>
      <c r="D722">
        <v>0</v>
      </c>
    </row>
    <row r="723" spans="1:4">
      <c r="A723" t="s">
        <v>1571</v>
      </c>
      <c r="B723" t="s">
        <v>1572</v>
      </c>
      <c r="C723" s="14">
        <v>45566</v>
      </c>
      <c r="D723">
        <v>0</v>
      </c>
    </row>
    <row r="724" spans="1:4">
      <c r="A724" t="s">
        <v>1573</v>
      </c>
      <c r="B724" t="s">
        <v>1574</v>
      </c>
      <c r="C724" s="14">
        <v>45566</v>
      </c>
      <c r="D724">
        <v>0</v>
      </c>
    </row>
    <row r="725" spans="1:4">
      <c r="A725" t="s">
        <v>1575</v>
      </c>
      <c r="B725" t="s">
        <v>1576</v>
      </c>
      <c r="C725" s="14">
        <v>45566</v>
      </c>
      <c r="D725">
        <v>0</v>
      </c>
    </row>
    <row r="726" spans="1:4">
      <c r="A726" t="s">
        <v>1577</v>
      </c>
      <c r="B726" t="s">
        <v>1578</v>
      </c>
      <c r="C726" s="14">
        <v>45536</v>
      </c>
      <c r="D726">
        <v>23.04</v>
      </c>
    </row>
    <row r="727" spans="1:4">
      <c r="A727" t="s">
        <v>1579</v>
      </c>
      <c r="B727" t="s">
        <v>1580</v>
      </c>
      <c r="C727" s="14">
        <v>45536</v>
      </c>
      <c r="D727">
        <v>5.25</v>
      </c>
    </row>
    <row r="728" spans="1:4">
      <c r="A728" t="s">
        <v>1581</v>
      </c>
      <c r="B728" t="s">
        <v>1582</v>
      </c>
      <c r="C728" s="14">
        <v>45536</v>
      </c>
      <c r="D728">
        <v>5.25</v>
      </c>
    </row>
    <row r="729" spans="1:4">
      <c r="A729" t="s">
        <v>1583</v>
      </c>
      <c r="B729" t="s">
        <v>1584</v>
      </c>
      <c r="C729" s="14">
        <v>45536</v>
      </c>
      <c r="D729">
        <v>17.68</v>
      </c>
    </row>
  </sheetData>
  <pageMargins left="0.7" right="0.7" top="0.75" bottom="0.75" header="0.3" footer="0.3"/>
  <headerFooter scaleWithDoc="1" alignWithMargins="0" differentFirst="0" differentOddEven="0"/>
  <extLst/>
</worksheet>
</file>

<file path=xl/worksheets/sheet5.xml><?xml version="1.0" encoding="utf-8"?>
<worksheet xmlns:r="http://schemas.openxmlformats.org/officeDocument/2006/relationships" xmlns:x14="http://schemas.microsoft.com/office/spreadsheetml/2009/9/main" xmlns:mc="http://schemas.openxmlformats.org/markup-compatibility/2006" xmlns:xdr="http://schemas.openxmlformats.org/drawingml/2006/spreadsheetDrawing" xmlns="http://schemas.openxmlformats.org/spreadsheetml/2006/main">
  <sheetPr codeName="Sheet5"/>
  <dimension ref="A1:D45"/>
  <sheetViews>
    <sheetView view="normal" workbookViewId="0">
      <selection pane="topLeft" activeCell="A1" sqref="A1"/>
    </sheetView>
  </sheetViews>
  <sheetFormatPr defaultRowHeight="15"/>
  <sheetData>
    <row r="1" spans="1:4">
      <c r="A1" s="6" t="s">
        <v>1585</v>
      </c>
      <c r="B1" s="6" t="s">
        <v>35</v>
      </c>
      <c r="C1" s="6" t="s">
        <v>1586</v>
      </c>
      <c r="D1" s="6" t="s">
        <v>41</v>
      </c>
    </row>
    <row r="2" spans="2:4">
      <c r="B2" t="s">
        <v>69</v>
      </c>
      <c r="C2">
        <v>36</v>
      </c>
      <c r="D2">
        <v>647.64</v>
      </c>
    </row>
    <row r="3" spans="2:4">
      <c r="B3" t="s">
        <v>103</v>
      </c>
      <c r="C3">
        <v>1722</v>
      </c>
      <c r="D3">
        <v>13916.46</v>
      </c>
    </row>
    <row r="4" spans="2:4">
      <c r="B4" t="s">
        <v>102</v>
      </c>
      <c r="C4">
        <v>180</v>
      </c>
      <c r="D4">
        <v>1643.4</v>
      </c>
    </row>
    <row r="5" spans="2:4">
      <c r="B5" t="s">
        <v>148</v>
      </c>
      <c r="C5">
        <v>6</v>
      </c>
      <c r="D5">
        <v>461.22</v>
      </c>
    </row>
    <row r="6" spans="2:4">
      <c r="B6" t="s">
        <v>84</v>
      </c>
      <c r="C6">
        <v>34</v>
      </c>
      <c r="D6">
        <v>2514.98</v>
      </c>
    </row>
    <row r="7" spans="2:4">
      <c r="B7" t="s">
        <v>127</v>
      </c>
      <c r="C7">
        <v>24</v>
      </c>
      <c r="D7">
        <v>2445.52</v>
      </c>
    </row>
    <row r="8" spans="2:4">
      <c r="B8" t="s">
        <v>54</v>
      </c>
      <c r="C8">
        <v>241</v>
      </c>
      <c r="D8">
        <v>5596.02</v>
      </c>
    </row>
    <row r="9" spans="2:4">
      <c r="B9" t="s">
        <v>55</v>
      </c>
      <c r="C9">
        <v>270</v>
      </c>
      <c r="D9">
        <v>4148.1</v>
      </c>
    </row>
    <row r="10" spans="2:4">
      <c r="B10" t="s">
        <v>112</v>
      </c>
      <c r="C10">
        <v>500</v>
      </c>
      <c r="D10">
        <v>10437.5</v>
      </c>
    </row>
    <row r="11" spans="2:4">
      <c r="B11" t="s">
        <v>71</v>
      </c>
      <c r="C11">
        <v>40</v>
      </c>
      <c r="D11">
        <v>1063.2</v>
      </c>
    </row>
    <row r="12" spans="2:4">
      <c r="B12" t="s">
        <v>74</v>
      </c>
      <c r="C12">
        <v>40</v>
      </c>
      <c r="D12">
        <v>685.2</v>
      </c>
    </row>
    <row r="13" spans="2:4">
      <c r="B13" t="s">
        <v>46</v>
      </c>
      <c r="C13">
        <v>20</v>
      </c>
      <c r="D13">
        <v>931.4</v>
      </c>
    </row>
    <row r="14" spans="2:4">
      <c r="B14" t="s">
        <v>45</v>
      </c>
      <c r="C14">
        <v>5</v>
      </c>
      <c r="D14">
        <v>264.2</v>
      </c>
    </row>
    <row r="15" spans="2:4">
      <c r="B15" t="s">
        <v>105</v>
      </c>
      <c r="C15">
        <v>146</v>
      </c>
      <c r="D15">
        <v>1777.66</v>
      </c>
    </row>
    <row r="16" spans="2:4">
      <c r="B16" t="s">
        <v>108</v>
      </c>
      <c r="C16">
        <v>3</v>
      </c>
      <c r="D16">
        <v>57.93</v>
      </c>
    </row>
    <row r="17" spans="2:4">
      <c r="B17" t="s">
        <v>67</v>
      </c>
      <c r="C17">
        <v>82</v>
      </c>
      <c r="D17">
        <v>2151.82</v>
      </c>
    </row>
    <row r="18" spans="2:4">
      <c r="B18" t="s">
        <v>93</v>
      </c>
      <c r="C18">
        <v>16</v>
      </c>
      <c r="D18">
        <v>453.92</v>
      </c>
    </row>
    <row r="19" spans="2:4">
      <c r="B19" t="s">
        <v>97</v>
      </c>
      <c r="C19">
        <v>16</v>
      </c>
      <c r="D19">
        <v>483.84</v>
      </c>
    </row>
    <row r="20" spans="2:4">
      <c r="B20" t="s">
        <v>91</v>
      </c>
      <c r="C20">
        <v>94</v>
      </c>
      <c r="D20">
        <v>2758.98</v>
      </c>
    </row>
    <row r="21" spans="2:4">
      <c r="B21" t="s">
        <v>95</v>
      </c>
      <c r="C21">
        <v>27</v>
      </c>
      <c r="D21">
        <v>996.3</v>
      </c>
    </row>
    <row r="22" spans="2:4">
      <c r="B22" t="s">
        <v>51</v>
      </c>
      <c r="C22">
        <v>24</v>
      </c>
      <c r="D22">
        <v>903.12</v>
      </c>
    </row>
    <row r="23" spans="2:4">
      <c r="B23" t="s">
        <v>217</v>
      </c>
      <c r="C23">
        <v>24</v>
      </c>
      <c r="D23">
        <v>1039.2</v>
      </c>
    </row>
    <row r="24" spans="2:4">
      <c r="B24" t="s">
        <v>68</v>
      </c>
      <c r="C24">
        <v>182</v>
      </c>
      <c r="D24">
        <v>4015.16</v>
      </c>
    </row>
    <row r="25" spans="2:4">
      <c r="B25" t="s">
        <v>56</v>
      </c>
      <c r="C25">
        <v>300</v>
      </c>
      <c r="D25">
        <v>7080</v>
      </c>
    </row>
    <row r="26" spans="2:4">
      <c r="B26" t="s">
        <v>111</v>
      </c>
      <c r="C26">
        <v>200</v>
      </c>
      <c r="D26">
        <v>5652</v>
      </c>
    </row>
    <row r="27" spans="2:4">
      <c r="B27" t="s">
        <v>130</v>
      </c>
      <c r="C27">
        <v>36</v>
      </c>
      <c r="D27">
        <v>1812.24</v>
      </c>
    </row>
    <row r="28" spans="2:4">
      <c r="B28" t="s">
        <v>132</v>
      </c>
      <c r="C28">
        <v>5</v>
      </c>
      <c r="D28">
        <v>261.45</v>
      </c>
    </row>
    <row r="29" spans="2:4">
      <c r="B29" t="s">
        <v>252</v>
      </c>
      <c r="C29">
        <v>64</v>
      </c>
      <c r="D29">
        <v>589.52</v>
      </c>
    </row>
    <row r="30" spans="2:4">
      <c r="B30" t="s">
        <v>219</v>
      </c>
      <c r="C30">
        <v>16</v>
      </c>
      <c r="D30">
        <v>164</v>
      </c>
    </row>
    <row r="31" spans="2:4">
      <c r="B31" t="s">
        <v>204</v>
      </c>
      <c r="C31">
        <v>56</v>
      </c>
      <c r="D31">
        <v>252.32</v>
      </c>
    </row>
    <row r="32" spans="2:4">
      <c r="B32" t="s">
        <v>158</v>
      </c>
      <c r="C32">
        <v>44</v>
      </c>
      <c r="D32">
        <v>1169.76</v>
      </c>
    </row>
    <row r="33" spans="2:4">
      <c r="B33" t="s">
        <v>216</v>
      </c>
      <c r="C33">
        <v>24</v>
      </c>
      <c r="D33">
        <v>85.68</v>
      </c>
    </row>
    <row r="34" spans="2:4">
      <c r="B34" t="s">
        <v>623</v>
      </c>
      <c r="C34">
        <v>12</v>
      </c>
      <c r="D34">
        <v>274.08</v>
      </c>
    </row>
    <row r="35" spans="2:4">
      <c r="B35" t="s">
        <v>742</v>
      </c>
      <c r="C35">
        <v>36</v>
      </c>
      <c r="D35">
        <v>246.24</v>
      </c>
    </row>
    <row r="36" spans="2:4">
      <c r="B36" t="s">
        <v>870</v>
      </c>
      <c r="C36">
        <v>18</v>
      </c>
      <c r="D36">
        <v>104.58</v>
      </c>
    </row>
    <row r="37" spans="2:4">
      <c r="B37" t="s">
        <v>882</v>
      </c>
      <c r="C37">
        <v>18</v>
      </c>
      <c r="D37">
        <v>478.08</v>
      </c>
    </row>
    <row r="38" spans="2:4">
      <c r="B38" t="s">
        <v>940</v>
      </c>
      <c r="C38">
        <v>30</v>
      </c>
      <c r="D38">
        <v>169.5</v>
      </c>
    </row>
    <row r="39" spans="2:4">
      <c r="B39" t="s">
        <v>157</v>
      </c>
      <c r="C39">
        <v>6</v>
      </c>
      <c r="D39">
        <v>659.4</v>
      </c>
    </row>
    <row r="40" spans="2:4">
      <c r="B40" t="s">
        <v>164</v>
      </c>
      <c r="C40">
        <v>4</v>
      </c>
      <c r="D40">
        <v>781.6</v>
      </c>
    </row>
    <row r="41" spans="2:4">
      <c r="B41" t="s">
        <v>220</v>
      </c>
      <c r="C41">
        <v>70</v>
      </c>
      <c r="D41">
        <v>1484.5</v>
      </c>
    </row>
    <row r="42" spans="2:4">
      <c r="B42" t="s">
        <v>256</v>
      </c>
      <c r="C42">
        <v>186</v>
      </c>
      <c r="D42">
        <v>1620.48</v>
      </c>
    </row>
    <row r="43" spans="2:4">
      <c r="B43" t="s">
        <v>221</v>
      </c>
      <c r="C43">
        <v>126</v>
      </c>
      <c r="D43">
        <v>565.74</v>
      </c>
    </row>
    <row r="44" spans="2:4">
      <c r="B44" t="s">
        <v>248</v>
      </c>
      <c r="C44">
        <v>108</v>
      </c>
      <c r="D44">
        <v>1731.96</v>
      </c>
    </row>
    <row r="45" spans="2:4">
      <c r="B45" t="s">
        <v>202</v>
      </c>
      <c r="C45">
        <v>66</v>
      </c>
      <c r="D45">
        <v>238.26</v>
      </c>
    </row>
  </sheetData>
  <pageMargins left="0.7" right="0.7" top="0.75" bottom="0.75" header="0.3" footer="0.3"/>
  <headerFooter scaleWithDoc="1" alignWithMargins="0" differentFirst="0" differentOddEven="0"/>
  <extLst/>
</worksheet>
</file>

<file path=docProps/app.xml><?xml version="1.0" encoding="utf-8"?>
<Properties xmlns="http://schemas.openxmlformats.org/officeDocument/2006/extended-properties">
  <Application>Essential XlsIO</Application>
  <AppVersion>16.0300</AppVersion>
</Properties>
</file>

<file path=docProps/core.xml><?xml version="1.0" encoding="utf-8"?>
<cp:coreProperties xmlns:dc="http://purl.org/dc/elements/1.1/" xmlns:dcterms="http://purl.org/dc/terms/" xmlns:dcmitype="http://purl.org/dc/dcmitype/" xmlns:xsi="http://www.w3.org/2001/XMLSchema-instance" xmlns:cp="http://schemas.openxmlformats.org/package/2006/metadata/core-properties">
  <dc:creator>willit2</dc:creator>
  <dcterms:created xsi:type="dcterms:W3CDTF">2024-11-13T20:42:30Z</dcterms:created>
  <dcterms:modified xsi:type="dcterms:W3CDTF">2024-11-13T20:42:30Z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