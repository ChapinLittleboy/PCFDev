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029"/>
  <workbookPr codeName="ThisWorkbook" defaultThemeVersion="166925" hidePivotFieldList="1"/>
  <bookViews>
    <workbookView xWindow="28680" yWindow="-120" windowWidth="29040" windowHeight="15870" tabRatio="709"/>
  </bookViews>
  <sheets>
    <sheet name="9_1_2025 Price Book" sheetId="24" r:id="rId1"/>
    <sheet name="Accessories &amp; Replacement Parts" sheetId="25" r:id="rId2"/>
    <sheet name="Skus 12 &amp; 5 increase" sheetId="17" r:id="rId3" state="hidden"/>
  </sheets>
  <definedNames>
    <definedName name="_xlnm._FilterDatabase" comment="" localSheetId="1" hidden="1">'Accessories &amp; Replacement Parts'!$A$5:$D$5</definedName>
    <definedName name="ANCHOR_WS01" comment="">'9_1_2025 Price Book'!$A$3</definedName>
  </definedNames>
  <calcPr fullPrecision="1" calcId="191029"/>
</workbook>
</file>

<file path=xl/sharedStrings.xml><?xml version="1.0" encoding="utf-8"?>
<sst xmlns="http://schemas.openxmlformats.org/spreadsheetml/2006/main" uniqueCount="2333" count="6055">
  <si>
    <t>USA</t>
  </si>
  <si>
    <t>REVIEW with Competition and instore (NOT online)</t>
  </si>
  <si>
    <t>ITEM
NO.</t>
  </si>
  <si>
    <t>PRODUCT DESCRIPTION</t>
  </si>
  <si>
    <t>UPC
0-23883-</t>
  </si>
  <si>
    <t>QTY.</t>
  </si>
  <si>
    <t>PALLET
QTY.</t>
  </si>
  <si>
    <t xml:space="preserve">PPD
$12,500 </t>
  </si>
  <si>
    <t>PPD
$4,000</t>
  </si>
  <si>
    <t>LIST
PRICE</t>
  </si>
  <si>
    <t>Current MAP</t>
  </si>
  <si>
    <t>New Dist $4K Price 22% off MAP</t>
  </si>
  <si>
    <t>$12500 DNET 10% off DNET</t>
  </si>
  <si>
    <t>SPRAYERS</t>
  </si>
  <si>
    <t>LIST</t>
  </si>
  <si>
    <t xml:space="preserve"> POLY SPRAYERS</t>
  </si>
  <si>
    <t>21230XP</t>
  </si>
  <si>
    <t>21230-8</t>
  </si>
  <si>
    <t>21220XP</t>
  </si>
  <si>
    <t>21220-9</t>
  </si>
  <si>
    <t>21210XP</t>
  </si>
  <si>
    <t>21210-0</t>
  </si>
  <si>
    <t>26031XP</t>
  </si>
  <si>
    <t>26031-6</t>
  </si>
  <si>
    <t>26021XP</t>
  </si>
  <si>
    <t>26021-7</t>
  </si>
  <si>
    <t>26011XP</t>
  </si>
  <si>
    <t>26011-8</t>
  </si>
  <si>
    <t>SureSpray™ Deluxe Sprayer - 3 Gal</t>
  </si>
  <si>
    <t>26030-9</t>
  </si>
  <si>
    <t>SureSpray™ Deluxe Sprayer - 2 Gal</t>
  </si>
  <si>
    <t>26020-0</t>
  </si>
  <si>
    <t>SureSpray™ Deluxe Sprayer - 1 Gal</t>
  </si>
  <si>
    <t>26010-1</t>
  </si>
  <si>
    <t>SureSpray™ Select Sprayer - 3 Gal</t>
  </si>
  <si>
    <t>27030-8</t>
  </si>
  <si>
    <t>SureSpray™ Select Sprayer - 2 Gal</t>
  </si>
  <si>
    <t>27020-9</t>
  </si>
  <si>
    <t>SureSpray™ Select Sprayer - 1 Gal</t>
  </si>
  <si>
    <t>27010-0</t>
  </si>
  <si>
    <t>SureSpray™ Sprayer - 3 Gal</t>
  </si>
  <si>
    <t>20030-5</t>
  </si>
  <si>
    <t>SureSpray™ Sprayer - 2 Gal</t>
  </si>
  <si>
    <t>20020-6</t>
  </si>
  <si>
    <t>SureSpray™ Sprayer - 1 Gal</t>
  </si>
  <si>
    <t>20010-7</t>
  </si>
  <si>
    <t>Lawn &amp; Garden Sprayer - 3 Gal</t>
  </si>
  <si>
    <t>20003-9</t>
  </si>
  <si>
    <t>Lawn &amp; Garden Sprayer - 2 Gal</t>
  </si>
  <si>
    <t>20002-2</t>
  </si>
  <si>
    <t>Lawn &amp; Garden Sprayer - 1 Gal</t>
  </si>
  <si>
    <t>20000-8</t>
  </si>
  <si>
    <t>SureSpray™ Sprayer - 1/2 Gal</t>
  </si>
  <si>
    <t>10000-1</t>
  </si>
  <si>
    <t>Home &amp; Garden Sprayer - 2 Gal</t>
  </si>
  <si>
    <t>16200-9</t>
  </si>
  <si>
    <t>Home &amp; Garden Sprayer - 1 Gal</t>
  </si>
  <si>
    <t>16100-2</t>
  </si>
  <si>
    <t>Disinfectant Sprayer Bleach - 2 Gal</t>
  </si>
  <si>
    <t>24029-5</t>
  </si>
  <si>
    <t>24019</t>
  </si>
  <si>
    <t>Disinfectant Sprayer Bleach - 1 Gal</t>
  </si>
  <si>
    <t>24019-6</t>
  </si>
  <si>
    <t>G3000P</t>
  </si>
  <si>
    <t>GP Series  Wide Mouth Poly Sprayer - 3 Gal</t>
  </si>
  <si>
    <t>00007-3</t>
  </si>
  <si>
    <t>G2000P</t>
  </si>
  <si>
    <t>GP Series  Wide Mouth Poly Sprayer - 2 Gal</t>
  </si>
  <si>
    <t>00006-6</t>
  </si>
  <si>
    <t>G1000P</t>
  </si>
  <si>
    <t>GP Series  Wide Mouth Poly Sprayer - 1 Gal</t>
  </si>
  <si>
    <t>00008-0</t>
  </si>
  <si>
    <t>Stand 'n Spray™ No Bend Sprayer - 3 Gal</t>
  </si>
  <si>
    <t>29003-0</t>
  </si>
  <si>
    <t>Stand 'n Spray™ No Bend Sprayer - 2 Gal</t>
  </si>
  <si>
    <t>29002-3</t>
  </si>
  <si>
    <t>Stand 'n Spray™ No Bend Sprayer - 1 Gal</t>
  </si>
  <si>
    <t>29001-6</t>
  </si>
  <si>
    <t>Light Duty Poly Garden Sprayer - 2 liters</t>
  </si>
  <si>
    <t>10031-5</t>
  </si>
  <si>
    <t xml:space="preserve"> INDUSTRIAL POLY SPRAYERS</t>
  </si>
  <si>
    <t>22149XP</t>
  </si>
  <si>
    <r>
      <t>Dripless Xtreme</t>
    </r>
    <r>
      <rPr>
        <sz val="10"/>
        <rFont val="Calibri"/>
        <family val="2"/>
        <charset val="0"/>
      </rPr>
      <t>™</t>
    </r>
    <r>
      <rPr>
        <sz val="10"/>
        <rFont val="Tahoma"/>
        <family val="2"/>
        <charset val="0"/>
      </rPr>
      <t xml:space="preserve"> (XP) Poly Concrete Open Head Sprayer - 3 Gal</t>
    </r>
  </si>
  <si>
    <t>22149-2</t>
  </si>
  <si>
    <t>22049XP</t>
  </si>
  <si>
    <r>
      <t>Xtreme</t>
    </r>
    <r>
      <rPr>
        <sz val="10"/>
        <rFont val="Arial"/>
        <family val="2"/>
        <charset val="0"/>
      </rPr>
      <t>™</t>
    </r>
    <r>
      <rPr>
        <sz val="10"/>
        <rFont val="Tahoma"/>
        <family val="2"/>
        <charset val="0"/>
      </rPr>
      <t xml:space="preserve"> (XP) Poly Concrete Open Head Sprayer - 3 Gal</t>
    </r>
  </si>
  <si>
    <t>22049-5</t>
  </si>
  <si>
    <t>22180XP</t>
  </si>
  <si>
    <t>Industrial (XP) Poly w/ Chem Resistant Seals Concrete Sprayer - 3 Gal</t>
  </si>
  <si>
    <t>22180-5</t>
  </si>
  <si>
    <t>22170XP</t>
  </si>
  <si>
    <t>Industrial (XP) Poly Concrete Sprayer - 3 Gal</t>
  </si>
  <si>
    <t>22170-6</t>
  </si>
  <si>
    <t>22790XP</t>
  </si>
  <si>
    <t>Industrial Poly (XP) w/  Chem Resistant Seals Heavy Duty Sprayer - 3 Gal</t>
  </si>
  <si>
    <t>22790-6</t>
  </si>
  <si>
    <t>22090XP</t>
  </si>
  <si>
    <t>Industrial Poly (XP) Heavy Duty Sprayer - 3 Gal</t>
  </si>
  <si>
    <t>22090-7</t>
  </si>
  <si>
    <t>2553E</t>
  </si>
  <si>
    <t>Industrial Poly General Duty Sprayer - 3 Gal</t>
  </si>
  <si>
    <t>02553-3</t>
  </si>
  <si>
    <t>21127XP</t>
  </si>
  <si>
    <t>Industrial (XP) Acetone Sprayer - 3 Gal</t>
  </si>
  <si>
    <t>21127-1</t>
  </si>
  <si>
    <t>Industrial Acetone Sprayer - 2 Gal</t>
  </si>
  <si>
    <t>26127-6</t>
  </si>
  <si>
    <t>22360XP</t>
  </si>
  <si>
    <t>Industrial (XP) w/ Chem Resistant Seals Cleaner/Degreaser Sprayer - 3 Gal</t>
  </si>
  <si>
    <t>22360-1</t>
  </si>
  <si>
    <t>22350XP</t>
  </si>
  <si>
    <t>Industrial (XP) w/  Chem Resistant Seals Cleaner/Degreaser Sprayer - 2 Gal</t>
  </si>
  <si>
    <t>22350-2</t>
  </si>
  <si>
    <t>22251XP</t>
  </si>
  <si>
    <t>Dripless (XP) Acid Staining Sprayer - 2 Gal</t>
  </si>
  <si>
    <t>22251-2</t>
  </si>
  <si>
    <t>22240XP</t>
  </si>
  <si>
    <t>Acid (XP) Staining Sprayer - 2 Gal</t>
  </si>
  <si>
    <t>22240-6</t>
  </si>
  <si>
    <t>22230XP</t>
  </si>
  <si>
    <t>Acid (XP) Staining Sprayer - 1 Gal</t>
  </si>
  <si>
    <t>22230-7</t>
  </si>
  <si>
    <t>21250XP</t>
  </si>
  <si>
    <t>Pro Extended Performance Farm &amp; Field w/  Chem Resistant Seals Sprayer - 3 Gal</t>
  </si>
  <si>
    <t>21250-6</t>
  </si>
  <si>
    <t>21240XP</t>
  </si>
  <si>
    <t>Pro Extended Performance Farm &amp; Field w/  Chem Resistant Seals Sprayer - 2 Gal</t>
  </si>
  <si>
    <t>21240-7</t>
  </si>
  <si>
    <t>2803E</t>
  </si>
  <si>
    <t>Farm &amp; Field Poly Sprayer Plus - 3 Gal</t>
  </si>
  <si>
    <t>02803-9</t>
  </si>
  <si>
    <t>2802E</t>
  </si>
  <si>
    <t>Farm &amp; Field Poly Sprayer Plus - 2 Gal</t>
  </si>
  <si>
    <t>02802-2</t>
  </si>
  <si>
    <t>2610E</t>
  </si>
  <si>
    <t>Poly Sprayer - 3 Gal</t>
  </si>
  <si>
    <t>02610-3</t>
  </si>
  <si>
    <t>2609E</t>
  </si>
  <si>
    <t>Poly Sprayer - 2 Gal</t>
  </si>
  <si>
    <t>02609-7</t>
  </si>
  <si>
    <t>2608E</t>
  </si>
  <si>
    <t>Poly Sprayer - 1 Gal</t>
  </si>
  <si>
    <t>02608-0</t>
  </si>
  <si>
    <t>2660E</t>
  </si>
  <si>
    <t>Poly Foamer/Sprayer - 3 Gal</t>
  </si>
  <si>
    <t>02660-8</t>
  </si>
  <si>
    <t>2659E</t>
  </si>
  <si>
    <t>Poly Foamer/Sprayer - 2 Gal</t>
  </si>
  <si>
    <t>02659-2</t>
  </si>
  <si>
    <t>2658E</t>
  </si>
  <si>
    <t>Poly Foamer/Sprayer - 1 Gal</t>
  </si>
  <si>
    <t>02658-5</t>
  </si>
  <si>
    <t xml:space="preserve"> DECK, FENCE &amp; PATIO POLY SPRAYERS</t>
  </si>
  <si>
    <t>Thompson Deck, Fence, Patio w/ Chem Resistant Seals Sprayer - 2 Gal</t>
  </si>
  <si>
    <t>25022-5</t>
  </si>
  <si>
    <t>Clean 'N Seal Poly Deck, Fence &amp; Patio w/ Chem Resistant Seals Sprayer - 2   Gal</t>
  </si>
  <si>
    <t>25020-1</t>
  </si>
  <si>
    <t>Clean 'N Seal Poly Deck, Fence &amp; Patio w/ Chem Resistant Seals Sprayer - 1   Gal</t>
  </si>
  <si>
    <t>25012-6</t>
  </si>
  <si>
    <t>Clean 'N Seal Poly Deck w/ Chem Resistant Seals Sprayer - 1 Gal</t>
  </si>
  <si>
    <t>25010-2</t>
  </si>
  <si>
    <t xml:space="preserve"> SPECIALTY POLY SPRAYERS</t>
  </si>
  <si>
    <t>G2005P</t>
  </si>
  <si>
    <t>Ag Vinegar Wide Mouth Poly Sprayer - 2 Gal</t>
  </si>
  <si>
    <t>00032-5</t>
  </si>
  <si>
    <t>Bleach Industrial Poly Sprayer - 1 Gal</t>
  </si>
  <si>
    <t>20075-6</t>
  </si>
  <si>
    <t>2675E</t>
  </si>
  <si>
    <t>Pest Control Poly Sprayer - 1 Gal</t>
  </si>
  <si>
    <t>02675-2</t>
  </si>
  <si>
    <t>Mosquito Poly Sprayer without chemical - 1 Gal</t>
  </si>
  <si>
    <t>02014-9</t>
  </si>
  <si>
    <t>Water Supply Tank Industrial Poly - 3.5 Gal</t>
  </si>
  <si>
    <t>41330-9</t>
  </si>
  <si>
    <t>Spectracide® Sprayer - 2 Gal</t>
  </si>
  <si>
    <t>26029-3</t>
  </si>
  <si>
    <t>Spectracide® Sprayer - 1 Gal</t>
  </si>
  <si>
    <t>27019-3</t>
  </si>
  <si>
    <t>Slide Sprayer</t>
  </si>
  <si>
    <t>06002-2</t>
  </si>
  <si>
    <t>N/A</t>
  </si>
  <si>
    <t xml:space="preserve"> STEEL SPRAYERS</t>
  </si>
  <si>
    <t>Industrial w/Chem Resistant Seals Concrete Open Head Sprayer - 3.5 Gal</t>
  </si>
  <si>
    <t>01949-5</t>
  </si>
  <si>
    <t>Xtreme™ Industrial w/Chem Resistant Seals Concrete Open Head Sprayer - 3.5 Gal</t>
  </si>
  <si>
    <t>19049-1</t>
  </si>
  <si>
    <t>Xtreme® Stainless Concrete Open Head Sprayer - 3.5 Gal</t>
  </si>
  <si>
    <t>19069-9</t>
  </si>
  <si>
    <t>Evolution Concrete Compressor Charged Sprayer Xtreme® - 3.5 Gal</t>
  </si>
  <si>
    <t>19099-6</t>
  </si>
  <si>
    <t>Dripless Xtreme w/Chem Resistant Seals Concrete Open Head Sprayer - 3.5 Gal</t>
  </si>
  <si>
    <t>19249-5</t>
  </si>
  <si>
    <t>Dripless Industrial w/Chem Resistant Seals Concrete Open Head Sprayer - 3.5 Gal</t>
  </si>
  <si>
    <t>19149-8</t>
  </si>
  <si>
    <t>Industrial w/ Chem Resistant Seals Concrete Compressor Charged - 3.5 Gal</t>
  </si>
  <si>
    <t>01999-0</t>
  </si>
  <si>
    <t>Industrial w/ Chem Resistant Seals Concrete Open Head w/Filter - 3.5 Gal</t>
  </si>
  <si>
    <t>01979-2</t>
  </si>
  <si>
    <t>Industrial Open Head General Duty Sprayer - 3.5 Gal</t>
  </si>
  <si>
    <t>01941-9</t>
  </si>
  <si>
    <t>Industrial Open Head General Duty Sprayer - 3 Gal</t>
  </si>
  <si>
    <t>01831-3</t>
  </si>
  <si>
    <t>Industrial Funnel Top General Duty Sprayer - 3.5 Gal</t>
  </si>
  <si>
    <t>01480-3</t>
  </si>
  <si>
    <t>Industrial w/ Chem Resistant Seals Concrete Funnel Top Sprayer - 3.5 Gal</t>
  </si>
  <si>
    <t>01449-0</t>
  </si>
  <si>
    <t>Industrial Metal w/ Chem Resistant Seals Heavy Duty Sprayer - 3 Gal</t>
  </si>
  <si>
    <t>01352-3</t>
  </si>
  <si>
    <t>Industrial Metal Water Supply Tank - 3.5 Gal</t>
  </si>
  <si>
    <t>04163-2</t>
  </si>
  <si>
    <t>Premier Pro Stainless Steel w/Chem Resistant Seals Sprayer  - 2 Gal</t>
  </si>
  <si>
    <t>01253-3</t>
  </si>
  <si>
    <t>Premier Pro Tri-poxy®  Steel w/Chem Resistant Seals Sprayer - 3 Gal</t>
  </si>
  <si>
    <t>01380-6</t>
  </si>
  <si>
    <t>Premier Pro Tri-poxy®  Steel w/Chem Resistant Seals Sprayer - 2 Gal</t>
  </si>
  <si>
    <t>01280-9</t>
  </si>
  <si>
    <t>Premier Pro Tri-poxy®  Steel w/Chem Resistant Seals Sprayer - 1 Gal</t>
  </si>
  <si>
    <t>01180-2</t>
  </si>
  <si>
    <t>Yard &amp; Garden Stainless Steel Plus Sprayer - 2 Gal</t>
  </si>
  <si>
    <t>31440-8</t>
  </si>
  <si>
    <t>Yard &amp; Garden Tri-poxy®  Steel Plus Sprayer - 3 Gal</t>
  </si>
  <si>
    <t>31430-9</t>
  </si>
  <si>
    <t>Yard &amp; Garden Tri-poxy®  Steel Plus Sprayer - 2 Gal</t>
  </si>
  <si>
    <t>31420-0</t>
  </si>
  <si>
    <t>Yard &amp; Garden Tri-poxy®  Steel Plus Sprayer - 1 Gal</t>
  </si>
  <si>
    <t>31410-1</t>
  </si>
  <si>
    <t>Industrial Stainless Steel Sprayer - 3 Gal</t>
  </si>
  <si>
    <t>01749-1</t>
  </si>
  <si>
    <t>Industrial Stainless Steel Sprayer - 2 Gal</t>
  </si>
  <si>
    <t>01739-2</t>
  </si>
  <si>
    <t>Chapin Tripoxy Deck Sprayer - 2 Gal</t>
  </si>
  <si>
    <t>30600-7</t>
  </si>
  <si>
    <t>06300-9</t>
  </si>
  <si>
    <t xml:space="preserve"> BACKPACK SPRAYERS</t>
  </si>
  <si>
    <t>Professional 6" Wide Mouth Backpack Poly Sprayer Piston - 4 Gal</t>
  </si>
  <si>
    <t>63800-9</t>
  </si>
  <si>
    <t>Professional Backpack Poly Sprayer - 4 Gal</t>
  </si>
  <si>
    <t>61800-1</t>
  </si>
  <si>
    <t>Professional Backpack Poly Sprayer Diaphragm - 4 Gal</t>
  </si>
  <si>
    <t>64800-8</t>
  </si>
  <si>
    <t>Tree/Turf Pro Commercial Backpack Sprayer Brass Wand - 4 Gal</t>
  </si>
  <si>
    <t>62999-1</t>
  </si>
  <si>
    <t>Tree/Turf Pro Commercial Backpack Sprayer Steel Wand - 4 Gal</t>
  </si>
  <si>
    <t>61900-8</t>
  </si>
  <si>
    <t>JetClean™ Commercial Backpack Sprayer Dual Displacement - 4 Gal</t>
  </si>
  <si>
    <t>63900-6</t>
  </si>
  <si>
    <t>Deluxe Backpack Poly Sprayer - 4 Gal</t>
  </si>
  <si>
    <t>60100-3</t>
  </si>
  <si>
    <t>Horticultural Vinegar Backpack-4 G</t>
  </si>
  <si>
    <t>60105-8</t>
  </si>
  <si>
    <t>Chapin Backpack Poly Sprayer Bleach - 4 Gal</t>
  </si>
  <si>
    <t>60175-1</t>
  </si>
  <si>
    <t>Chapin Backpack Poly Sprayer Disinfectant - 4 Gal</t>
  </si>
  <si>
    <t>63819-1</t>
  </si>
  <si>
    <t>Mixes on Exit Backpack Sprayer - 4 gal</t>
  </si>
  <si>
    <t>63950-1</t>
  </si>
  <si>
    <t>Chapin 24V POWERED by Chapin Wide Mouth Battery Backpack</t>
  </si>
  <si>
    <t>63924-2</t>
  </si>
  <si>
    <t>Chapin 20v Integrated Battery Tank Sprayer - 2 Gal</t>
  </si>
  <si>
    <t>27500-6</t>
  </si>
  <si>
    <t>Chapin 20v Integrated Battery Tank Sprayer - 4 Gal</t>
  </si>
  <si>
    <t>60124-9</t>
  </si>
  <si>
    <t xml:space="preserve"> Backpack Accessories</t>
  </si>
  <si>
    <t>6-6004</t>
  </si>
  <si>
    <t>Foaming nozzle Accsy-Fits most Chapin sprayers</t>
  </si>
  <si>
    <t>66004-8</t>
  </si>
  <si>
    <t>̶̶̶̶—</t>
  </si>
  <si>
    <t>6-7771</t>
  </si>
  <si>
    <t>Poly 40" (1 meter) wand</t>
  </si>
  <si>
    <t>67771-8</t>
  </si>
  <si>
    <t>6-7772</t>
  </si>
  <si>
    <t>Chrome plated steel 40" (1 meter) wand</t>
  </si>
  <si>
    <t>67772-5</t>
  </si>
  <si>
    <t>6-7780</t>
  </si>
  <si>
    <t>2 nozzle poly boom</t>
  </si>
  <si>
    <t>67780-0</t>
  </si>
  <si>
    <t>6-7781</t>
  </si>
  <si>
    <t>3 nozzle poly boom</t>
  </si>
  <si>
    <t>67781-7</t>
  </si>
  <si>
    <t>6-7782</t>
  </si>
  <si>
    <t>4 nozzle poly boom</t>
  </si>
  <si>
    <t>67782-4</t>
  </si>
  <si>
    <t>6-8219</t>
  </si>
  <si>
    <t>Spray Tube 20"</t>
  </si>
  <si>
    <t>68219-4</t>
  </si>
  <si>
    <t>6-8173</t>
  </si>
  <si>
    <t>Stainless 20" Wand</t>
  </si>
  <si>
    <t>68173-9</t>
  </si>
  <si>
    <t>6-8093</t>
  </si>
  <si>
    <t>Plastic Adj. Nozzle</t>
  </si>
  <si>
    <t>68093-0</t>
  </si>
  <si>
    <t>6-8096</t>
  </si>
  <si>
    <t>Flat Spray Jet</t>
  </si>
  <si>
    <t>68096-1</t>
  </si>
  <si>
    <t>6-8131</t>
  </si>
  <si>
    <t>Kit Noz 301478 W/Blister 7221856</t>
  </si>
  <si>
    <t>68131-9</t>
  </si>
  <si>
    <t>6-8122</t>
  </si>
  <si>
    <t>Brass Adjustable Nozzle</t>
  </si>
  <si>
    <t>68122-7</t>
  </si>
  <si>
    <t>6-8138</t>
  </si>
  <si>
    <t>Shut-Off Assembly</t>
  </si>
  <si>
    <t>68138-8</t>
  </si>
  <si>
    <t>6-8120B</t>
  </si>
  <si>
    <t>Shut-Off Repair Kit</t>
  </si>
  <si>
    <t>99999-5</t>
  </si>
  <si>
    <t>6-8501</t>
  </si>
  <si>
    <t>CFV Red 21 psi-1.5 bar plus adapters</t>
  </si>
  <si>
    <t>68501-0</t>
  </si>
  <si>
    <t xml:space="preserve"> HANDHELD SPRAYERS</t>
  </si>
  <si>
    <t>Farm &amp; Field Hand Sprayer - 48 oz.</t>
  </si>
  <si>
    <t>01003-4</t>
  </si>
  <si>
    <t>Multi-Purpose Sprayer - 48 oz.</t>
  </si>
  <si>
    <t>01002-7</t>
  </si>
  <si>
    <t>Wallpaper Sprayer - 48 oz.</t>
  </si>
  <si>
    <t>01009-6</t>
  </si>
  <si>
    <t>Light Duty Poly Garden Sprayer - 48 oz.</t>
  </si>
  <si>
    <t>01000-3</t>
  </si>
  <si>
    <t>Industrial w/ Chem Resistant Seals Cleaner/Degreaser Sprayer - 48 oz.</t>
  </si>
  <si>
    <t>01046-1</t>
  </si>
  <si>
    <t>Poly Foamer Sprayer - 48 oz.</t>
  </si>
  <si>
    <t>01054-6</t>
  </si>
  <si>
    <t>Industrial Acetone Hand Sprayer - 48 oz.</t>
  </si>
  <si>
    <t>10027-8</t>
  </si>
  <si>
    <t xml:space="preserve"> TRIGGER SPRAYERS</t>
  </si>
  <si>
    <t>Upside Down Multi-Use Trigger Sprayer - 32 oz.</t>
  </si>
  <si>
    <t>01105-5</t>
  </si>
  <si>
    <t>Multi-Use Trigger Sprayer - 32 oz.</t>
  </si>
  <si>
    <t>01055-3</t>
  </si>
  <si>
    <t>10509</t>
  </si>
  <si>
    <t>Disinfectant Misting Trigger Sprayer - 32 oz.</t>
  </si>
  <si>
    <t>10509-9</t>
  </si>
  <si>
    <t xml:space="preserve"> HOSE END SPRAYERS</t>
  </si>
  <si>
    <t>G362D</t>
  </si>
  <si>
    <t>Deluxe Pro All Purpose Sprayer w/Metering Dial-16 mixing ratios</t>
  </si>
  <si>
    <t>00009-7</t>
  </si>
  <si>
    <t>G362</t>
  </si>
  <si>
    <t>Pro All Purpose Sprayer w/Metering Dial-16 mixing ratios</t>
  </si>
  <si>
    <t>00001-1</t>
  </si>
  <si>
    <t>G6015</t>
  </si>
  <si>
    <t>Wet or Dry 3 Position Hose End - 6 Gal</t>
  </si>
  <si>
    <t>06015-2</t>
  </si>
  <si>
    <t>G499</t>
  </si>
  <si>
    <t>Select N' Spray, no Pre-Mix, Adjustable Rate</t>
  </si>
  <si>
    <t>00005-9</t>
  </si>
  <si>
    <t>G405</t>
  </si>
  <si>
    <t xml:space="preserve">Dry 7 Way- 4 Position Fertilizing Hose End </t>
  </si>
  <si>
    <t>00004-2</t>
  </si>
  <si>
    <t>G390</t>
  </si>
  <si>
    <t>Wet Fixed Rate Hose End - 20 Gal</t>
  </si>
  <si>
    <t>00003-5</t>
  </si>
  <si>
    <t>G385</t>
  </si>
  <si>
    <t>Wet Fixed Rate Hose End - 6 Gal</t>
  </si>
  <si>
    <t>00002-8</t>
  </si>
  <si>
    <t>G5502</t>
  </si>
  <si>
    <t>Cleaning/Sanitizing/Automotive/Livestock/Pet Hose end w/brass QC</t>
  </si>
  <si>
    <t>00031-8</t>
  </si>
  <si>
    <t xml:space="preserve"> ATV SPRAYERS</t>
  </si>
  <si>
    <t>97500E</t>
  </si>
  <si>
    <t>25g EZ Mount 12v Deluxe Dripless Spot Sprayer</t>
  </si>
  <si>
    <t>97500-5</t>
  </si>
  <si>
    <t>97400E</t>
  </si>
  <si>
    <t>25g EZ Mount 12v Spot Sprayer</t>
  </si>
  <si>
    <t>97400-8</t>
  </si>
  <si>
    <t>97300E</t>
  </si>
  <si>
    <t>15g EZ Mount 12v Deluxe Dripless Spot Sprayer</t>
  </si>
  <si>
    <t>97300-1</t>
  </si>
  <si>
    <t>97200E</t>
  </si>
  <si>
    <t>15g EZ Mount 12v Spot Sprayer</t>
  </si>
  <si>
    <t>97200-4</t>
  </si>
  <si>
    <t>97701E</t>
  </si>
  <si>
    <t>25g EZ Tow 12v Dripless Sprayer</t>
  </si>
  <si>
    <t>97701-6</t>
  </si>
  <si>
    <t>15g EZ Mount ATV Sprayer with MOE™ System</t>
  </si>
  <si>
    <t>97361-2</t>
  </si>
  <si>
    <t>25g EZ Mount ATV Sprayer with MOE™ System</t>
  </si>
  <si>
    <t>97561-6</t>
  </si>
  <si>
    <t>97661E</t>
  </si>
  <si>
    <t>15g EZ Tow ATV Sprayer with MOE™ System</t>
  </si>
  <si>
    <t>97661-3</t>
  </si>
  <si>
    <t>97761E</t>
  </si>
  <si>
    <t>25g EZ Tow ATV Sprayer with MOE™ System</t>
  </si>
  <si>
    <t>97761-0</t>
  </si>
  <si>
    <t xml:space="preserve"> ATV Accessories</t>
  </si>
  <si>
    <t>7 Boom Kit ATV</t>
  </si>
  <si>
    <t>817208-01428-5</t>
  </si>
  <si>
    <t>Boomless Kit ATV</t>
  </si>
  <si>
    <t>817208-01429-2</t>
  </si>
  <si>
    <t>Boom Frame Kit ATV</t>
  </si>
  <si>
    <t>817208-01430-8</t>
  </si>
  <si>
    <t>6-8063</t>
  </si>
  <si>
    <t>Repl Chapin Mech MOE Chem Tank Assy</t>
  </si>
  <si>
    <t>68063-3</t>
  </si>
  <si>
    <t>6-8061</t>
  </si>
  <si>
    <t>2g Chemical Concentrate Tank-fits 25g ATV tanks only</t>
  </si>
  <si>
    <t>68061-9</t>
  </si>
  <si>
    <t>6-8060</t>
  </si>
  <si>
    <t>1.3g Chemical Concentrate Tank fits 15g ATV tanks only</t>
  </si>
  <si>
    <t>68060-2</t>
  </si>
  <si>
    <t xml:space="preserve"> SPECIALTY SPRAYERS</t>
  </si>
  <si>
    <t>Rose and Plant Duster - 16 oz.</t>
  </si>
  <si>
    <t>05000-9</t>
  </si>
  <si>
    <t>Single Action Mist Sprayer - 16 oz.</t>
  </si>
  <si>
    <t>05001-6</t>
  </si>
  <si>
    <t>Rose Duster Plus - 16 oz.</t>
  </si>
  <si>
    <t>05010-8</t>
  </si>
  <si>
    <t>12g Push Sprayer with Spray Wand (Catalogue 97902B)</t>
  </si>
  <si>
    <t>97902-7</t>
  </si>
  <si>
    <t>SPREADERS</t>
  </si>
  <si>
    <t xml:space="preserve"> TURF SPREADERS</t>
  </si>
  <si>
    <t>8901A</t>
  </si>
  <si>
    <t>Stainless Steel Welded  50#  Spreader</t>
  </si>
  <si>
    <t>08901-6</t>
  </si>
  <si>
    <t>8910A</t>
  </si>
  <si>
    <t xml:space="preserve">Stainless Steel Welded  80#  Spreader w/Side Baffle </t>
  </si>
  <si>
    <t>08910-8</t>
  </si>
  <si>
    <t>8620B</t>
  </si>
  <si>
    <t>150 lb EZ Tow Behind Spreader</t>
  </si>
  <si>
    <t>08620-6</t>
  </si>
  <si>
    <t>8400C</t>
  </si>
  <si>
    <t>100 lb Stainless Steel Pro Turf Spreader w/Spread Control</t>
  </si>
  <si>
    <t>08400-4</t>
  </si>
  <si>
    <t>8401C</t>
  </si>
  <si>
    <t>80 lb Stainless Steel Pro Turf Spreader w/Spread Control</t>
  </si>
  <si>
    <t>08401-1</t>
  </si>
  <si>
    <t>8303C</t>
  </si>
  <si>
    <t>100 lb Contractor Turf Spreader w/Spread Pattern Control</t>
  </si>
  <si>
    <t>08303-8</t>
  </si>
  <si>
    <t>8301C</t>
  </si>
  <si>
    <t>80 lb Powder Coated Turf Spreader w/Spread Control</t>
  </si>
  <si>
    <t>08301-4</t>
  </si>
  <si>
    <t>82050C</t>
  </si>
  <si>
    <t>70 lb Contractor Turf Spreader w/Spread Control (Round)</t>
  </si>
  <si>
    <t>82050-3</t>
  </si>
  <si>
    <t>8200A</t>
  </si>
  <si>
    <t>80# All Season SureSpread™ Spreader W/Edge Control</t>
  </si>
  <si>
    <t>08200-0</t>
  </si>
  <si>
    <t>81000A</t>
  </si>
  <si>
    <t xml:space="preserve">80# SureSpread™ Spreader w/Edge Control, Grate </t>
  </si>
  <si>
    <t>81000-9</t>
  </si>
  <si>
    <t>8001A</t>
  </si>
  <si>
    <t>70# SureSpread™ Spreader w/10" 2 Rubber Tires</t>
  </si>
  <si>
    <t>08001-3</t>
  </si>
  <si>
    <t>8000A</t>
  </si>
  <si>
    <t>65# SureSpread™ Promo Spreader w/ 8" Poly Tire</t>
  </si>
  <si>
    <t>08000-6</t>
  </si>
  <si>
    <t xml:space="preserve"> HAND HELD TURF SPREADERS</t>
  </si>
  <si>
    <t>84700A</t>
  </si>
  <si>
    <t>25 lb. Professional Bag Spreader-Moisture Barrier Bag</t>
  </si>
  <si>
    <t>84700-5</t>
  </si>
  <si>
    <t>8700A</t>
  </si>
  <si>
    <t>Chest Mounted Spreader-Padded Strap, Spread Control</t>
  </si>
  <si>
    <t>08700-5</t>
  </si>
  <si>
    <t>8706A</t>
  </si>
  <si>
    <t>Hand Spreader-with Crank</t>
  </si>
  <si>
    <t>08706-7</t>
  </si>
  <si>
    <t xml:space="preserve"> TURF SEEDER</t>
  </si>
  <si>
    <t>8701B</t>
  </si>
  <si>
    <t>Garden Seeder w/ 6 seed plates</t>
  </si>
  <si>
    <t>08701-2</t>
  </si>
  <si>
    <t xml:space="preserve"> SALT &amp; ICE MANAGEMENT SPREADERS</t>
  </si>
  <si>
    <t>82500B</t>
  </si>
  <si>
    <t>100# Pro All Stainless Spreader-Baffles-Grate-Cover</t>
  </si>
  <si>
    <t>82500-3</t>
  </si>
  <si>
    <t>82400B</t>
  </si>
  <si>
    <t>100 lb. Professional Wide Mouth Rock Salt Spreader</t>
  </si>
  <si>
    <t>82400-6</t>
  </si>
  <si>
    <t>82108B</t>
  </si>
  <si>
    <t>100# Pro Stainless Frame Sprder-Baffles-Grate-Cover</t>
  </si>
  <si>
    <t>82108-1</t>
  </si>
  <si>
    <t>82088B</t>
  </si>
  <si>
    <t>80# Contractor  Spreader-Baffles-Grate-Cover</t>
  </si>
  <si>
    <t>82088-6</t>
  </si>
  <si>
    <t>8201A</t>
  </si>
  <si>
    <t>80# Res. SureSpread™ Spreader-Baffles-Grate-Cover</t>
  </si>
  <si>
    <t>08201-7</t>
  </si>
  <si>
    <t>81008A</t>
  </si>
  <si>
    <t>80# SureSpread™ Spreader w/Baffles, Grate &amp; Cover</t>
  </si>
  <si>
    <t>81008-5</t>
  </si>
  <si>
    <t>8003A</t>
  </si>
  <si>
    <t>70 lb Residential Ice Melt Spreader</t>
  </si>
  <si>
    <t>08003-7</t>
  </si>
  <si>
    <t xml:space="preserve"> SALT &amp; ICE HAND HELD SPREADERS</t>
  </si>
  <si>
    <t>8740A</t>
  </si>
  <si>
    <t>Hand Salt Shaker</t>
  </si>
  <si>
    <t>08740-1</t>
  </si>
  <si>
    <t>8741A</t>
  </si>
  <si>
    <t>Hand Salt Shaker 24 Piece with Display</t>
  </si>
  <si>
    <t>8705A</t>
  </si>
  <si>
    <t xml:space="preserve">Salt Hand Spreader-with Crank </t>
  </si>
  <si>
    <t>08705-0</t>
  </si>
  <si>
    <t>IRRIGATION &amp; WATERING</t>
  </si>
  <si>
    <t xml:space="preserve"> FERTILIZER INJECTORS</t>
  </si>
  <si>
    <t>2g Fertilizer Injector</t>
  </si>
  <si>
    <t>047204</t>
  </si>
  <si>
    <t>1g Fertilizer Injector</t>
  </si>
  <si>
    <t>047105</t>
  </si>
  <si>
    <t>32 oz. Fertilizer Injector</t>
  </si>
  <si>
    <t>24 oz. Fertilizer Injector</t>
  </si>
  <si>
    <t>047013</t>
  </si>
  <si>
    <t>16 oz. Fertilizer Injector</t>
  </si>
  <si>
    <t>047006</t>
  </si>
  <si>
    <t>6-9089</t>
  </si>
  <si>
    <t xml:space="preserve">Brass Water Back Flow </t>
  </si>
  <si>
    <t>6-9088</t>
  </si>
  <si>
    <t xml:space="preserve">Poly Water Back Flow </t>
  </si>
  <si>
    <t xml:space="preserve"> WATER TIMERS</t>
  </si>
  <si>
    <t>41013</t>
  </si>
  <si>
    <t>Digital Dual Zone Water Timer w/Retail PKG</t>
  </si>
  <si>
    <t>41012</t>
  </si>
  <si>
    <t>Digital Single Zone Water Timer w/Retail PKG</t>
  </si>
  <si>
    <t>41011</t>
  </si>
  <si>
    <t>Analog Single Zone Water Timer w/Retail PKG</t>
  </si>
  <si>
    <t>41014</t>
  </si>
  <si>
    <t xml:space="preserve">Watertimer Chapin Manual Set (10PK) w/Retail Clamshell </t>
  </si>
  <si>
    <t>410142</t>
  </si>
  <si>
    <t xml:space="preserve"> HOSE NOZZLES</t>
  </si>
  <si>
    <t>4630</t>
  </si>
  <si>
    <t>Palm Trigger Nozzle w/Retail PKG - PDQ</t>
  </si>
  <si>
    <t>046303</t>
  </si>
  <si>
    <t>4640</t>
  </si>
  <si>
    <t>Palm Trigger 7 Way Noz. w/Retail PKG - PDQ</t>
  </si>
  <si>
    <t>046402</t>
  </si>
  <si>
    <t>4650</t>
  </si>
  <si>
    <t>Thumb Trigger 7 Way Noz. w/Retail PKG - PDQ</t>
  </si>
  <si>
    <t>046501</t>
  </si>
  <si>
    <t>High Temp Hose Noz (8PK)</t>
  </si>
  <si>
    <t>046921</t>
  </si>
  <si>
    <t>IND High Temp Hose Noz (8PK)</t>
  </si>
  <si>
    <t>046945</t>
  </si>
  <si>
    <t>Fireman's Hose Noz (8PK)</t>
  </si>
  <si>
    <t>046969</t>
  </si>
  <si>
    <t>Pistol Grip Fire Hose Noz (8PK)</t>
  </si>
  <si>
    <t>046983</t>
  </si>
  <si>
    <t>4633</t>
  </si>
  <si>
    <t>Gard Hose Cast Metal Pistol Noz (12PK)</t>
  </si>
  <si>
    <t>046331</t>
  </si>
  <si>
    <t>12</t>
  </si>
  <si>
    <t>4635</t>
  </si>
  <si>
    <t>Gard Hose 7-Pat Noz (8PK)</t>
  </si>
  <si>
    <t>046358</t>
  </si>
  <si>
    <r>
      <t>Metal 5 Pattern Nozzle w/Palm Trigger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</si>
  <si>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000639</t>
  </si>
  <si>
    <t>46832</t>
  </si>
  <si>
    <r>
      <t xml:space="preserve">Plastic Adjustable Hose Nozzle - PDQ </t>
    </r>
    <r>
      <rPr>
        <sz val="10"/>
        <color rgb="FFBA122B"/>
        <rFont val="Tahoma"/>
        <family val="2"/>
        <charset val="0"/>
      </rPr>
      <t>[AVAILABLE JANUARY 1, 2025]</t>
    </r>
  </si>
  <si>
    <t>468323</t>
  </si>
  <si>
    <t>46834</t>
  </si>
  <si>
    <r>
      <t>Plastic 5 Pattern Hose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</si>
  <si>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468347</t>
  </si>
  <si>
    <t>46846</t>
  </si>
  <si>
    <r>
      <t>Sure Grip Metal Adjustable Hose Nozzle - PDQ</t>
    </r>
    <r>
      <rPr>
        <sz val="10"/>
        <color rgb="FFFF0000"/>
        <rFont val="Tahoma"/>
        <family val="2"/>
        <charset val="0"/>
      </rPr>
      <t xml:space="preserve"> </t>
    </r>
    <r>
      <rPr>
        <sz val="10"/>
        <color rgb="FFBA122B"/>
        <rFont val="Tahoma"/>
        <family val="2"/>
        <charset val="0"/>
      </rPr>
      <t>[AVAILABLE JANUARY 1, 2025]</t>
    </r>
  </si>
  <si>
    <t>468460</t>
  </si>
  <si>
    <t>46848</t>
  </si>
  <si>
    <r>
      <t xml:space="preserve">Sure Grip 9 Pattern Hose Nozzle - PDQ </t>
    </r>
    <r>
      <rPr>
        <sz val="10"/>
        <color rgb="FFBA122B"/>
        <rFont val="Tahoma"/>
        <family val="2"/>
        <charset val="0"/>
      </rPr>
      <t>[AVAILABLE JANUARY 1, 2025]</t>
    </r>
  </si>
  <si>
    <t>468484</t>
  </si>
  <si>
    <t>46850</t>
  </si>
  <si>
    <r>
      <t>Powerful Mini-Blast Adjustable Hose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</si>
  <si>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468507</t>
  </si>
  <si>
    <t>46842</t>
  </si>
  <si>
    <r>
      <t>Metal 10 Pattern Thumb Control Spray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</si>
  <si>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468422</t>
  </si>
  <si>
    <t>46840</t>
  </si>
  <si>
    <r>
      <t>SureGrip 9 Pattern Thumb Control Mini-Wand - PDQ</t>
    </r>
    <r>
      <rPr>
        <sz val="10"/>
        <color rgb="FFFF0000"/>
        <rFont val="Tahoma"/>
        <family val="2"/>
        <charset val="0"/>
      </rPr>
      <t xml:space="preserve"> </t>
    </r>
    <r>
      <rPr>
        <sz val="10"/>
        <color rgb="FFBA122B"/>
        <rFont val="Tahoma"/>
        <family val="2"/>
        <charset val="0"/>
      </rPr>
      <t>[AVAILABLE JANUARY 1, 2025]</t>
    </r>
  </si>
  <si>
    <t>468408</t>
  </si>
  <si>
    <r>
      <t xml:space="preserve">Sweeper Nozzle-2" - PDQ </t>
    </r>
    <r>
      <rPr>
        <sz val="10"/>
        <color rgb="FFBA122B"/>
        <rFont val="Tahoma"/>
        <family val="2"/>
        <charset val="0"/>
      </rPr>
      <t>[AVAILABLE JANUARY 1, 2025]</t>
    </r>
  </si>
  <si>
    <t>468521</t>
  </si>
  <si>
    <r>
      <t xml:space="preserve">Sweeper Nozzle-4" - PDQ </t>
    </r>
    <r>
      <rPr>
        <sz val="10"/>
        <color rgb="FFBA122B"/>
        <rFont val="Tahoma"/>
        <family val="2"/>
        <charset val="0"/>
      </rPr>
      <t>[AVAILABLE JANUARY 1, 2025]</t>
    </r>
  </si>
  <si>
    <t>468545</t>
  </si>
  <si>
    <r>
      <t xml:space="preserve">Sweeper Nozzle-6" - PDQ </t>
    </r>
    <r>
      <rPr>
        <sz val="10"/>
        <color rgb="FFBA122B"/>
        <rFont val="Tahoma"/>
        <family val="2"/>
        <charset val="0"/>
      </rPr>
      <t>[AVAILABLE JANUARY 1, 2025]</t>
    </r>
  </si>
  <si>
    <t>468569</t>
  </si>
  <si>
    <t xml:space="preserve"> WANDS</t>
  </si>
  <si>
    <t>4675</t>
  </si>
  <si>
    <t>18" Watering Wand w/Retail PKG</t>
  </si>
  <si>
    <t>046757</t>
  </si>
  <si>
    <t>4674</t>
  </si>
  <si>
    <t>30" Water Wand w/Retail PKG</t>
  </si>
  <si>
    <t>046764</t>
  </si>
  <si>
    <t>4676</t>
  </si>
  <si>
    <t>56" Telescoping Water Wand w/Retail PKG</t>
  </si>
  <si>
    <t>46758</t>
  </si>
  <si>
    <r>
      <t xml:space="preserve">16" 8 Pattern Adjustable Head Watering wand - PDQ </t>
    </r>
    <r>
      <rPr>
        <sz val="10"/>
        <color rgb="FFBA122B"/>
        <rFont val="Tahoma"/>
        <family val="2"/>
        <charset val="0"/>
      </rPr>
      <t>[AVAILABLE JANUARY 1, 2025]</t>
    </r>
  </si>
  <si>
    <t>467586</t>
  </si>
  <si>
    <t xml:space="preserve"> SPRINKLERS</t>
  </si>
  <si>
    <t>4996</t>
  </si>
  <si>
    <t>Tripod Sprinkler Chapin w/Retail PKG</t>
  </si>
  <si>
    <t>049966</t>
  </si>
  <si>
    <t>4997</t>
  </si>
  <si>
    <t>17 Jet Oscillating Sprinkler w/Retail PKG</t>
  </si>
  <si>
    <t>049977</t>
  </si>
  <si>
    <t>4999</t>
  </si>
  <si>
    <t>Sprklr Metal 8-Pat (12PK)</t>
  </si>
  <si>
    <t>049998</t>
  </si>
  <si>
    <t>4992</t>
  </si>
  <si>
    <t>Sprklr Metal Impact + Spike (12PK)</t>
  </si>
  <si>
    <t>049929</t>
  </si>
  <si>
    <t>4987</t>
  </si>
  <si>
    <t>Sprklr Metal Rotary Wheeled (6PK)</t>
  </si>
  <si>
    <t>049871</t>
  </si>
  <si>
    <t>4985</t>
  </si>
  <si>
    <t>Sprklr Metal Impact T-Post Spout (6PK)</t>
  </si>
  <si>
    <t>049857</t>
  </si>
  <si>
    <t>4983</t>
  </si>
  <si>
    <t>Sprklr Metal Impact Wheeled (6PK)</t>
  </si>
  <si>
    <t>049833</t>
  </si>
  <si>
    <t>4981</t>
  </si>
  <si>
    <t>Sprklr Metal Impact Platform (6PK)</t>
  </si>
  <si>
    <t>049819</t>
  </si>
  <si>
    <t>4971</t>
  </si>
  <si>
    <t>Sprklr 360 Rotary 3-Arm Adj (12PK)</t>
  </si>
  <si>
    <t>049714</t>
  </si>
  <si>
    <t>6-9423</t>
  </si>
  <si>
    <t>Circle Spray Spot Sprinkler (12PK)</t>
  </si>
  <si>
    <t>00423-1</t>
  </si>
  <si>
    <t>6-9424</t>
  </si>
  <si>
    <t>Square Spray Spot Sprinkler (12PK)</t>
  </si>
  <si>
    <t>00424-8</t>
  </si>
  <si>
    <t>6-9425</t>
  </si>
  <si>
    <t>Rectangle Spray Spot Sprinkler (12PK)</t>
  </si>
  <si>
    <t>00425-5</t>
  </si>
  <si>
    <t>6-9447</t>
  </si>
  <si>
    <t>Twin Spot Sprinkler - PDQ</t>
  </si>
  <si>
    <t>006099</t>
  </si>
  <si>
    <t>4972</t>
  </si>
  <si>
    <r>
      <t xml:space="preserve">Heavy-duty Metal Vane Sprinkler </t>
    </r>
    <r>
      <rPr>
        <sz val="10"/>
        <color rgb="FFBA122B"/>
        <rFont val="Tahoma"/>
        <family val="2"/>
        <charset val="0"/>
      </rPr>
      <t>[AVAILABLE JANUARY 1, 2025]</t>
    </r>
  </si>
  <si>
    <t>049720</t>
  </si>
  <si>
    <t>49971</t>
  </si>
  <si>
    <r>
      <t xml:space="preserve">Oscillating 19 Hole Sprinkler </t>
    </r>
    <r>
      <rPr>
        <sz val="10"/>
        <color rgb="FFBA122B"/>
        <rFont val="Tahoma"/>
        <family val="2"/>
        <charset val="0"/>
      </rPr>
      <t>[AVAILABLE JANUARY 1, 2025]</t>
    </r>
  </si>
  <si>
    <t>499716</t>
  </si>
  <si>
    <t>49995</t>
  </si>
  <si>
    <r>
      <t xml:space="preserve">Impact Sprinkler Head Plastic with Spike </t>
    </r>
    <r>
      <rPr>
        <sz val="10"/>
        <color rgb="FFBA122B"/>
        <rFont val="Tahoma"/>
        <family val="2"/>
        <charset val="0"/>
      </rPr>
      <t>[AVAILABLE JANUARY 1, 2025]</t>
    </r>
  </si>
  <si>
    <t>499952</t>
  </si>
  <si>
    <t>49997</t>
  </si>
  <si>
    <r>
      <t xml:space="preserve">Metal Impact Sprinkler on Step Stake Spike </t>
    </r>
    <r>
      <rPr>
        <sz val="10"/>
        <color rgb="FFBA122B"/>
        <rFont val="Tahoma"/>
        <family val="2"/>
        <charset val="0"/>
      </rPr>
      <t>[AVAILABLE JANUARY 1, 2025]</t>
    </r>
  </si>
  <si>
    <t>499976</t>
  </si>
  <si>
    <t>49999</t>
  </si>
  <si>
    <r>
      <t xml:space="preserve">Large Metal Impact Sprinkler on Step Stake Spike  </t>
    </r>
    <r>
      <rPr>
        <sz val="10"/>
        <color rgb="FFBA122B"/>
        <rFont val="Tahoma"/>
        <family val="2"/>
        <charset val="0"/>
      </rPr>
      <t>[AVAILABLE JANUARY 1, 2025]</t>
    </r>
  </si>
  <si>
    <t>499990</t>
  </si>
  <si>
    <t>6-9427</t>
  </si>
  <si>
    <r>
      <t>Replacement Metal Impact Sprinkler Head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</si>
  <si>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005832</t>
  </si>
  <si>
    <t>4899</t>
  </si>
  <si>
    <r>
      <t xml:space="preserve">Brass Impact Sprinkler Head </t>
    </r>
    <r>
      <rPr>
        <sz val="10"/>
        <color rgb="FFBA122B"/>
        <rFont val="Tahoma"/>
        <family val="2"/>
        <charset val="0"/>
      </rPr>
      <t>[AVAILABLE JANUARY 1, 2025]</t>
    </r>
  </si>
  <si>
    <t>048990</t>
  </si>
  <si>
    <t xml:space="preserve"> CONNECTORS AND PARTS</t>
  </si>
  <si>
    <t>6-9400</t>
  </si>
  <si>
    <t>Repl Irr Brass Gooseneck W/ Shutoff (20PK)</t>
  </si>
  <si>
    <t>004002</t>
  </si>
  <si>
    <t>6-9401</t>
  </si>
  <si>
    <t>Repl Irr 3/4"THRD Brass Shutoff Coupling (20PK)</t>
  </si>
  <si>
    <t>004019</t>
  </si>
  <si>
    <t>6-9402</t>
  </si>
  <si>
    <t>Repl Irr Female Metal Shutoff Quick Connect (20PK)</t>
  </si>
  <si>
    <t>004026</t>
  </si>
  <si>
    <t>6-9403</t>
  </si>
  <si>
    <t>Repl Irr Male Metal Quick Connect (20PK)</t>
  </si>
  <si>
    <t>004033</t>
  </si>
  <si>
    <t>6-9404</t>
  </si>
  <si>
    <t>Repl Irr Prod-End Set Metal Quick Connect (20PK)</t>
  </si>
  <si>
    <t>004040</t>
  </si>
  <si>
    <t>6-9405</t>
  </si>
  <si>
    <t>Repl Irr 3/4" Zinc Male Hose Mender (20PK)</t>
  </si>
  <si>
    <t>004057</t>
  </si>
  <si>
    <t>6-9406</t>
  </si>
  <si>
    <t>Repl Irr 5/8" TO 3/4" Zinc Hose Repair (20PK)</t>
  </si>
  <si>
    <t>004064</t>
  </si>
  <si>
    <t>6-9407</t>
  </si>
  <si>
    <t>004071</t>
  </si>
  <si>
    <t>6-9408</t>
  </si>
  <si>
    <t>Repl Irr 5/8" Male Metal Mender (20PK)</t>
  </si>
  <si>
    <t>004088</t>
  </si>
  <si>
    <t>6-9409</t>
  </si>
  <si>
    <t>Repl Irr 5/8" Female Metal Mender (20PK)</t>
  </si>
  <si>
    <t>004095</t>
  </si>
  <si>
    <t>6-9410</t>
  </si>
  <si>
    <t>Repl Irr Hose Washer &amp; O-Ring Combo Pack (80PK)</t>
  </si>
  <si>
    <t>004101</t>
  </si>
  <si>
    <t>6-9411</t>
  </si>
  <si>
    <t>Repl Twist Noz (20PK)</t>
  </si>
  <si>
    <t>004118</t>
  </si>
  <si>
    <t>6-9412</t>
  </si>
  <si>
    <t>Repl 4-Way Shutoff Manifold (6PK)</t>
  </si>
  <si>
    <t>004125</t>
  </si>
  <si>
    <t>6-9413</t>
  </si>
  <si>
    <t>Repl 2-Way Shutoff (20PK)</t>
  </si>
  <si>
    <t>004132</t>
  </si>
  <si>
    <t>6-9414</t>
  </si>
  <si>
    <t>Repl Gooseneck Hose Conn (20PK)</t>
  </si>
  <si>
    <t>004149</t>
  </si>
  <si>
    <t>6-9415</t>
  </si>
  <si>
    <t>Repl DLX 1-Way Shutoff (15PK)</t>
  </si>
  <si>
    <t>004157</t>
  </si>
  <si>
    <t>15</t>
  </si>
  <si>
    <t>6-9416</t>
  </si>
  <si>
    <t>Repl DLX 2-Way Shutoff (8PK)</t>
  </si>
  <si>
    <t>004167</t>
  </si>
  <si>
    <t>8</t>
  </si>
  <si>
    <t>6-9417</t>
  </si>
  <si>
    <t>Repl DLX 1-Way Kink-Free Shutoff (9PK)</t>
  </si>
  <si>
    <t>004174</t>
  </si>
  <si>
    <t>9</t>
  </si>
  <si>
    <t>6-9418</t>
  </si>
  <si>
    <t>Repl DLX 2-Way Kink-Free Shutoff (4PK)</t>
  </si>
  <si>
    <t>004184</t>
  </si>
  <si>
    <t>4</t>
  </si>
  <si>
    <t>6-9419</t>
  </si>
  <si>
    <t>Repl DLX 4-Way Manifold Shutoff (4PK)</t>
  </si>
  <si>
    <t>004191</t>
  </si>
  <si>
    <t>6-9420</t>
  </si>
  <si>
    <t>Repl 5/8"-3/4" Male DLX Repair (20PK)</t>
  </si>
  <si>
    <t>004201</t>
  </si>
  <si>
    <t>20</t>
  </si>
  <si>
    <t>6-9421</t>
  </si>
  <si>
    <t>Repl 5/8"-3/4" Female DLX Repair (20PK)</t>
  </si>
  <si>
    <t>004218</t>
  </si>
  <si>
    <t>6-9422</t>
  </si>
  <si>
    <t>Repl 5/8"-3/4" DLX Mend (15PK)</t>
  </si>
  <si>
    <t>004225</t>
  </si>
  <si>
    <t>6-9426</t>
  </si>
  <si>
    <t>Repl Kink-Free Gard Hose Ext (20PK)</t>
  </si>
  <si>
    <t>004294</t>
  </si>
  <si>
    <t>6-9430</t>
  </si>
  <si>
    <r>
      <t xml:space="preserve">Full-Flow Plastic Shutoff - PDQ </t>
    </r>
    <r>
      <rPr>
        <sz val="10"/>
        <color rgb="FFBA122B"/>
        <rFont val="Tahoma"/>
        <family val="2"/>
        <charset val="0"/>
      </rPr>
      <t>[AVAILABLE JANUARY 1, 2025]</t>
    </r>
  </si>
  <si>
    <t>005818</t>
  </si>
  <si>
    <t>6-9429</t>
  </si>
  <si>
    <r>
      <t xml:space="preserve">Full Flow Plastic Hose Y - PDQ </t>
    </r>
    <r>
      <rPr>
        <sz val="10"/>
        <color rgb="FFBA122B"/>
        <rFont val="Tahoma"/>
        <family val="2"/>
        <charset val="0"/>
      </rPr>
      <t>[AVAILABLE JANUARY 1, 2025]</t>
    </r>
  </si>
  <si>
    <t>005856</t>
  </si>
  <si>
    <t>6-9428</t>
  </si>
  <si>
    <r>
      <t>Full Flow Plastic Hose 4Way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</si>
  <si>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005870</t>
  </si>
  <si>
    <t>6-9431</t>
  </si>
  <si>
    <r>
      <t xml:space="preserve">Plastic Quick Male connector - PDQ </t>
    </r>
    <r>
      <rPr>
        <sz val="10"/>
        <color rgb="FFBA122B"/>
        <rFont val="Tahoma"/>
        <family val="2"/>
        <charset val="0"/>
      </rPr>
      <t>[AVAILABLE JANUARY 1, 2025]</t>
    </r>
  </si>
  <si>
    <t>005733</t>
  </si>
  <si>
    <t>6-9434</t>
  </si>
  <si>
    <r>
      <t xml:space="preserve">20PCS  Washer end cap kit - PDQ </t>
    </r>
    <r>
      <rPr>
        <sz val="10"/>
        <color rgb="FFBA122B"/>
        <rFont val="Tahoma"/>
        <family val="2"/>
        <charset val="0"/>
      </rPr>
      <t>[AVAILABLE JANUARY 1, 2025]</t>
    </r>
  </si>
  <si>
    <t>005757</t>
  </si>
  <si>
    <t>6-9432</t>
  </si>
  <si>
    <r>
      <t xml:space="preserve">Plastic quick connector set - PDQ </t>
    </r>
    <r>
      <rPr>
        <sz val="10"/>
        <color rgb="FFBA122B"/>
        <rFont val="Tahoma"/>
        <family val="2"/>
        <charset val="0"/>
      </rPr>
      <t>[AVAILABLE JANUARY 1, 2025]</t>
    </r>
  </si>
  <si>
    <t>005771</t>
  </si>
  <si>
    <t>6-9433</t>
  </si>
  <si>
    <r>
      <t xml:space="preserve">Plasitc quick connector starter set-5pcs - PDQ </t>
    </r>
    <r>
      <rPr>
        <sz val="10"/>
        <color rgb="FFBA122B"/>
        <rFont val="Tahoma"/>
        <family val="2"/>
        <charset val="0"/>
      </rPr>
      <t>[AVAILABLE JANUARY 1, 2025]</t>
    </r>
  </si>
  <si>
    <t>005795</t>
  </si>
  <si>
    <t>6-9435</t>
  </si>
  <si>
    <r>
      <t>Filter Hose Washer-3pcs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</si>
  <si>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005894</t>
  </si>
  <si>
    <t>6-9436</t>
  </si>
  <si>
    <r>
      <t>Plastic Female Adaptor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</si>
  <si>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005900</t>
  </si>
  <si>
    <t>6-9437</t>
  </si>
  <si>
    <r>
      <t>Plastic hose repair-Female5/8"-3/4"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</si>
  <si>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005924</t>
  </si>
  <si>
    <t>6-9438</t>
  </si>
  <si>
    <r>
      <t xml:space="preserve">Plastic hose repair-Male 5/8"-3/4" - PDQ </t>
    </r>
    <r>
      <rPr>
        <sz val="10"/>
        <color rgb="FFBA122B"/>
        <rFont val="Tahoma"/>
        <family val="2"/>
        <charset val="0"/>
      </rPr>
      <t>[AVAILABLE JANUARY 1, 2025]</t>
    </r>
  </si>
  <si>
    <t>005931</t>
  </si>
  <si>
    <t>6-9439</t>
  </si>
  <si>
    <r>
      <t xml:space="preserve">Plastic hose repair-Mender 5/8"-3/4" - PDQ </t>
    </r>
    <r>
      <rPr>
        <sz val="10"/>
        <color rgb="FFBA122B"/>
        <rFont val="Tahoma"/>
        <family val="2"/>
        <charset val="0"/>
      </rPr>
      <t>[AVAILABLE JANUARY 1, 2025]</t>
    </r>
  </si>
  <si>
    <t>005948</t>
  </si>
  <si>
    <t>6-9440</t>
  </si>
  <si>
    <r>
      <t>Plastic hose repair-Mender 1/2"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</si>
  <si>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005955</t>
  </si>
  <si>
    <t>6-9441</t>
  </si>
  <si>
    <r>
      <t xml:space="preserve">Plastic hose repair-Female 1/2" - PDQ </t>
    </r>
    <r>
      <rPr>
        <sz val="10"/>
        <color rgb="FFBA122B"/>
        <rFont val="Tahoma"/>
        <family val="2"/>
        <charset val="0"/>
      </rPr>
      <t>[AVAILABLE JANUARY 1, 2025]</t>
    </r>
  </si>
  <si>
    <t>005962</t>
  </si>
  <si>
    <t>6-9442</t>
  </si>
  <si>
    <r>
      <t xml:space="preserve">Plastic hose repair-Male 1/2" - PDQ </t>
    </r>
    <r>
      <rPr>
        <sz val="10"/>
        <color rgb="FFBA122B"/>
        <rFont val="Tahoma"/>
        <family val="2"/>
        <charset val="0"/>
      </rPr>
      <t>[AVAILABLE JANUARY 1, 2025]</t>
    </r>
  </si>
  <si>
    <t>005979</t>
  </si>
  <si>
    <t>6-9443</t>
  </si>
  <si>
    <r>
      <t xml:space="preserve">Hose Washer-10pcs - PDQ </t>
    </r>
    <r>
      <rPr>
        <sz val="10"/>
        <color rgb="FFBA122B"/>
        <rFont val="Tahoma"/>
        <family val="2"/>
        <charset val="0"/>
      </rPr>
      <t>[AVAILABLE JANUARY 1, 2025]</t>
    </r>
  </si>
  <si>
    <t>005986</t>
  </si>
  <si>
    <t>6-9444</t>
  </si>
  <si>
    <r>
      <t xml:space="preserve">Plastic Male Adaptor - PDQ </t>
    </r>
    <r>
      <rPr>
        <sz val="10"/>
        <color rgb="FFBA122B"/>
        <rFont val="Tahoma"/>
        <family val="2"/>
        <charset val="0"/>
      </rPr>
      <t>[AVAILABLE JANUARY 1, 2025]</t>
    </r>
  </si>
  <si>
    <t>005993</t>
  </si>
  <si>
    <t>6-9445</t>
  </si>
  <si>
    <r>
      <t xml:space="preserve">Metal Mender Clamp 5/8" - PDQ </t>
    </r>
    <r>
      <rPr>
        <sz val="10"/>
        <color rgb="FFBA122B"/>
        <rFont val="Tahoma"/>
        <family val="2"/>
        <charset val="0"/>
      </rPr>
      <t>[AVAILABLE JANUARY 1, 2025]</t>
    </r>
  </si>
  <si>
    <t>006075</t>
  </si>
  <si>
    <t>6-9446</t>
  </si>
  <si>
    <r>
      <t xml:space="preserve">Brass Quick Connector Washer-3PCS - PDQ </t>
    </r>
    <r>
      <rPr>
        <sz val="10"/>
        <color rgb="FFBA122B"/>
        <rFont val="Tahoma"/>
        <family val="2"/>
        <charset val="0"/>
      </rPr>
      <t>[AVAILABLE JANUARY 1, 2025]</t>
    </r>
  </si>
  <si>
    <t>006082</t>
  </si>
  <si>
    <t>46800</t>
  </si>
  <si>
    <r>
      <t>Metal Flood Bubber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</si>
  <si>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468002</t>
  </si>
  <si>
    <t>6-9550</t>
  </si>
  <si>
    <r>
      <t xml:space="preserve">Brass Double Female Swivel 3/4" - 1/2" Connectors PDQ </t>
    </r>
    <r>
      <rPr>
        <sz val="10"/>
        <color rgb="FFBA122B"/>
        <rFont val="Tahoma"/>
        <family val="2"/>
        <charset val="0"/>
      </rPr>
      <t>[AVAILABLE JANUARY 1, 2025]</t>
    </r>
  </si>
  <si>
    <t>006105</t>
  </si>
  <si>
    <t>6-9551</t>
  </si>
  <si>
    <r>
      <t xml:space="preserve">Brass Double Female 3/4" - 1/2" Connectors PDQ </t>
    </r>
    <r>
      <rPr>
        <sz val="10"/>
        <color rgb="FFBA122B"/>
        <rFont val="Tahoma"/>
        <family val="2"/>
        <charset val="0"/>
      </rPr>
      <t>[AVAILABLE JANUARY 1, 2025]</t>
    </r>
  </si>
  <si>
    <t>006112</t>
  </si>
  <si>
    <t>6-9552</t>
  </si>
  <si>
    <r>
      <t xml:space="preserve">Brass End Caps-2pcs - PDQ </t>
    </r>
    <r>
      <rPr>
        <sz val="10"/>
        <color rgb="FFBA122B"/>
        <rFont val="Tahoma"/>
        <family val="2"/>
        <charset val="0"/>
      </rPr>
      <t>[AVAILABLE JANUARY 1, 2025]</t>
    </r>
  </si>
  <si>
    <t>006129</t>
  </si>
  <si>
    <t>6-9553</t>
  </si>
  <si>
    <r>
      <t xml:space="preserve">Brass Female Coupler - PDQ </t>
    </r>
    <r>
      <rPr>
        <sz val="10"/>
        <color rgb="FFBA122B"/>
        <rFont val="Tahoma"/>
        <family val="2"/>
        <charset val="0"/>
      </rPr>
      <t>[AVAILABLE JANUARY 1, 2025]</t>
    </r>
  </si>
  <si>
    <t>006136</t>
  </si>
  <si>
    <t>6-9554</t>
  </si>
  <si>
    <r>
      <t xml:space="preserve">Brass Male Coupler - PDQ </t>
    </r>
    <r>
      <rPr>
        <sz val="10"/>
        <color rgb="FFBA122B"/>
        <rFont val="Tahoma"/>
        <family val="2"/>
        <charset val="0"/>
      </rPr>
      <t>[AVAILABLE JANUARY 1, 2025]</t>
    </r>
  </si>
  <si>
    <t>006143</t>
  </si>
  <si>
    <t>6-9555</t>
  </si>
  <si>
    <r>
      <t xml:space="preserve">Single Connector w/Shut off - PDQ </t>
    </r>
    <r>
      <rPr>
        <sz val="10"/>
        <color rgb="FFBA122B"/>
        <rFont val="Tahoma"/>
        <family val="2"/>
        <charset val="0"/>
      </rPr>
      <t>[AVAILABLE JANUARY 1, 2025]</t>
    </r>
  </si>
  <si>
    <t>006150</t>
  </si>
  <si>
    <t>6-9556</t>
  </si>
  <si>
    <r>
      <t xml:space="preserve">Metal Y Connector - PDQ </t>
    </r>
    <r>
      <rPr>
        <sz val="10"/>
        <color rgb="FFBA122B"/>
        <rFont val="Tahoma"/>
        <family val="2"/>
        <charset val="0"/>
      </rPr>
      <t>[AVAILABLE JANUARY 1, 2025]</t>
    </r>
  </si>
  <si>
    <t>006167</t>
  </si>
  <si>
    <t>6-9557</t>
  </si>
  <si>
    <r>
      <t xml:space="preserve">Y Connector s/Shut off - PDQ </t>
    </r>
    <r>
      <rPr>
        <sz val="10"/>
        <color rgb="FFBA122B"/>
        <rFont val="Tahoma"/>
        <family val="2"/>
        <charset val="0"/>
      </rPr>
      <t>[AVAILABLE JANUARY 1, 2025]</t>
    </r>
  </si>
  <si>
    <t>006174</t>
  </si>
  <si>
    <t>6-9558</t>
  </si>
  <si>
    <r>
      <t xml:space="preserve">Brass Pipe &amp; Hose Conn. 3/4" NPT Male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</si>
  <si>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006198</t>
  </si>
  <si>
    <t>6-9559</t>
  </si>
  <si>
    <r>
      <t xml:space="preserve">Brass Pipe &amp; Hose Conn. 3/4" Double Female Swivel - PDQ </t>
    </r>
    <r>
      <rPr>
        <sz val="10"/>
        <color rgb="FFBA122B"/>
        <rFont val="Tahoma"/>
        <family val="2"/>
        <charset val="0"/>
      </rPr>
      <t>[AVAILABLE JANUARY 1, 2025]</t>
    </r>
  </si>
  <si>
    <t>006181</t>
  </si>
  <si>
    <t>6-9560</t>
  </si>
  <si>
    <r>
      <t xml:space="preserve">Brass Pipe &amp; Hose Conn. 3/4" NPS Female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</si>
  <si>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006204</t>
  </si>
  <si>
    <t>6-9561</t>
  </si>
  <si>
    <r>
      <t xml:space="preserve">Brass Pipe &amp; Hose Conn. 3/4" Male and 1/2" Female - PDQ </t>
    </r>
    <r>
      <rPr>
        <sz val="10"/>
        <color rgb="FFBA122B"/>
        <rFont val="Tahoma"/>
        <family val="2"/>
        <charset val="0"/>
      </rPr>
      <t>[AVAILABLE JANUARY 1, 2025]</t>
    </r>
  </si>
  <si>
    <t>006211</t>
  </si>
  <si>
    <t>6-9562</t>
  </si>
  <si>
    <r>
      <t xml:space="preserve">Brass Pipe &amp; Hose Conn. 3/4" Double Male and 1/2" - PDQ </t>
    </r>
    <r>
      <rPr>
        <sz val="10"/>
        <color rgb="FFBA122B"/>
        <rFont val="Tahoma"/>
        <family val="2"/>
        <charset val="0"/>
      </rPr>
      <t>[AVAILABLE JANUARY 1, 2025]</t>
    </r>
  </si>
  <si>
    <t>006228</t>
  </si>
  <si>
    <t>6-9563</t>
  </si>
  <si>
    <r>
      <t xml:space="preserve">Brass Pipe &amp; Hose Conn. 3/4" NH Male, 1/2" NPS Female - PDQ </t>
    </r>
    <r>
      <rPr>
        <sz val="10"/>
        <color rgb="FFBA122B"/>
        <rFont val="Tahoma"/>
        <family val="2"/>
        <charset val="0"/>
      </rPr>
      <t>[AVAILABLE JANUARY 1, 2025]</t>
    </r>
  </si>
  <si>
    <t>006235</t>
  </si>
  <si>
    <t>6-9564</t>
  </si>
  <si>
    <r>
      <t xml:space="preserve">Brass Pipe &amp; Hose Conn. 3/4" NM Male,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</si>
  <si>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006242</t>
  </si>
  <si>
    <t>6-9565</t>
  </si>
  <si>
    <r>
      <t>Plastic Single Connector w/shut off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</si>
  <si>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006259</t>
  </si>
  <si>
    <t>6-9566</t>
  </si>
  <si>
    <r>
      <t xml:space="preserve">Plastic Y connector w/shut off - PDQ </t>
    </r>
    <r>
      <rPr>
        <sz val="10"/>
        <color rgb="FFBA122B"/>
        <rFont val="Tahoma"/>
        <family val="2"/>
        <charset val="0"/>
      </rPr>
      <t>[AVAILABLE JANUARY 1, 2025]</t>
    </r>
  </si>
  <si>
    <t>006266</t>
  </si>
  <si>
    <t>6-9567</t>
  </si>
  <si>
    <r>
      <t xml:space="preserve">Brass Quick Connector Male and Female set - PDQ </t>
    </r>
    <r>
      <rPr>
        <sz val="10"/>
        <color rgb="FFBA122B"/>
        <rFont val="Tahoma"/>
        <family val="2"/>
        <charset val="0"/>
      </rPr>
      <t>[AVAILABLE JANUARY 1, 2025]</t>
    </r>
  </si>
  <si>
    <t>006273</t>
  </si>
  <si>
    <t>6-9568</t>
  </si>
  <si>
    <r>
      <t xml:space="preserve">Brass Male Adaptor - PDQ </t>
    </r>
    <r>
      <rPr>
        <sz val="10"/>
        <color rgb="FFBA122B"/>
        <rFont val="Tahoma"/>
        <family val="2"/>
        <charset val="0"/>
      </rPr>
      <t>[AVAILABLE JANUARY 1, 2025]</t>
    </r>
  </si>
  <si>
    <t>006341</t>
  </si>
  <si>
    <t>6-9569</t>
  </si>
  <si>
    <r>
      <t xml:space="preserve">Brass Double 3/4" NH Female Swivel Connector - PDQ </t>
    </r>
    <r>
      <rPr>
        <sz val="10"/>
        <color rgb="FFBA122B"/>
        <rFont val="Tahoma"/>
        <family val="2"/>
        <charset val="0"/>
      </rPr>
      <t>[AVAILABLE JANUARY 1, 2025]</t>
    </r>
  </si>
  <si>
    <t>006365</t>
  </si>
  <si>
    <t>6-9570</t>
  </si>
  <si>
    <r>
      <t xml:space="preserve">Brass Double 3/4" NH Male Connector - PDQ </t>
    </r>
    <r>
      <rPr>
        <sz val="10"/>
        <color rgb="FFBA122B"/>
        <rFont val="Tahoma"/>
        <family val="2"/>
        <charset val="0"/>
      </rPr>
      <t>[AVAILABLE JANUARY 1, 2025]</t>
    </r>
  </si>
  <si>
    <t>006372</t>
  </si>
  <si>
    <t>6-9572</t>
  </si>
  <si>
    <r>
      <t>Brass Quick Connector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</si>
  <si>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006358</t>
  </si>
  <si>
    <t>SPECIALTY AND MISCELLANEOUS</t>
  </si>
  <si>
    <t>Landscaping and Watering</t>
  </si>
  <si>
    <t>8-PK 2 GAL Watering Can</t>
  </si>
  <si>
    <t>Propane Weed Burner Torch (4PK)</t>
  </si>
  <si>
    <t>Heavy Duty Propane Weed Burner Torch (4PK)</t>
  </si>
  <si>
    <t>65' Hose Reel Auto-Retractable Metal Nozzle (Red)</t>
  </si>
  <si>
    <t>Automotive</t>
  </si>
  <si>
    <t>12 Qt. Low Profile Oil Drain Pan</t>
  </si>
  <si>
    <t>New List 30% above DNET</t>
  </si>
  <si>
    <t>Cost
2/4/2025</t>
  </si>
  <si>
    <t>PPD $4K</t>
  </si>
  <si>
    <t>PPD $12.K</t>
  </si>
  <si>
    <t>With 5% Poly, 5% IRR &amp; 12% Steel Price Increase</t>
  </si>
  <si>
    <t>Dist. M%</t>
  </si>
  <si>
    <t>Chapin M% @ $4K</t>
  </si>
  <si>
    <t>ALT LIST
 (30%-35%)</t>
  </si>
  <si>
    <t>ALT LIST
 ($$$)</t>
  </si>
  <si>
    <t>Smith FHG LIST</t>
  </si>
  <si>
    <t>Premier Pro Ext. Perf. w/ Chem Resistant Seals Poly Sprayer - 3 Gal</t>
  </si>
  <si>
    <t>Pro Series Ext. Perf. Poly Sprayer - 1 Gal</t>
  </si>
  <si>
    <t>Pro Series Ext.Perf. Poly Sprayer - 2 Gal</t>
  </si>
  <si>
    <t>Pro Series Ext. Perf. Poly Sprayer - 3 Gal</t>
  </si>
  <si>
    <t>Premier Pro Ext. Perf. w/ Chem Resistant Seals Poly Sprayer - 1 Gal</t>
  </si>
  <si>
    <t>Premier Pro Ext. Perf. w/ Chem Resistant Seals Poly Sprayer - 2 Gal</t>
  </si>
  <si>
    <t>Part Number</t>
  </si>
  <si>
    <r>
      <t/>
    </r>
    <r>
      <rPr>
        <sz val="11"/>
        <color rgb="FFC00000"/>
        <rFont val="Calibri"/>
        <family val="2"/>
        <charset val="0"/>
        <scheme val="minor"/>
      </rPr>
      <t>Red - Low</t>
    </r>
    <r>
      <rPr>
        <sz val="11"/>
        <color theme="1"/>
        <rFont val="Calibri"/>
        <family val="2"/>
        <charset val="0"/>
        <scheme val="minor"/>
      </rPr>
      <t xml:space="preserve">
</t>
    </r>
    <r>
      <rPr>
        <sz val="11"/>
        <color theme="4"/>
        <rFont val="Calibri"/>
        <family val="2"/>
        <charset val="0"/>
        <scheme val="minor"/>
      </rPr>
      <t>Blue - High</t>
    </r>
  </si>
  <si>
    <t>190468 (SS)</t>
  </si>
  <si>
    <t>190448 (SS)</t>
  </si>
  <si>
    <t>Tier One Price +10%</t>
  </si>
  <si>
    <t>Tier Two Price +10%</t>
  </si>
  <si>
    <t>New Est List</t>
  </si>
  <si>
    <t>Current List 3/2023</t>
  </si>
  <si>
    <t>FY Volumes</t>
  </si>
  <si>
    <t>NEW SUGG. MAP</t>
  </si>
  <si>
    <t>Top 10 skus</t>
  </si>
  <si>
    <t>Current Sales FY 
$4,000</t>
  </si>
  <si>
    <t>Stainless Steel Cart Sprayer - 6 Gal (OBS)</t>
  </si>
  <si>
    <t>FY Cost</t>
  </si>
  <si>
    <t>FY NEW Sales</t>
  </si>
  <si>
    <t>FY NEW Sales Diff.</t>
  </si>
  <si>
    <t>ACCESSORIES &amp; PARTS</t>
  </si>
  <si>
    <t>PUMPS</t>
  </si>
  <si>
    <t>6-9217</t>
  </si>
  <si>
    <t>Repl Pump Assembly 7.0 GPM</t>
  </si>
  <si>
    <t>69217-9</t>
  </si>
  <si>
    <t>6-9216</t>
  </si>
  <si>
    <t>Repl Pump Assembly 5.0 GPM</t>
  </si>
  <si>
    <t>69216-2</t>
  </si>
  <si>
    <t>6-9215</t>
  </si>
  <si>
    <t>Repl Pump Assembly 4.0 GPM</t>
  </si>
  <si>
    <t>69215-5</t>
  </si>
  <si>
    <t>6-9214</t>
  </si>
  <si>
    <t>Repl Pump Assembly 3.0 GPM</t>
  </si>
  <si>
    <t>69214-8</t>
  </si>
  <si>
    <t>6-9230</t>
  </si>
  <si>
    <t>Repl Pump Assembly 2.5 GPM</t>
  </si>
  <si>
    <t>00030-1</t>
  </si>
  <si>
    <t>6-9213</t>
  </si>
  <si>
    <t>Repl Pump Assembly 2.0 GPM</t>
  </si>
  <si>
    <t>69213-1</t>
  </si>
  <si>
    <t>6-9219</t>
  </si>
  <si>
    <t xml:space="preserve">Clamshell Pump Assembly 1.0 GPM </t>
  </si>
  <si>
    <t>69219-3</t>
  </si>
  <si>
    <t>6-9206</t>
  </si>
  <si>
    <t>Repl Pump Assembly 1.0 GPM</t>
  </si>
  <si>
    <t>69206-3</t>
  </si>
  <si>
    <t xml:space="preserve"> GENUINE PACKAGED SPREADER PARTS AND ACCESSORIES </t>
  </si>
  <si>
    <t>6-8321</t>
  </si>
  <si>
    <t>Inlet Strainer</t>
  </si>
  <si>
    <t>68321-4</t>
  </si>
  <si>
    <t>6-8324</t>
  </si>
  <si>
    <t>Rep Ex Wand Clip w/ Blister</t>
  </si>
  <si>
    <t>68324-5</t>
  </si>
  <si>
    <t>6-8325</t>
  </si>
  <si>
    <t>Repl Drain Cap ATV W/ Blister</t>
  </si>
  <si>
    <t>68325-2</t>
  </si>
  <si>
    <t>6-9029</t>
  </si>
  <si>
    <t>Repl Auger/R-Pin Salt Kit "Conical"</t>
  </si>
  <si>
    <t>69029-8</t>
  </si>
  <si>
    <t>6-9030</t>
  </si>
  <si>
    <t>Repl Gate/Trim Control Assembly (N)</t>
  </si>
  <si>
    <t>69030-4</t>
  </si>
  <si>
    <t>6-9031</t>
  </si>
  <si>
    <t>Repl Gearbox Assembly (N) Pro/Cont</t>
  </si>
  <si>
    <t>69031-1</t>
  </si>
  <si>
    <t>6-9032</t>
  </si>
  <si>
    <t>Repl Hopper Base Assembly (Pro "N")</t>
  </si>
  <si>
    <t>69032-8</t>
  </si>
  <si>
    <t>6-9037</t>
  </si>
  <si>
    <t>Repl Kit Single Sided Baffle</t>
  </si>
  <si>
    <t>69037-3</t>
  </si>
  <si>
    <t>6-9038</t>
  </si>
  <si>
    <t>Repl Kit Gate Contol</t>
  </si>
  <si>
    <t>69038-0</t>
  </si>
  <si>
    <t>6-9039</t>
  </si>
  <si>
    <t>Repl Gear Box Assembly Res Spd "B"</t>
  </si>
  <si>
    <t>69039-7</t>
  </si>
  <si>
    <t>6-9040</t>
  </si>
  <si>
    <t>Repl Drive Shaft W /Bearing Res "B"</t>
  </si>
  <si>
    <t>69040-3</t>
  </si>
  <si>
    <t>6-9041</t>
  </si>
  <si>
    <t>Repl Gear Box Assembly</t>
  </si>
  <si>
    <t>69041-0</t>
  </si>
  <si>
    <t>6-9042</t>
  </si>
  <si>
    <t>Repl Drive Shaft W/Bearing</t>
  </si>
  <si>
    <t>69042-7</t>
  </si>
  <si>
    <t>6-9043</t>
  </si>
  <si>
    <t>Repl Bail Assembly Big Box</t>
  </si>
  <si>
    <t>69043-4</t>
  </si>
  <si>
    <t>6-9044</t>
  </si>
  <si>
    <t>Repl Tire Hardware Big Box</t>
  </si>
  <si>
    <t>69044-1</t>
  </si>
  <si>
    <t>6-9045</t>
  </si>
  <si>
    <t>Repl Hardware Bag Big Box</t>
  </si>
  <si>
    <t>69045-8</t>
  </si>
  <si>
    <t>6-9046</t>
  </si>
  <si>
    <t>Repl Lower Link Kit Spd</t>
  </si>
  <si>
    <t>69046-5</t>
  </si>
  <si>
    <t>6-9047</t>
  </si>
  <si>
    <t>Repl Baffle System Big Box</t>
  </si>
  <si>
    <t>69047-2</t>
  </si>
  <si>
    <t>6-9048</t>
  </si>
  <si>
    <t>Repl Auger Big Box</t>
  </si>
  <si>
    <t>69048-9</t>
  </si>
  <si>
    <t>6-9050</t>
  </si>
  <si>
    <t>Repl Kit Rear Baffle (Universal Rear)</t>
  </si>
  <si>
    <t>69050-2</t>
  </si>
  <si>
    <t>6-9051</t>
  </si>
  <si>
    <t>Kit Repl Gate Assembly</t>
  </si>
  <si>
    <t>69051-9</t>
  </si>
  <si>
    <t>6-9052</t>
  </si>
  <si>
    <t>Kit Repl Handle/ Hardware Bag</t>
  </si>
  <si>
    <t>69052-6</t>
  </si>
  <si>
    <t>6-9053</t>
  </si>
  <si>
    <t>Repl Grate Assembly</t>
  </si>
  <si>
    <t>69053-3</t>
  </si>
  <si>
    <t>6-9054</t>
  </si>
  <si>
    <t>Repl Rain Guard</t>
  </si>
  <si>
    <t>69054-0</t>
  </si>
  <si>
    <t>6-9056</t>
  </si>
  <si>
    <t>Repl Kit Gate Contol SS Spreader</t>
  </si>
  <si>
    <t>69056-4</t>
  </si>
  <si>
    <t>6-9058</t>
  </si>
  <si>
    <t>Repl Impeller Kit   (014030)</t>
  </si>
  <si>
    <t>69058-8</t>
  </si>
  <si>
    <t>6-9059</t>
  </si>
  <si>
    <t xml:space="preserve">Repl Gearbox Assembly  </t>
  </si>
  <si>
    <t>69059-5</t>
  </si>
  <si>
    <t>6-9060</t>
  </si>
  <si>
    <t>Repl Gate Control Assembly</t>
  </si>
  <si>
    <t>69060-1</t>
  </si>
  <si>
    <t>6-9061</t>
  </si>
  <si>
    <t>Repl Impeller</t>
  </si>
  <si>
    <t>69061-8</t>
  </si>
  <si>
    <t>6-9062</t>
  </si>
  <si>
    <t>Repl handle Grips</t>
  </si>
  <si>
    <t>69062-5</t>
  </si>
  <si>
    <t>6-9063</t>
  </si>
  <si>
    <t>Repl Hardware Bag Assembly</t>
  </si>
  <si>
    <t>69063-2</t>
  </si>
  <si>
    <t>6-9064</t>
  </si>
  <si>
    <t>Repl Grate Round Hopper</t>
  </si>
  <si>
    <t>69064-9</t>
  </si>
  <si>
    <t>6-9065</t>
  </si>
  <si>
    <t>Repl Rain Cover Round Hopper</t>
  </si>
  <si>
    <t>69065-6</t>
  </si>
  <si>
    <t>6-9066</t>
  </si>
  <si>
    <t>Repl Auger Flat Bar</t>
  </si>
  <si>
    <t>69066-3</t>
  </si>
  <si>
    <t>6-9067</t>
  </si>
  <si>
    <t>Repl Spiked Auger Kit</t>
  </si>
  <si>
    <t>69067-0</t>
  </si>
  <si>
    <t>6-9068</t>
  </si>
  <si>
    <t>69068-7</t>
  </si>
  <si>
    <t>6-9069</t>
  </si>
  <si>
    <t>Repl Rear Baffle Uni</t>
  </si>
  <si>
    <t>69069-4</t>
  </si>
  <si>
    <t>6-9070</t>
  </si>
  <si>
    <t>Repl Spreader Grate Spd</t>
  </si>
  <si>
    <t>69070-0</t>
  </si>
  <si>
    <t>6-9071</t>
  </si>
  <si>
    <t>69071-7</t>
  </si>
  <si>
    <t>6-9075</t>
  </si>
  <si>
    <t>Repl Nozzle Cap White</t>
  </si>
  <si>
    <t>69075-5</t>
  </si>
  <si>
    <t>6-9076</t>
  </si>
  <si>
    <t>Repl Boom Assembly 97900</t>
  </si>
  <si>
    <t>69076-2</t>
  </si>
  <si>
    <t>6-9077</t>
  </si>
  <si>
    <t>Repl Hardware bag 97900</t>
  </si>
  <si>
    <t>69077-9</t>
  </si>
  <si>
    <t>6-9078</t>
  </si>
  <si>
    <t>Repl Tire 12" Wide</t>
  </si>
  <si>
    <t>69078-6</t>
  </si>
  <si>
    <t>6-9079</t>
  </si>
  <si>
    <t>Repl Axle Cart Sprayer</t>
  </si>
  <si>
    <t>69079-3</t>
  </si>
  <si>
    <t>6-9080</t>
  </si>
  <si>
    <t>Repl Wheel Opp Spreader</t>
  </si>
  <si>
    <t>69080-9</t>
  </si>
  <si>
    <t>6-9081</t>
  </si>
  <si>
    <t>Repl Bushing Opp Spreader</t>
  </si>
  <si>
    <t>69081-6</t>
  </si>
  <si>
    <t>6-9082</t>
  </si>
  <si>
    <t>Repl Wheel Opp Step up</t>
  </si>
  <si>
    <t>69082-3</t>
  </si>
  <si>
    <t>6-9083</t>
  </si>
  <si>
    <t>Repl Baffle Assembly SPHR</t>
  </si>
  <si>
    <t>69083-0</t>
  </si>
  <si>
    <t>6-9087</t>
  </si>
  <si>
    <t>Repl Hopper Base Assembly</t>
  </si>
  <si>
    <t>69087-8</t>
  </si>
  <si>
    <t>6-9093</t>
  </si>
  <si>
    <t>Blister Pack Pro Spreader SS</t>
  </si>
  <si>
    <t>6-9096</t>
  </si>
  <si>
    <t>Blister Pack Spreader Augers &amp; Nuts</t>
  </si>
  <si>
    <t xml:space="preserve"> GENUINE PACKAGED ATV SPRAYER PARTS AND ACCESSORIES </t>
  </si>
  <si>
    <t>6-9100</t>
  </si>
  <si>
    <t>7' Boom Mounting Hardware</t>
  </si>
  <si>
    <t>69100-4</t>
  </si>
  <si>
    <t>6-9101</t>
  </si>
  <si>
    <t xml:space="preserve">Repl Nozzle Assembly No Boom </t>
  </si>
  <si>
    <t>69101-1</t>
  </si>
  <si>
    <t>6-9103</t>
  </si>
  <si>
    <t>Repl Hardware Bag No Boom Kit</t>
  </si>
  <si>
    <t>69103-5</t>
  </si>
  <si>
    <t>6-9123</t>
  </si>
  <si>
    <t>Kit Repl Tire &amp; Hardware ATV Trailer</t>
  </si>
  <si>
    <t>69123-3</t>
  </si>
  <si>
    <t>6-9125</t>
  </si>
  <si>
    <t>Repl Blister Kit Augers</t>
  </si>
  <si>
    <t>6-9152</t>
  </si>
  <si>
    <t>Repl Rear Baffle Tow Behind</t>
  </si>
  <si>
    <t>6-9170</t>
  </si>
  <si>
    <t>Repl Tire Peristaltic</t>
  </si>
  <si>
    <t>6-9201</t>
  </si>
  <si>
    <t>Repl Cap Assy OH XP</t>
  </si>
  <si>
    <t>69201-</t>
  </si>
  <si>
    <t>6-9202</t>
  </si>
  <si>
    <t>Repl Kit Pump Hardware</t>
  </si>
  <si>
    <t>69202-5</t>
  </si>
  <si>
    <t>6-9203</t>
  </si>
  <si>
    <t>Repl Suction Hose Assy MOE</t>
  </si>
  <si>
    <t>66203-2</t>
  </si>
  <si>
    <t>6-9204</t>
  </si>
  <si>
    <t>Repl Rubber Grommet</t>
  </si>
  <si>
    <t>69204-9</t>
  </si>
  <si>
    <t>6-9205</t>
  </si>
  <si>
    <t>Repl Hose 15'</t>
  </si>
  <si>
    <t>6-9211</t>
  </si>
  <si>
    <t>Kit MOE Chem Tank Check Valve Assy</t>
  </si>
  <si>
    <t>69211-7</t>
  </si>
  <si>
    <t>6-9221</t>
  </si>
  <si>
    <t>Repl Manifold Assembly w/o Gauge</t>
  </si>
  <si>
    <t>69221-6</t>
  </si>
  <si>
    <t>6-9222</t>
  </si>
  <si>
    <t>Repl 10 - 24X1-1/4" screws</t>
  </si>
  <si>
    <t>69222-3</t>
  </si>
  <si>
    <t>6-9223</t>
  </si>
  <si>
    <t>Suction Hose Spot Spray</t>
  </si>
  <si>
    <t>69223-0</t>
  </si>
  <si>
    <t>6-9224</t>
  </si>
  <si>
    <t>Repl Elbow Fitting</t>
  </si>
  <si>
    <t>69224-7</t>
  </si>
  <si>
    <t>6-9300</t>
  </si>
  <si>
    <t>KIT - 3/8" Straight Barb, 90 Barb</t>
  </si>
  <si>
    <t>69300-8</t>
  </si>
  <si>
    <t>6-9301</t>
  </si>
  <si>
    <t>KIT - 3/8" 90 Barb</t>
  </si>
  <si>
    <t>69301-5</t>
  </si>
  <si>
    <t>6-9302</t>
  </si>
  <si>
    <t>KIT-1/2" Straight, 90 Degree, FNPT Barb</t>
  </si>
  <si>
    <t>69302-2</t>
  </si>
  <si>
    <t>RP00010N</t>
  </si>
  <si>
    <t>Nozzle Flood Tip 3.0 Gray</t>
  </si>
  <si>
    <t>01010-2</t>
  </si>
  <si>
    <t xml:space="preserve"> GENUINE BULK PARTS AND ACCESSORIES </t>
  </si>
  <si>
    <t>3-1825</t>
  </si>
  <si>
    <t>Brrl Assy - Chem Resistant Seals</t>
  </si>
  <si>
    <t>18250-2</t>
  </si>
  <si>
    <t>3-1826</t>
  </si>
  <si>
    <t>Rod Assy - OH</t>
  </si>
  <si>
    <t>18260-1</t>
  </si>
  <si>
    <t>3-1827</t>
  </si>
  <si>
    <t>Noz .50 gpm+Filter 80◦</t>
  </si>
  <si>
    <t>3-1851</t>
  </si>
  <si>
    <t>Repair Kt Slide Spr</t>
  </si>
  <si>
    <t>18510-7</t>
  </si>
  <si>
    <t>3-1853</t>
  </si>
  <si>
    <t>Check Vlve 48 oz Spr</t>
  </si>
  <si>
    <t>18530-5</t>
  </si>
  <si>
    <t>3-3538</t>
  </si>
  <si>
    <t>Plunger Cup</t>
  </si>
  <si>
    <t>3-4844</t>
  </si>
  <si>
    <t>Asst Fan3pc+Filter+Hldr</t>
  </si>
  <si>
    <t>3-6120-84</t>
  </si>
  <si>
    <t xml:space="preserve">Hose Assembly     </t>
  </si>
  <si>
    <t>3-6145-54</t>
  </si>
  <si>
    <t>Hose Assembly</t>
  </si>
  <si>
    <t>3-7016</t>
  </si>
  <si>
    <t>9" Brl Assy - Brass</t>
  </si>
  <si>
    <t>3-7019</t>
  </si>
  <si>
    <t>12" Brrl Assy- Brass</t>
  </si>
  <si>
    <t>3-7020-1</t>
  </si>
  <si>
    <t>14" Br Brl Assy Chem Resistant Seals</t>
  </si>
  <si>
    <t>3-7045</t>
  </si>
  <si>
    <t>7" Poly Brl Assy Nit</t>
  </si>
  <si>
    <t>37045-9</t>
  </si>
  <si>
    <t>3-7046</t>
  </si>
  <si>
    <t>12" Poly Brl Assy</t>
  </si>
  <si>
    <t>70460-5</t>
  </si>
  <si>
    <t>3-7046-1</t>
  </si>
  <si>
    <t>12" Poly Brl Assy Vit</t>
  </si>
  <si>
    <t>3-7284-1</t>
  </si>
  <si>
    <t>Cover Assy w/ Chem Resistant Seals O-Ring</t>
  </si>
  <si>
    <t>3-8835</t>
  </si>
  <si>
    <t>9" Rod Assembly</t>
  </si>
  <si>
    <t>3-8986-1</t>
  </si>
  <si>
    <t>14" Rod Assy Chem Resistant Seals</t>
  </si>
  <si>
    <t>3-8988-1</t>
  </si>
  <si>
    <t>12" Rod Assy  Chem Resistant Seals</t>
  </si>
  <si>
    <t xml:space="preserve"> GENUINE PACKAGED PARTS AND ACCESSORIES </t>
  </si>
  <si>
    <t>6-1802</t>
  </si>
  <si>
    <t xml:space="preserve">Poly Nozzle     </t>
  </si>
  <si>
    <t>61802-5</t>
  </si>
  <si>
    <t>6-1898</t>
  </si>
  <si>
    <t>Industrial Brass Shut-off</t>
  </si>
  <si>
    <t>61898-8</t>
  </si>
  <si>
    <t>6-1925</t>
  </si>
  <si>
    <t>Repair Kit</t>
  </si>
  <si>
    <t>61925-1</t>
  </si>
  <si>
    <t>6-1927</t>
  </si>
  <si>
    <t>Seal Kit / Gasket EPDM OH</t>
  </si>
  <si>
    <t>69127-5</t>
  </si>
  <si>
    <t>6-1928</t>
  </si>
  <si>
    <t>Acetone Nozzle Kit</t>
  </si>
  <si>
    <t>61928-2</t>
  </si>
  <si>
    <t>6-1929</t>
  </si>
  <si>
    <t>Repl Brass Nozzle Acetone Sprayer</t>
  </si>
  <si>
    <t>61929-9</t>
  </si>
  <si>
    <t>6-1945</t>
  </si>
  <si>
    <t>Poly Open head Repair Kit with Chem Resistant Seals</t>
  </si>
  <si>
    <t>61945-9</t>
  </si>
  <si>
    <t>6-2000</t>
  </si>
  <si>
    <t>RB/Home &amp; Gdn Shutoff-Clean &amp; Seal</t>
  </si>
  <si>
    <t>62000-4</t>
  </si>
  <si>
    <t>6-2001</t>
  </si>
  <si>
    <t>RB/Home &amp; Garden Hose</t>
  </si>
  <si>
    <t>62001-1</t>
  </si>
  <si>
    <t>6-2002</t>
  </si>
  <si>
    <t>Seal and gasket kit</t>
  </si>
  <si>
    <t>62002-8</t>
  </si>
  <si>
    <t>6-2419</t>
  </si>
  <si>
    <r>
      <t xml:space="preserve">Gasket                      </t>
    </r>
    <r>
      <rPr>
        <b/>
        <sz val="10"/>
        <rFont val="Tahoma"/>
        <family val="2"/>
        <charset val="0"/>
      </rPr>
      <t xml:space="preserve"> </t>
    </r>
  </si>
  <si>
    <t>6-2420</t>
  </si>
  <si>
    <t xml:space="preserve">Gasket - Chem Resistant Seals           </t>
  </si>
  <si>
    <t>62420-0</t>
  </si>
  <si>
    <t>6-2421</t>
  </si>
  <si>
    <t xml:space="preserve">O-Ring -  Chem Resistant Seals     </t>
  </si>
  <si>
    <t>62421-9</t>
  </si>
  <si>
    <t>6-2445</t>
  </si>
  <si>
    <t xml:space="preserve">Plastic Cap                 </t>
  </si>
  <si>
    <t>62445-3</t>
  </si>
  <si>
    <t>6-2446</t>
  </si>
  <si>
    <t xml:space="preserve">O-Ring - Chem Resistant Seals            </t>
  </si>
  <si>
    <t>62446-0</t>
  </si>
  <si>
    <t>6-2446-6</t>
  </si>
  <si>
    <t xml:space="preserve">O-Ring - Acid            </t>
  </si>
  <si>
    <t>24466-8</t>
  </si>
  <si>
    <t>6-2521-4</t>
  </si>
  <si>
    <t>Repl O-Ring PTFE  -347</t>
  </si>
  <si>
    <t>25214-4</t>
  </si>
  <si>
    <t>6-2531</t>
  </si>
  <si>
    <t xml:space="preserve">O-Ring - Chem Resistant Seals         </t>
  </si>
  <si>
    <t>62531-3</t>
  </si>
  <si>
    <t>6-2541</t>
  </si>
  <si>
    <t xml:space="preserve">O-Ring                     </t>
  </si>
  <si>
    <t>62541-2</t>
  </si>
  <si>
    <t>6-2619</t>
  </si>
  <si>
    <t xml:space="preserve">Extension Clip          </t>
  </si>
  <si>
    <t>62619-8</t>
  </si>
  <si>
    <t>6-3065</t>
  </si>
  <si>
    <t xml:space="preserve">Plastic Plug          </t>
  </si>
  <si>
    <t>6-3322</t>
  </si>
  <si>
    <t xml:space="preserve">OH Clamp Nut              </t>
  </si>
  <si>
    <t>63322-6</t>
  </si>
  <si>
    <t>6-3337</t>
  </si>
  <si>
    <t>Carrying Strap</t>
  </si>
  <si>
    <t>63337-0</t>
  </si>
  <si>
    <t>6-3382</t>
  </si>
  <si>
    <t xml:space="preserve">OH Cover Gasket         </t>
  </si>
  <si>
    <t>63382-0</t>
  </si>
  <si>
    <t>6-3632</t>
  </si>
  <si>
    <t>Repl Fiber Gasket  6 Pack</t>
  </si>
  <si>
    <t>6-4182</t>
  </si>
  <si>
    <t xml:space="preserve">Retaining Ring           </t>
  </si>
  <si>
    <t>64182-5</t>
  </si>
  <si>
    <t>6-4324</t>
  </si>
  <si>
    <t>Chck Vlve -  Chem Resistant Seals</t>
  </si>
  <si>
    <t>64324-9</t>
  </si>
  <si>
    <t>6-4324-2</t>
  </si>
  <si>
    <t xml:space="preserve">Chck Vlve - EPDM      </t>
  </si>
  <si>
    <t>6-4324-3</t>
  </si>
  <si>
    <t xml:space="preserve">Chck Vlve - Xtreme®    </t>
  </si>
  <si>
    <t>43243-0</t>
  </si>
  <si>
    <t>6-4324-6</t>
  </si>
  <si>
    <t xml:space="preserve">Chck Vlve - Acid        </t>
  </si>
  <si>
    <t>43246-1</t>
  </si>
  <si>
    <t>6-4566</t>
  </si>
  <si>
    <t>Kit Nozzle 4 Position 1-4566 W/Blister</t>
  </si>
  <si>
    <t>64566-3</t>
  </si>
  <si>
    <t>6-4601</t>
  </si>
  <si>
    <t>XP Repair Kit- Chem Resistant Seals</t>
  </si>
  <si>
    <t>64601-1</t>
  </si>
  <si>
    <t>6-4602</t>
  </si>
  <si>
    <t>XP Repair Kit-Acid</t>
  </si>
  <si>
    <t>64602-8</t>
  </si>
  <si>
    <t>6-4603</t>
  </si>
  <si>
    <t>XP Repair Kit Xtreme®</t>
  </si>
  <si>
    <t>64603-5</t>
  </si>
  <si>
    <t>6-4604</t>
  </si>
  <si>
    <t>XP Repair Kit-EPDM</t>
  </si>
  <si>
    <t>64604-2</t>
  </si>
  <si>
    <t>6-4605</t>
  </si>
  <si>
    <t>XP Pressure Relief Valve - Chem Resistant Seals</t>
  </si>
  <si>
    <t>64605-9</t>
  </si>
  <si>
    <t>6-4606</t>
  </si>
  <si>
    <t>XP Pressure Relief Valve - Acid</t>
  </si>
  <si>
    <t>64606-6</t>
  </si>
  <si>
    <t>6-4607</t>
  </si>
  <si>
    <t>XP Pressure Relief Valve - Extreme</t>
  </si>
  <si>
    <t>64607-3</t>
  </si>
  <si>
    <t>6-4608</t>
  </si>
  <si>
    <t>XP Pressure Relief Valve - EPDM</t>
  </si>
  <si>
    <t>64608-0</t>
  </si>
  <si>
    <t>6-4609</t>
  </si>
  <si>
    <t xml:space="preserve">Pmp Assy Univ w/Chem Resistant Seals    </t>
  </si>
  <si>
    <t>64609-7</t>
  </si>
  <si>
    <t>6-4610</t>
  </si>
  <si>
    <t xml:space="preserve">PmpAssyErgoUniv w/Chem Resistant Seals    </t>
  </si>
  <si>
    <t>6-4611</t>
  </si>
  <si>
    <t>Barrel Assy 14" Br Xtreme®</t>
  </si>
  <si>
    <t>64611-0</t>
  </si>
  <si>
    <t>6-4612</t>
  </si>
  <si>
    <t xml:space="preserve">Pmp Rod Assy 14"  Xtreme®     </t>
  </si>
  <si>
    <t>64612-7</t>
  </si>
  <si>
    <t>6-4617</t>
  </si>
  <si>
    <t xml:space="preserve">Pump Assy Ergo  w/Chem Resistant Seals  </t>
  </si>
  <si>
    <t>6-4618</t>
  </si>
  <si>
    <t xml:space="preserve">Pump Rod Assy - 3P OH     </t>
  </si>
  <si>
    <t>64618-9</t>
  </si>
  <si>
    <t>6-4619</t>
  </si>
  <si>
    <t xml:space="preserve">Pmp/Rod Assy 18"   w/Chem Resistant Seals     </t>
  </si>
  <si>
    <t>64619-6</t>
  </si>
  <si>
    <t>6-4620</t>
  </si>
  <si>
    <t xml:space="preserve">Pmp/Rod Assy 7" Nit "D"     </t>
  </si>
  <si>
    <t>64620-2</t>
  </si>
  <si>
    <t>6-4621</t>
  </si>
  <si>
    <t xml:space="preserve">Barrel Assy 12" valve w/Chem Resistant Seals    </t>
  </si>
  <si>
    <t>6-4622</t>
  </si>
  <si>
    <t xml:space="preserve">Pup/Rod Assy 12" Nit D      </t>
  </si>
  <si>
    <t>64622-6</t>
  </si>
  <si>
    <t>6-4623</t>
  </si>
  <si>
    <t xml:space="preserve">Pmp Assy - SNS Nitrile     </t>
  </si>
  <si>
    <t>6-4624</t>
  </si>
  <si>
    <t xml:space="preserve">PmpAssyErgoSpGd w/Chem Resistant Seals  </t>
  </si>
  <si>
    <t>64624-0</t>
  </si>
  <si>
    <t>6-4624-2</t>
  </si>
  <si>
    <t xml:space="preserve">Pmp Assy Univ  EPDM     </t>
  </si>
  <si>
    <t>6-4625</t>
  </si>
  <si>
    <t>Repl 3-6060-25 Shut Off</t>
  </si>
  <si>
    <t>64625-7</t>
  </si>
  <si>
    <t>6-4626</t>
  </si>
  <si>
    <t>Poly Shut-off</t>
  </si>
  <si>
    <t>64626-4</t>
  </si>
  <si>
    <t>6-4627</t>
  </si>
  <si>
    <t>Industrial Repair Kit</t>
  </si>
  <si>
    <t>64627-1</t>
  </si>
  <si>
    <t>6-4629</t>
  </si>
  <si>
    <t>Kit OH/PL/FT Chem Resistant Seals w/Blister</t>
  </si>
  <si>
    <t>64629-5</t>
  </si>
  <si>
    <t>6-4631</t>
  </si>
  <si>
    <t>Noz PL 1-4567 w/Blister</t>
  </si>
  <si>
    <t>64631-8</t>
  </si>
  <si>
    <t>6-4634</t>
  </si>
  <si>
    <t xml:space="preserve">PmpAssyPrimeMtl  w/Chem Resistant Seals    </t>
  </si>
  <si>
    <t>64634-9</t>
  </si>
  <si>
    <t>6-4634-3</t>
  </si>
  <si>
    <t>PmpAssyPrimeMtl Xtreme®</t>
  </si>
  <si>
    <t>46343-4</t>
  </si>
  <si>
    <t>6-4634-6</t>
  </si>
  <si>
    <t xml:space="preserve">PmpAssyPrimeMtlAcid     </t>
  </si>
  <si>
    <t>46346-5</t>
  </si>
  <si>
    <t>6-4635</t>
  </si>
  <si>
    <t xml:space="preserve">Pump Assembly w/Chem Resistant Seals     </t>
  </si>
  <si>
    <t>64635-6</t>
  </si>
  <si>
    <t>6-4638</t>
  </si>
  <si>
    <t>Poly Shut-off, Cleaner/Degreaser</t>
  </si>
  <si>
    <t>64638-7</t>
  </si>
  <si>
    <t>6-4641</t>
  </si>
  <si>
    <t xml:space="preserve">S/O Gard Hose W/Grip     </t>
  </si>
  <si>
    <t>64641-7</t>
  </si>
  <si>
    <t>6-4642</t>
  </si>
  <si>
    <t xml:space="preserve">Pmp Assy Univ Nit/Chem Resistant Seals </t>
  </si>
  <si>
    <t>6-4642-2</t>
  </si>
  <si>
    <t xml:space="preserve">Pmp Assy Univ EPDM </t>
  </si>
  <si>
    <t>46422-6</t>
  </si>
  <si>
    <t>6-4645</t>
  </si>
  <si>
    <t>Pressure Relief Valve</t>
  </si>
  <si>
    <t>64645-5</t>
  </si>
  <si>
    <t>6-4646</t>
  </si>
  <si>
    <t>Xtreme® Repair Kit</t>
  </si>
  <si>
    <t>64646-2</t>
  </si>
  <si>
    <t>6-4648</t>
  </si>
  <si>
    <t xml:space="preserve">Adapter to S/O PL     </t>
  </si>
  <si>
    <t>64648-6</t>
  </si>
  <si>
    <t>6-4649</t>
  </si>
  <si>
    <t xml:space="preserve">Hanger - Tool  Poly     </t>
  </si>
  <si>
    <t>6-4650</t>
  </si>
  <si>
    <t>BrFanNoz .50 gpm male 80◦</t>
  </si>
  <si>
    <t>6-4651</t>
  </si>
  <si>
    <t xml:space="preserve">TSP Orifice 36216  </t>
  </si>
  <si>
    <t>64651-6</t>
  </si>
  <si>
    <t>6-4652</t>
  </si>
  <si>
    <t xml:space="preserve">Anti Siphon ASSY Dia </t>
  </si>
  <si>
    <t>64652-3</t>
  </si>
  <si>
    <t>6-4653</t>
  </si>
  <si>
    <t xml:space="preserve">Washer Flat  </t>
  </si>
  <si>
    <t>64653-0</t>
  </si>
  <si>
    <t>6-4654</t>
  </si>
  <si>
    <t xml:space="preserve">Deflector 36219 </t>
  </si>
  <si>
    <t>64654-7</t>
  </si>
  <si>
    <t>6-4655</t>
  </si>
  <si>
    <t xml:space="preserve">Noz W/Trigger HD 5-1/2" </t>
  </si>
  <si>
    <t>64655-4</t>
  </si>
  <si>
    <t>6-4656</t>
  </si>
  <si>
    <r>
      <t xml:space="preserve">Noz Assy BR Fan     </t>
    </r>
    <r>
      <rPr>
        <b/>
        <sz val="10"/>
        <rFont val="Tahoma"/>
        <family val="2"/>
        <charset val="0"/>
      </rPr>
      <t xml:space="preserve"> </t>
    </r>
  </si>
  <si>
    <t>6-4703</t>
  </si>
  <si>
    <t xml:space="preserve">BrFanNoz .40 gpm 80◦     </t>
  </si>
  <si>
    <t>64703-2</t>
  </si>
  <si>
    <t>6-4707</t>
  </si>
  <si>
    <t xml:space="preserve">BrFanNoz .10 gpm 80◦     </t>
  </si>
  <si>
    <t>6-4824</t>
  </si>
  <si>
    <t xml:space="preserve">Fan Nozzle Kit </t>
  </si>
  <si>
    <t>64824-4</t>
  </si>
  <si>
    <t>6-5327</t>
  </si>
  <si>
    <t>Repl Nozzle Assy 3-6003-6 Acid W/Blister</t>
  </si>
  <si>
    <t>6-5351</t>
  </si>
  <si>
    <t>Seal Kit for SNG/SNG+</t>
  </si>
  <si>
    <t>65351-4</t>
  </si>
  <si>
    <t>6-5353</t>
  </si>
  <si>
    <t>Shield for SNG</t>
  </si>
  <si>
    <t>65353-8</t>
  </si>
  <si>
    <t>6-5354</t>
  </si>
  <si>
    <t>34" Clear Reinforced Hose</t>
  </si>
  <si>
    <t>65354-5</t>
  </si>
  <si>
    <t>6-5364</t>
  </si>
  <si>
    <t xml:space="preserve">Measure Cup 4 oz         </t>
  </si>
  <si>
    <t>65364-4</t>
  </si>
  <si>
    <t>6-5368</t>
  </si>
  <si>
    <t>Pro Series Seal Kit</t>
  </si>
  <si>
    <t>65368-2</t>
  </si>
  <si>
    <t>6-5369</t>
  </si>
  <si>
    <t>Repair Kit, Acid Staining</t>
  </si>
  <si>
    <t>65369-9</t>
  </si>
  <si>
    <t>6-5370</t>
  </si>
  <si>
    <t>12" Curved Poly Wand, Acid Staining</t>
  </si>
  <si>
    <t>65370-5</t>
  </si>
  <si>
    <t>6-5371</t>
  </si>
  <si>
    <t>Poly Shut-off, Acid Staining</t>
  </si>
  <si>
    <t>65371-2</t>
  </si>
  <si>
    <t>6-5372</t>
  </si>
  <si>
    <t>Poly Adjust Cone Nozzle, Acid Staining</t>
  </si>
  <si>
    <t>65372-9</t>
  </si>
  <si>
    <t>6-5374</t>
  </si>
  <si>
    <t>Pressure Relief Valve, Acid Staining</t>
  </si>
  <si>
    <t>65374-3</t>
  </si>
  <si>
    <t>6-5378</t>
  </si>
  <si>
    <t>Xtreme® Conversation Kit - Hose/Seals</t>
  </si>
  <si>
    <t>65378-1</t>
  </si>
  <si>
    <t>6-5379</t>
  </si>
  <si>
    <t>Repl Nozzle 3PC W/Retainer Kit</t>
  </si>
  <si>
    <t>65379-8</t>
  </si>
  <si>
    <t>6-5380</t>
  </si>
  <si>
    <t>Extreme Shut-Off</t>
  </si>
  <si>
    <t>65380-4</t>
  </si>
  <si>
    <t>6-5383</t>
  </si>
  <si>
    <t>Relief Valve Kit - Premier Pro</t>
  </si>
  <si>
    <t>65383-5</t>
  </si>
  <si>
    <t>6-5384</t>
  </si>
  <si>
    <t>Pro + Acid Staining Kit</t>
  </si>
  <si>
    <t>65384-2</t>
  </si>
  <si>
    <t>6-5385</t>
  </si>
  <si>
    <t xml:space="preserve">Repl Spray Shield </t>
  </si>
  <si>
    <t>65385-9</t>
  </si>
  <si>
    <t>6-5387</t>
  </si>
  <si>
    <t>O-ring kit</t>
  </si>
  <si>
    <t>65387-3</t>
  </si>
  <si>
    <t>6-5580</t>
  </si>
  <si>
    <t>Kit Repl D-handle</t>
  </si>
  <si>
    <t>65580-8</t>
  </si>
  <si>
    <t>6-5581</t>
  </si>
  <si>
    <t xml:space="preserve">D-Handle     </t>
  </si>
  <si>
    <t>65581-5</t>
  </si>
  <si>
    <t>6-5587</t>
  </si>
  <si>
    <t xml:space="preserve">Spring                      </t>
  </si>
  <si>
    <t>6-5599</t>
  </si>
  <si>
    <t xml:space="preserve">D/L hose adapter     </t>
  </si>
  <si>
    <t>65599-0</t>
  </si>
  <si>
    <t>6-5671</t>
  </si>
  <si>
    <t xml:space="preserve">BrFanNoz .60 gpm fem 80◦ </t>
  </si>
  <si>
    <t>65671-3</t>
  </si>
  <si>
    <t>6-5796</t>
  </si>
  <si>
    <t xml:space="preserve">Noz Multi -Spray Br  </t>
  </si>
  <si>
    <t>65796-3</t>
  </si>
  <si>
    <t>6-5797</t>
  </si>
  <si>
    <t>Industrial Brass Fan Tip Nozzle</t>
  </si>
  <si>
    <t>65797-0</t>
  </si>
  <si>
    <t>6-5798</t>
  </si>
  <si>
    <t>Noz Kit Poly Brass 301272-1 W/Blister</t>
  </si>
  <si>
    <t>65798-7</t>
  </si>
  <si>
    <t>6-5859</t>
  </si>
  <si>
    <t xml:space="preserve">Out Tube Assy  w/Chem Resistant Seals </t>
  </si>
  <si>
    <t>65859-5</t>
  </si>
  <si>
    <t>6-5859-3</t>
  </si>
  <si>
    <t>OutTubeAssyXtreme®</t>
  </si>
  <si>
    <t>58593-8</t>
  </si>
  <si>
    <t>6-5915</t>
  </si>
  <si>
    <t xml:space="preserve">BrFanNoz .10 gpm fem 80◦ </t>
  </si>
  <si>
    <t>65915-8</t>
  </si>
  <si>
    <t>6-5916</t>
  </si>
  <si>
    <t xml:space="preserve">BrFanNoz .10 gpm male 80◦ </t>
  </si>
  <si>
    <t>65916-5</t>
  </si>
  <si>
    <t>6-5933</t>
  </si>
  <si>
    <t xml:space="preserve">BrFanNoz .20 gpm fem 80◦ </t>
  </si>
  <si>
    <t>63933-2</t>
  </si>
  <si>
    <t>6-5934</t>
  </si>
  <si>
    <t xml:space="preserve">BrFanNoz .20 gpm male 80◦ </t>
  </si>
  <si>
    <t>6-5935</t>
  </si>
  <si>
    <t>Repl Nozzle Br Fan 1.0GPM 110 Deg</t>
  </si>
  <si>
    <t>65935-6</t>
  </si>
  <si>
    <t>6-5937</t>
  </si>
  <si>
    <t xml:space="preserve">BrFanNoz .30 gpm male 80◦ </t>
  </si>
  <si>
    <t>65937-0</t>
  </si>
  <si>
    <t>6-5939</t>
  </si>
  <si>
    <t xml:space="preserve">BrFanNoz 1.0 gpm male 95◦ </t>
  </si>
  <si>
    <t>6-5940</t>
  </si>
  <si>
    <t xml:space="preserve">BrFanNoz .50 gpm male 95◦ </t>
  </si>
  <si>
    <t>6-5943</t>
  </si>
  <si>
    <t>Noz BR 1-5943 (female) - 1.0 gpm</t>
  </si>
  <si>
    <t>65943-1</t>
  </si>
  <si>
    <t>6-6000</t>
  </si>
  <si>
    <t>Brass Adjustable Cone Nozzle  w/Chem Resistant Seals</t>
  </si>
  <si>
    <t>66000-0</t>
  </si>
  <si>
    <t>6-6001</t>
  </si>
  <si>
    <t>Repl Noz Assembly - Brass Fan w/Chem Resistant Seals</t>
  </si>
  <si>
    <t>66001-7</t>
  </si>
  <si>
    <t>6-6002</t>
  </si>
  <si>
    <t>Noz BR 3-6002 w/Blister</t>
  </si>
  <si>
    <t>66002-4</t>
  </si>
  <si>
    <t>6-6003</t>
  </si>
  <si>
    <t xml:space="preserve">Poly Adjustable Cone Nozzle </t>
  </si>
  <si>
    <t>66003-1</t>
  </si>
  <si>
    <t>6-6006</t>
  </si>
  <si>
    <t xml:space="preserve">NozAssyPolyAdjFineMist  </t>
  </si>
  <si>
    <t>66006-2</t>
  </si>
  <si>
    <t>6-6062</t>
  </si>
  <si>
    <t>Industrial Brass Shut-off w/Fitting</t>
  </si>
  <si>
    <t>66062-8</t>
  </si>
  <si>
    <t>6-6091</t>
  </si>
  <si>
    <t>48" Industrial Hose w/Fittings</t>
  </si>
  <si>
    <t>66091-8</t>
  </si>
  <si>
    <t>6-6092</t>
  </si>
  <si>
    <t>48" Heavy Duty Industrial Hose</t>
  </si>
  <si>
    <t>66092-5</t>
  </si>
  <si>
    <t>6-6093</t>
  </si>
  <si>
    <t>Repl 48" Hose Blk  Xtreme® LDBH Kit</t>
  </si>
  <si>
    <t>66093-2</t>
  </si>
  <si>
    <t>6-6100</t>
  </si>
  <si>
    <t>Form Oil Extension Kit</t>
  </si>
  <si>
    <t>66100-7</t>
  </si>
  <si>
    <t>6-6136</t>
  </si>
  <si>
    <t>42" Nylon Reinforced Hose</t>
  </si>
  <si>
    <t>66136-6</t>
  </si>
  <si>
    <t>6-6141</t>
  </si>
  <si>
    <t>48" Nylon Reinforced Hose</t>
  </si>
  <si>
    <t>66141-0</t>
  </si>
  <si>
    <t>6-6142</t>
  </si>
  <si>
    <t>Hose 10' Dust Abatement Water Supply</t>
  </si>
  <si>
    <t>66142-7</t>
  </si>
  <si>
    <t>6-7006-3</t>
  </si>
  <si>
    <t xml:space="preserve">14" Br Brl Assy w/Chem Resistant Seals </t>
  </si>
  <si>
    <t>70063-8</t>
  </si>
  <si>
    <t>6-7006-5</t>
  </si>
  <si>
    <t xml:space="preserve">12" Br brl Assy w/Chem Resistant Seals   </t>
  </si>
  <si>
    <t>70065-2</t>
  </si>
  <si>
    <t>6-7280</t>
  </si>
  <si>
    <t>Repl Cover Assy 3P OH</t>
  </si>
  <si>
    <t>67280-5</t>
  </si>
  <si>
    <t>6-7331-1</t>
  </si>
  <si>
    <t>Pmp/Rod Assy 12" w/Chem Resistant Seals</t>
  </si>
  <si>
    <t>73311-7</t>
  </si>
  <si>
    <t>6-7350-12</t>
  </si>
  <si>
    <t xml:space="preserve">12" Br Pmp Assy  w/Chem Resistant Seals </t>
  </si>
  <si>
    <t>6-7534-1</t>
  </si>
  <si>
    <t>9"Pmp/RodAssyOH  w/Chem Resistant Seals</t>
  </si>
  <si>
    <t>6-7535-1</t>
  </si>
  <si>
    <t>12"Pmp/Rod AssyOH  w/Chem Resistant Seals</t>
  </si>
  <si>
    <t>75351-1</t>
  </si>
  <si>
    <t>6-7536-1</t>
  </si>
  <si>
    <t xml:space="preserve">14"Pmp/RodAssyOH  w/Chem Resistant Seals </t>
  </si>
  <si>
    <t>75361-0</t>
  </si>
  <si>
    <t>6-7537-1</t>
  </si>
  <si>
    <t>12"Pmp/RodAssyOH  w/Chem Resistant Seals</t>
  </si>
  <si>
    <t>6-7548</t>
  </si>
  <si>
    <t xml:space="preserve">RB Pump Assy     </t>
  </si>
  <si>
    <t>6-7701</t>
  </si>
  <si>
    <t>Ext Tube 3-7701 w/ Blister</t>
  </si>
  <si>
    <t>67701-5</t>
  </si>
  <si>
    <t>6-7703</t>
  </si>
  <si>
    <t>24" Industrial Brass Male Extension</t>
  </si>
  <si>
    <t>67703-9</t>
  </si>
  <si>
    <t>6-7704</t>
  </si>
  <si>
    <t>24" Industrial Brass Female Extension</t>
  </si>
  <si>
    <t>67704-6</t>
  </si>
  <si>
    <t>6-7705</t>
  </si>
  <si>
    <t>Ext Tube 3-7762-3 W/Bag Curved O-Ring</t>
  </si>
  <si>
    <t>67705-3</t>
  </si>
  <si>
    <t>6-7711</t>
  </si>
  <si>
    <t>18" Premier Brass Extension Curved</t>
  </si>
  <si>
    <t>67711-4</t>
  </si>
  <si>
    <t>6-7713</t>
  </si>
  <si>
    <t xml:space="preserve">36" Curved Br Wand     </t>
  </si>
  <si>
    <t>67713-8</t>
  </si>
  <si>
    <t>6-7720</t>
  </si>
  <si>
    <t xml:space="preserve">24" Straight Br Wand     </t>
  </si>
  <si>
    <t>6-7726</t>
  </si>
  <si>
    <t>18" Straight Brass Wand Extension Kit</t>
  </si>
  <si>
    <t>67726-8</t>
  </si>
  <si>
    <t>6-7734</t>
  </si>
  <si>
    <t>Ext Tube 3-7734 w/blister Curved O-Ring</t>
  </si>
  <si>
    <t>67734-3</t>
  </si>
  <si>
    <t>6-7742</t>
  </si>
  <si>
    <t>18" Industrial Brass Female Extension</t>
  </si>
  <si>
    <t>67742-8</t>
  </si>
  <si>
    <t>6-7745</t>
  </si>
  <si>
    <t>Industrial Filtered Outlet Tube</t>
  </si>
  <si>
    <t>67745-9</t>
  </si>
  <si>
    <t>6-7748</t>
  </si>
  <si>
    <t xml:space="preserve">12" Poly Extension w/Chem Resistant Seals </t>
  </si>
  <si>
    <t>67748-0</t>
  </si>
  <si>
    <t>6-7749</t>
  </si>
  <si>
    <t>18" Poly Extension w/Chem Resistant Seals</t>
  </si>
  <si>
    <t>67749-7</t>
  </si>
  <si>
    <t>6-7750</t>
  </si>
  <si>
    <t>Repl EPDM Ext Tube 301141-2</t>
  </si>
  <si>
    <t>67750-3</t>
  </si>
  <si>
    <t>6-7755</t>
  </si>
  <si>
    <t>12" Poly Brass Extension w/Chem Resistant Seals</t>
  </si>
  <si>
    <t>67755-8</t>
  </si>
  <si>
    <t>6-7756</t>
  </si>
  <si>
    <t>16" Poly Brass Extension w/Chem Resistant Seals</t>
  </si>
  <si>
    <t>67756-5</t>
  </si>
  <si>
    <t>6-7770</t>
  </si>
  <si>
    <t>32" Extendable Wand w/Chem Resistant Seals</t>
  </si>
  <si>
    <t>67770-1</t>
  </si>
  <si>
    <t>6-7773</t>
  </si>
  <si>
    <t>Spot spraying shield w/nozzle</t>
  </si>
  <si>
    <t>67773-2</t>
  </si>
  <si>
    <t>6-8105</t>
  </si>
  <si>
    <t>Hose 48"</t>
  </si>
  <si>
    <t>68105-0</t>
  </si>
  <si>
    <t>6-8109</t>
  </si>
  <si>
    <t>Clamp</t>
  </si>
  <si>
    <t>68109-8</t>
  </si>
  <si>
    <t>6-8115</t>
  </si>
  <si>
    <t>O-Ring</t>
  </si>
  <si>
    <t>68115-9</t>
  </si>
  <si>
    <t>6-8130</t>
  </si>
  <si>
    <t>Repl Hose 48"</t>
  </si>
  <si>
    <t>68130-2</t>
  </si>
  <si>
    <t>6-8132</t>
  </si>
  <si>
    <t>Kit Seal Ergo/BPK W/Blister 7221872</t>
  </si>
  <si>
    <t>68132-6</t>
  </si>
  <si>
    <t>6-8133</t>
  </si>
  <si>
    <t>Chrome plated steel 16" wand</t>
  </si>
  <si>
    <t>68133-3</t>
  </si>
  <si>
    <t>6-8134</t>
  </si>
  <si>
    <t>Piston Collar</t>
  </si>
  <si>
    <t>68134-1</t>
  </si>
  <si>
    <t>6-8135</t>
  </si>
  <si>
    <t>Dripless Shutoff Assembly</t>
  </si>
  <si>
    <t>68135-7</t>
  </si>
  <si>
    <t>6-8136</t>
  </si>
  <si>
    <t>Repl Xtreme® DPL Valve Seat Assembly</t>
  </si>
  <si>
    <t>68136-4</t>
  </si>
  <si>
    <t>6-8137</t>
  </si>
  <si>
    <t>Straps - 61800 Series</t>
  </si>
  <si>
    <t>68137-1</t>
  </si>
  <si>
    <t>6-8137-1</t>
  </si>
  <si>
    <t>Repl Carrying Strap Thick Pad BPK</t>
  </si>
  <si>
    <t>81371-0</t>
  </si>
  <si>
    <t>6-8140</t>
  </si>
  <si>
    <t>Poly Fan Nozzle Assembly</t>
  </si>
  <si>
    <t>68140-1</t>
  </si>
  <si>
    <t>6-8141</t>
  </si>
  <si>
    <t>Wand Assembly</t>
  </si>
  <si>
    <t>68141-8</t>
  </si>
  <si>
    <t>6-8146</t>
  </si>
  <si>
    <t>Filter Basket w/ Cap 4"</t>
  </si>
  <si>
    <t>68146-3</t>
  </si>
  <si>
    <t>6-8146-1</t>
  </si>
  <si>
    <t>Filter Basket w/ Cap 6"</t>
  </si>
  <si>
    <t>81461-8</t>
  </si>
  <si>
    <t>6-8146-2</t>
  </si>
  <si>
    <t>Filter Basket w/ Cap 5.25"</t>
  </si>
  <si>
    <t>81462-5</t>
  </si>
  <si>
    <t>6-8148</t>
  </si>
  <si>
    <t>Nozzle Kit</t>
  </si>
  <si>
    <t>68148-7</t>
  </si>
  <si>
    <t>6-8149</t>
  </si>
  <si>
    <t>Brass 19" wand</t>
  </si>
  <si>
    <t>68149-4</t>
  </si>
  <si>
    <t>6-8150</t>
  </si>
  <si>
    <t>Repl Vertical Wand Clip Stow-Away Handle</t>
  </si>
  <si>
    <t>68150-0</t>
  </si>
  <si>
    <t>6-8152</t>
  </si>
  <si>
    <t>Wand Clips</t>
  </si>
  <si>
    <t>68152-4</t>
  </si>
  <si>
    <t>6-8153</t>
  </si>
  <si>
    <t>O-Ring Kit</t>
  </si>
  <si>
    <t>68153-1</t>
  </si>
  <si>
    <t>6-8156</t>
  </si>
  <si>
    <t>Repl Relief Valve W Hanger Bag</t>
  </si>
  <si>
    <t>68156-2</t>
  </si>
  <si>
    <t>6-8169</t>
  </si>
  <si>
    <t>4th Stage Replacement Filer</t>
  </si>
  <si>
    <t>68169-2</t>
  </si>
  <si>
    <t>6-8175</t>
  </si>
  <si>
    <t>Shut-Off Assembly Poly with Gauge</t>
  </si>
  <si>
    <t>68175-3</t>
  </si>
  <si>
    <t>6-8177</t>
  </si>
  <si>
    <t>Repl Pressure Gauge BPK Shut Off</t>
  </si>
  <si>
    <t>68177-7</t>
  </si>
  <si>
    <t>6-8178</t>
  </si>
  <si>
    <t>Piston Cylinder Assembly</t>
  </si>
  <si>
    <t>68178-4</t>
  </si>
  <si>
    <t>6-8179</t>
  </si>
  <si>
    <t>Pump Piston Assembly</t>
  </si>
  <si>
    <t>68179-1</t>
  </si>
  <si>
    <t>6-8180</t>
  </si>
  <si>
    <t>Piston Pump Repair Kit</t>
  </si>
  <si>
    <t>68180-7</t>
  </si>
  <si>
    <t>6-8181</t>
  </si>
  <si>
    <t>Replacement Shoulder Straps</t>
  </si>
  <si>
    <t>68181-4</t>
  </si>
  <si>
    <t>6-8182</t>
  </si>
  <si>
    <t>Repl Delux Strap Assembly W/Backpad</t>
  </si>
  <si>
    <t>68182-1</t>
  </si>
  <si>
    <t>6-8183</t>
  </si>
  <si>
    <t>Repl Diaphragm Pump Assy W/Lever</t>
  </si>
  <si>
    <t>68183-8</t>
  </si>
  <si>
    <t>6-8189</t>
  </si>
  <si>
    <t>Repl Wand Clips 61900,62000 (set 2)</t>
  </si>
  <si>
    <t>68189-0</t>
  </si>
  <si>
    <t>6-8193</t>
  </si>
  <si>
    <t>Repl Pump Handle with clip</t>
  </si>
  <si>
    <t>68193-7</t>
  </si>
  <si>
    <t>6-8202</t>
  </si>
  <si>
    <t>Repl Backpack Hose Assembly Kit</t>
  </si>
  <si>
    <t>68202-6</t>
  </si>
  <si>
    <t>6-8206</t>
  </si>
  <si>
    <t>Repl Euro Shoulder Straps Double Thick</t>
  </si>
  <si>
    <t>68206-4</t>
  </si>
  <si>
    <t>6-8207</t>
  </si>
  <si>
    <t>Repl Euro Filter Basket and Cap Assembly</t>
  </si>
  <si>
    <t>68207-1</t>
  </si>
  <si>
    <t>6-8209</t>
  </si>
  <si>
    <t xml:space="preserve">Repl Euro Backpack Link Arm </t>
  </si>
  <si>
    <t>68209-5</t>
  </si>
  <si>
    <t>6-8210</t>
  </si>
  <si>
    <t>Repl Euro Pump Seal Kit - Nitrile</t>
  </si>
  <si>
    <t>68210-1</t>
  </si>
  <si>
    <t>6-8212</t>
  </si>
  <si>
    <t>Repl Euro Backpack Seal Kit</t>
  </si>
  <si>
    <t>68212-5</t>
  </si>
  <si>
    <t>6-8213</t>
  </si>
  <si>
    <t>Repl Euro Backpack Valve Cartridge 61500</t>
  </si>
  <si>
    <t>68213-2</t>
  </si>
  <si>
    <t>6-8214</t>
  </si>
  <si>
    <t>Repl Euro Backpack Valve Cartridge - Bleach</t>
  </si>
  <si>
    <t>68214-9</t>
  </si>
  <si>
    <t>6-8215</t>
  </si>
  <si>
    <t>Repl Euro Backpack Pump Seal Kit - Bleach</t>
  </si>
  <si>
    <t>68215-6</t>
  </si>
  <si>
    <t>6-8216</t>
  </si>
  <si>
    <t>Repl Euro Backpack Piston Cylinder Kit</t>
  </si>
  <si>
    <t>68216-3</t>
  </si>
  <si>
    <t>6-8217</t>
  </si>
  <si>
    <t>Repl Euro Backpack Shut Off Valve Kit - Bleach</t>
  </si>
  <si>
    <t>68217-0</t>
  </si>
  <si>
    <t>6-8218</t>
  </si>
  <si>
    <t>Repl Backpack Shut Off w/Grip - Bleach</t>
  </si>
  <si>
    <t>68218-7</t>
  </si>
  <si>
    <t>6-8223</t>
  </si>
  <si>
    <t>Euro Backpack Pressure Chamber</t>
  </si>
  <si>
    <t>68223-1</t>
  </si>
  <si>
    <t>6-8224</t>
  </si>
  <si>
    <t>Repl Piston/Diaphragm Pump Assembly</t>
  </si>
  <si>
    <t>68224-8</t>
  </si>
  <si>
    <t>6-8225</t>
  </si>
  <si>
    <t>Repl Piston Collar Assembly BPK</t>
  </si>
  <si>
    <t>68225-5</t>
  </si>
  <si>
    <t>6-8230</t>
  </si>
  <si>
    <t>68230-9</t>
  </si>
  <si>
    <t>6-8231</t>
  </si>
  <si>
    <t>Shut-Off Assembly Poly with Hose</t>
  </si>
  <si>
    <t>68231-6</t>
  </si>
  <si>
    <t>6-8232</t>
  </si>
  <si>
    <t>20" Wand Assembly complete w/ Nozzle</t>
  </si>
  <si>
    <t>68232-3</t>
  </si>
  <si>
    <t>6-8233</t>
  </si>
  <si>
    <t>Carrying Straps</t>
  </si>
  <si>
    <t>68233-0</t>
  </si>
  <si>
    <t>6-8234</t>
  </si>
  <si>
    <t>OPP Piston Pump Assy</t>
  </si>
  <si>
    <t>68234-7</t>
  </si>
  <si>
    <t>6-8235</t>
  </si>
  <si>
    <t>OPP Piston Pump Repair Kit</t>
  </si>
  <si>
    <t>68235-4</t>
  </si>
  <si>
    <t>6-8236</t>
  </si>
  <si>
    <t>Repl Single Sided Baffle</t>
  </si>
  <si>
    <t>68236-1</t>
  </si>
  <si>
    <t>6-8238</t>
  </si>
  <si>
    <t>Repl 24V Battery &amp; Charger Chapin</t>
  </si>
  <si>
    <t>68238-5</t>
  </si>
  <si>
    <t>6-8241</t>
  </si>
  <si>
    <t>Repl Shutoff Body Assembly - EPDM</t>
  </si>
  <si>
    <t>68241-5</t>
  </si>
  <si>
    <t>6-8242</t>
  </si>
  <si>
    <t>Repl Extension Wand Poly - EPDM</t>
  </si>
  <si>
    <t>68242-2</t>
  </si>
  <si>
    <t>6-8244</t>
  </si>
  <si>
    <t>Repl Repair Parts Kit</t>
  </si>
  <si>
    <t>68244-6</t>
  </si>
  <si>
    <t>6-8245</t>
  </si>
  <si>
    <t>Repl Hose Assembly Euro - Vinegar</t>
  </si>
  <si>
    <t>68245-3</t>
  </si>
  <si>
    <t>6-8246</t>
  </si>
  <si>
    <t>Repl Euro Piston Cylinder Kit - Vinegar</t>
  </si>
  <si>
    <t>68246-0</t>
  </si>
  <si>
    <t>6-8247</t>
  </si>
  <si>
    <t>Euro Bkpk Pressure Chamber - Vinegar Resist.</t>
  </si>
  <si>
    <t>68247-7</t>
  </si>
  <si>
    <t>6-8248</t>
  </si>
  <si>
    <t>Repl Euro Bkpk Pump Seal Kit - Vinegar Resist.</t>
  </si>
  <si>
    <t>68248-4</t>
  </si>
  <si>
    <t>6-8249</t>
  </si>
  <si>
    <t>Repl Euro Bkpkk Valve Cartridge - Vinegar Resist.</t>
  </si>
  <si>
    <t>68249-1</t>
  </si>
  <si>
    <t>6-8250</t>
  </si>
  <si>
    <t>Repl Euro Bkpk O Ring Kit - Vineagar Resist.</t>
  </si>
  <si>
    <t>68250-7</t>
  </si>
  <si>
    <t>6-8251</t>
  </si>
  <si>
    <t>Repl Euro Filter Basket/Cap Asmbly - Vinegar Resist.</t>
  </si>
  <si>
    <t>68251-4</t>
  </si>
  <si>
    <t>6-8254</t>
  </si>
  <si>
    <t>Repl Pump Assy 1.0GPM</t>
  </si>
  <si>
    <t>6-8257</t>
  </si>
  <si>
    <t>24v Battery &amp; 12v charger</t>
  </si>
  <si>
    <t>68257-6</t>
  </si>
  <si>
    <t>6-8290</t>
  </si>
  <si>
    <t>Repl Ergo Handle Gloss BLK</t>
  </si>
  <si>
    <t>62890-3</t>
  </si>
  <si>
    <t>6-8291</t>
  </si>
  <si>
    <t>Repl Dripless S/O Wand Ind 19" W/Noz</t>
  </si>
  <si>
    <t>68291-0</t>
  </si>
  <si>
    <t>6-8301</t>
  </si>
  <si>
    <t>Repl Br Noz Assy</t>
  </si>
  <si>
    <t>68301-6</t>
  </si>
  <si>
    <t>6-8302</t>
  </si>
  <si>
    <t>Repl Noz Teejet 11008 VS (6 pack)</t>
  </si>
  <si>
    <t>68302-3</t>
  </si>
  <si>
    <t>6-8320</t>
  </si>
  <si>
    <t>Repl Wire Harness 302412 W/ Blister</t>
  </si>
  <si>
    <t>68320-7</t>
  </si>
  <si>
    <t>6-8322</t>
  </si>
  <si>
    <t>Repl Nozzle Flood Tip 3.0 Grey W/Blister</t>
  </si>
  <si>
    <t>68322-1</t>
  </si>
  <si>
    <t>6-8323</t>
  </si>
  <si>
    <t>Nozzle Flood Tip 7.5 W/Blister</t>
  </si>
  <si>
    <t>68323-8</t>
  </si>
  <si>
    <t>6-8326</t>
  </si>
  <si>
    <t>Repl Noz/Hardware 6428 W/Blister</t>
  </si>
  <si>
    <t>68326-9</t>
  </si>
  <si>
    <t>6-8327</t>
  </si>
  <si>
    <t>Repl Noz/Hardware 6429 Bag Assy</t>
  </si>
  <si>
    <t>68327-6</t>
  </si>
  <si>
    <t>6-8502</t>
  </si>
  <si>
    <t>CFV Yellow 14.5 psi-1.0 bar plus adapters</t>
  </si>
  <si>
    <t>68502-7</t>
  </si>
  <si>
    <t>6-8503</t>
  </si>
  <si>
    <t>CFV Blue 29 psi-2.0 bar plus adapters</t>
  </si>
  <si>
    <t>68503-4</t>
  </si>
  <si>
    <t>6-8805-12</t>
  </si>
  <si>
    <t xml:space="preserve">12" Rod Assembly    </t>
  </si>
  <si>
    <t>80512-8</t>
  </si>
  <si>
    <t>6-8805-7</t>
  </si>
  <si>
    <t xml:space="preserve">7" Rod Assembly     </t>
  </si>
  <si>
    <t>88057-6</t>
  </si>
  <si>
    <t>6-9000</t>
  </si>
  <si>
    <t>See Through Rain Cover</t>
  </si>
  <si>
    <t>69000-7</t>
  </si>
  <si>
    <t>6-9001</t>
  </si>
  <si>
    <t xml:space="preserve">Optional Grate </t>
  </si>
  <si>
    <t>69001-4</t>
  </si>
  <si>
    <t>6-9004</t>
  </si>
  <si>
    <t>Repl Axlecap Driver/Idler 8" Spreader</t>
  </si>
  <si>
    <t>69004-5</t>
  </si>
  <si>
    <t>6-9005</t>
  </si>
  <si>
    <t>Repl 8"/10" Spreader Tire Hardware</t>
  </si>
  <si>
    <t>69005-2</t>
  </si>
  <si>
    <t>6-9006</t>
  </si>
  <si>
    <t>Wheel 10" Solid Spreader Bag</t>
  </si>
  <si>
    <t>69006-9</t>
  </si>
  <si>
    <t>6-9007</t>
  </si>
  <si>
    <t>Axle Cap Driver/Idler 10" Spreader Bag</t>
  </si>
  <si>
    <t>69007-6</t>
  </si>
  <si>
    <t>6-9008</t>
  </si>
  <si>
    <t>Repl Pro Spreader Hopper Base Assembly</t>
  </si>
  <si>
    <t>69008-3</t>
  </si>
  <si>
    <t>6-9009</t>
  </si>
  <si>
    <t>Drive Shaft w/bearing Pro Spreaer</t>
  </si>
  <si>
    <t>69009-0</t>
  </si>
  <si>
    <t>6-9014</t>
  </si>
  <si>
    <t>Impeller Spreader</t>
  </si>
  <si>
    <t>69014-4</t>
  </si>
  <si>
    <t>6-9015</t>
  </si>
  <si>
    <t>Wheel 14" Pneumatic Spreader</t>
  </si>
  <si>
    <t>69015-1</t>
  </si>
  <si>
    <t>6-9016</t>
  </si>
  <si>
    <t>Handle Grips Spd/ Bag Assembly</t>
  </si>
  <si>
    <t>69016-8</t>
  </si>
  <si>
    <t>6-9017</t>
  </si>
  <si>
    <t>Hardware Bag</t>
  </si>
  <si>
    <t>69017-5</t>
  </si>
  <si>
    <t>6-9020</t>
  </si>
  <si>
    <t>12" Wheels W/Hardware Res</t>
  </si>
  <si>
    <t>69020-5</t>
  </si>
  <si>
    <t>6-9021</t>
  </si>
  <si>
    <t>Thumb Nuts Res Spreader</t>
  </si>
  <si>
    <t>69021-2</t>
  </si>
  <si>
    <t>6-9022</t>
  </si>
  <si>
    <t>Hardware Bag Res Spreader</t>
  </si>
  <si>
    <t>69022-9</t>
  </si>
  <si>
    <t>6-9025</t>
  </si>
  <si>
    <t>Pro/Residential Baffle System Spreader</t>
  </si>
  <si>
    <t>69025-0</t>
  </si>
  <si>
    <t>6-9027</t>
  </si>
  <si>
    <t>Repl Gear Box Assembly Res Spreader "N"</t>
  </si>
  <si>
    <t>69027-4</t>
  </si>
  <si>
    <t>6-9028</t>
  </si>
  <si>
    <t>Salt Baffle System Opp</t>
  </si>
  <si>
    <t>69028-1</t>
  </si>
  <si>
    <t>PPD $4000</t>
  </si>
  <si>
    <t>PPD $12,500</t>
  </si>
  <si>
    <t>MULTI-USE POLY SPRAYERS</t>
  </si>
  <si>
    <t xml:space="preserve"> </t>
  </si>
  <si>
    <t>MSRP</t>
  </si>
  <si>
    <t xml:space="preserve"> GENUINE *BRASS BULK PARTS AND ACCESSORIES </t>
  </si>
  <si>
    <t>PPD
$12,500</t>
  </si>
  <si>
    <t>Sample Row</t>
  </si>
  <si>
    <t>DESCRIPTION</t>
  </si>
  <si>
    <t>LIST PRICE</t>
  </si>
  <si>
    <t>MASTER QTY.</t>
  </si>
  <si>
    <t>PALLET QTY</t>
  </si>
  <si>
    <t>UPC 0-23883-</t>
  </si>
  <si>
    <t>ITEM</t>
  </si>
  <si>
    <t>10000</t>
  </si>
  <si>
    <t>SureSpray™ Lawn &amp; Garden Sprayer - 1/2 Gal</t>
  </si>
  <si>
    <t>16100</t>
  </si>
  <si>
    <t>Home &amp; Garden Value Series Sprayer - 1 Gal</t>
  </si>
  <si>
    <t>16200</t>
  </si>
  <si>
    <t>Home &amp; Garden Value Series Sprayer - 2 Gal</t>
  </si>
  <si>
    <t>20000</t>
  </si>
  <si>
    <t>SureSpray™ Lawn &amp; Garden Sprayer - 1 Gal</t>
  </si>
  <si>
    <t>20002</t>
  </si>
  <si>
    <t>SureSpray™ Lawn &amp; Garden Sprayer - 2 Gal</t>
  </si>
  <si>
    <t>20003</t>
  </si>
  <si>
    <t>SureSpray™ Lawn &amp; Garden Sprayer - 3 Gal</t>
  </si>
  <si>
    <t>29001</t>
  </si>
  <si>
    <t>29002</t>
  </si>
  <si>
    <t>29003</t>
  </si>
  <si>
    <t>INDUSTRIAL POLY SPRAYERS</t>
  </si>
  <si>
    <t>PREMIER Dripless Poly Acetone Sprayer - 3 Gal</t>
  </si>
  <si>
    <t>PREMIER Heavy Duty Poly Sprayer, Brass, 1 Gal</t>
  </si>
  <si>
    <t>PREMIER Heavy Duty Poly Sprayer, Brass, 2 Gal</t>
  </si>
  <si>
    <t>PREMIER Heavy Duty Poly Sprayer, Brass, 3 Gal</t>
  </si>
  <si>
    <t>PREMIER Xtreme™ Open Head Poly Concrete Sprayer - 3 Gal</t>
  </si>
  <si>
    <t>PREMIER Poly Concrete Sprayer Poly - 3 Gal</t>
  </si>
  <si>
    <t>PREMIER Chemical Resistant Poly Concrete Sprayer Poly - 3 Gal</t>
  </si>
  <si>
    <t>XP Pro Series Acid Staining Poly Sprayer - 2 Gal</t>
  </si>
  <si>
    <t>XP Pro Series Poly Cleaner Degreaser 2 Gal</t>
  </si>
  <si>
    <t>XP Pro Series Poly Cleaner Degreaser 3 Gal</t>
  </si>
  <si>
    <t>XP Pro Series Heavy Duty Poly Sprayer - 1 Gal</t>
  </si>
  <si>
    <t>XP Pro Series Heavy Duty Poly Sprayer - 2 Gal</t>
  </si>
  <si>
    <t>XP Pro Series Heavy Duty Poly Sprayer - 3 Gal</t>
  </si>
  <si>
    <t>SPECIALTY POLY SPRAYERS</t>
  </si>
  <si>
    <t>20075</t>
  </si>
  <si>
    <t>25012</t>
  </si>
  <si>
    <t>25020</t>
  </si>
  <si>
    <t>HANDHELD SPRAYERS</t>
  </si>
  <si>
    <t>1002</t>
  </si>
  <si>
    <t>10027</t>
  </si>
  <si>
    <t>10031</t>
  </si>
  <si>
    <t>1046</t>
  </si>
  <si>
    <t>TRIGGER SPRAYERS</t>
  </si>
  <si>
    <t>1105</t>
  </si>
  <si>
    <t>HOSE END SPRAYERS</t>
  </si>
  <si>
    <t>INDUSTRIAL STEEL SPRAYERS</t>
  </si>
  <si>
    <t>1739</t>
  </si>
  <si>
    <t>1749</t>
  </si>
  <si>
    <t>1831</t>
  </si>
  <si>
    <t>19049</t>
  </si>
  <si>
    <t>19069</t>
  </si>
  <si>
    <t>Xtreme™ Stainless Concrete Open Head Sprayer - 3.5 Gal</t>
  </si>
  <si>
    <t>19249</t>
  </si>
  <si>
    <t>1941</t>
  </si>
  <si>
    <t>1949</t>
  </si>
  <si>
    <t>1979</t>
  </si>
  <si>
    <t>4163</t>
  </si>
  <si>
    <t>MULTI-USE STEEL SPRAYERS</t>
  </si>
  <si>
    <t>1180</t>
  </si>
  <si>
    <t>Premier Pro Steel Sprayer w/Chem Resistant Seals - 1 Gal</t>
  </si>
  <si>
    <t>1253</t>
  </si>
  <si>
    <t>Premier Pro Stainless Steel Sprayer w/Chem Resistant Seals - 2 Gal</t>
  </si>
  <si>
    <t>1280</t>
  </si>
  <si>
    <t>Premier Pro Steel Sprayer w/Chem Resistant Seals - 2 Gal</t>
  </si>
  <si>
    <t>1352</t>
  </si>
  <si>
    <t>Heavy Duty Sprayer w/Chem Resistant Seals - 3 Gal</t>
  </si>
  <si>
    <t>1380</t>
  </si>
  <si>
    <t>Premier Pro Steel Sprayer w/Chem Resistant Seals - 3 Gal</t>
  </si>
  <si>
    <t>1449</t>
  </si>
  <si>
    <t>Concrete Sprayer w/Chem Resistant Seals - 3.5 Gal</t>
  </si>
  <si>
    <t>1480</t>
  </si>
  <si>
    <t>General Duty Sprayer w/Funnel Top - 3.5 Gal</t>
  </si>
  <si>
    <t>30600</t>
  </si>
  <si>
    <t>Deck and Fence Steel Sprayer - 2 Gal</t>
  </si>
  <si>
    <t>31410</t>
  </si>
  <si>
    <t>Yard &amp; Garden Steel Sprayer Plus - 1 Gal</t>
  </si>
  <si>
    <t>31420</t>
  </si>
  <si>
    <t>Yard &amp; Garden Steel Sprayer Plus - 2 Gal</t>
  </si>
  <si>
    <t>31430</t>
  </si>
  <si>
    <t>Yard &amp; Garden Steel Sprayer Plus - 3 Gal</t>
  </si>
  <si>
    <t>BACKPACK SPRAYERS</t>
  </si>
  <si>
    <t>27500</t>
  </si>
  <si>
    <t>60100</t>
  </si>
  <si>
    <t>60105</t>
  </si>
  <si>
    <t>60124</t>
  </si>
  <si>
    <t>60175</t>
  </si>
  <si>
    <t>61800</t>
  </si>
  <si>
    <t>61900</t>
  </si>
  <si>
    <t>62000</t>
  </si>
  <si>
    <t>63819</t>
  </si>
  <si>
    <t>63924</t>
  </si>
  <si>
    <t>63950</t>
  </si>
  <si>
    <t>64800</t>
  </si>
  <si>
    <t>ATV SPRAYERS</t>
  </si>
  <si>
    <t>6428</t>
  </si>
  <si>
    <t>6429</t>
  </si>
  <si>
    <t>6430</t>
  </si>
  <si>
    <t>97361</t>
  </si>
  <si>
    <t>97561</t>
  </si>
  <si>
    <t>TURF SPREADERS</t>
  </si>
  <si>
    <t>70 lb SureSpread™ Spreader w/10" 2 Rubber Tires</t>
  </si>
  <si>
    <t>80 lb SureSpread™ Spreader w/Edge Control, Grate</t>
  </si>
  <si>
    <t>80 lb All Season SureSpread™ Spreader W/Edge Control</t>
  </si>
  <si>
    <t>HAND HELD TURF SPREADERS</t>
  </si>
  <si>
    <t>TURF SEEDER</t>
  </si>
  <si>
    <t>SALT &amp; ICE MANAGEMENT SPREADERS</t>
  </si>
  <si>
    <t>80 lb SureSpread™ Spreader w/Baffles, Grate &amp; Cover</t>
  </si>
  <si>
    <t>80 lb Res. SureSpread™ Spreader-Baffles-Grate-Cover</t>
  </si>
  <si>
    <t>80 lb Contractor  Spreader-Baffles-Grate-Cover</t>
  </si>
  <si>
    <t>SALT &amp; ICE HAND HELD SPREADERS</t>
  </si>
  <si>
    <t>Salt Hand Spreader-with Crank</t>
  </si>
  <si>
    <t>FERTILIZER INJECTORS</t>
  </si>
  <si>
    <t>4700</t>
  </si>
  <si>
    <t>4701</t>
  </si>
  <si>
    <t>4702</t>
  </si>
  <si>
    <t>4710</t>
  </si>
  <si>
    <t>4720</t>
  </si>
  <si>
    <t>Poly Water Back Flow</t>
  </si>
  <si>
    <t>Brass Water Back Flow</t>
  </si>
  <si>
    <t>WATER TIMERS</t>
  </si>
  <si>
    <t>Watertimer Chapin Manual Set (10PK) w/Retail Clamshell</t>
  </si>
  <si>
    <t>HOSE NOZZLES</t>
  </si>
  <si>
    <t>1080</t>
  </si>
  <si>
    <t>1260</t>
  </si>
  <si>
    <t>Plastic Adjustable Hose Nozzle - PDQ</t>
  </si>
  <si>
    <t>Plastic 5 Pattern Hose Nozzle - PDQ</t>
  </si>
  <si>
    <t>46836</t>
  </si>
  <si>
    <t>Metal 5 Pattern Nozzle w/Palm Trigger - PDQ</t>
  </si>
  <si>
    <t>SureGrip 9 Pattern Thumb Control Mini-Wand - PDQ</t>
  </si>
  <si>
    <t>Metal 10 Pattern Thumb Control Spray Nozzle - PDQ</t>
  </si>
  <si>
    <t>Sure Grip Metal Adjustable Hose Nozzle - PDQ</t>
  </si>
  <si>
    <t>Sure Grip 9 Pattern Hose Nozzle - PDQ</t>
  </si>
  <si>
    <t>Powerful Mini-Blast Adjustable Hose Nozzle - PDQ</t>
  </si>
  <si>
    <t>46852</t>
  </si>
  <si>
    <t>Sweeper Nozzle - 2" - PDQ</t>
  </si>
  <si>
    <t>46854</t>
  </si>
  <si>
    <t>Sweeper Nozzle - 4" - PDQ</t>
  </si>
  <si>
    <t>46856</t>
  </si>
  <si>
    <t>Sweeper Nozzle - 6" - PDQ</t>
  </si>
  <si>
    <t>4692</t>
  </si>
  <si>
    <t>4694</t>
  </si>
  <si>
    <t>4696</t>
  </si>
  <si>
    <t>4698</t>
  </si>
  <si>
    <t>WANDS</t>
  </si>
  <si>
    <t>16" 8 Pattern Adjustable Head Watering wand - PDQ</t>
  </si>
  <si>
    <t>SPRINKLERS</t>
  </si>
  <si>
    <t>Metal Watering Bubbler - PDQ</t>
  </si>
  <si>
    <t>Brass Impact Sprinkler Head</t>
  </si>
  <si>
    <t>Heavy-duty Metal Vane Sprinkler</t>
  </si>
  <si>
    <t>Oscillating 19 Hole Sprinkler</t>
  </si>
  <si>
    <t>Impact Sprinkler Head Plastic with Spike</t>
  </si>
  <si>
    <t>Metal Impact Sprinkler on Step Stake Spike</t>
  </si>
  <si>
    <t>Large Metal Impact Sprinkler on Step Stake Spike</t>
  </si>
  <si>
    <t>Replacement Metal Impact Sprinkler Head</t>
  </si>
  <si>
    <t>CONNECTORS AND PARTS</t>
  </si>
  <si>
    <t>1008</t>
  </si>
  <si>
    <t>1440</t>
  </si>
  <si>
    <t>Full Flow Plastic Hose 4Way - PDQ</t>
  </si>
  <si>
    <t>Full Flow Plastic Hose Y - PDQ</t>
  </si>
  <si>
    <t>Full-Flow Plastic Shutoff - PDQ</t>
  </si>
  <si>
    <t>Plastic Quick Male connector - PDQ</t>
  </si>
  <si>
    <t>Plastic quick connector set - PDQ</t>
  </si>
  <si>
    <t>Plasitc quick connector starter set-5pcs - PDQ</t>
  </si>
  <si>
    <t>20PCS  Washer end cap kit - PDQ</t>
  </si>
  <si>
    <t>Filter Hose Washer-3pcs - PDQ</t>
  </si>
  <si>
    <t>Plastic Female Adaptor - PDQ</t>
  </si>
  <si>
    <t>Plastic hose repair-Female5/8"-3/4" - PDQ</t>
  </si>
  <si>
    <t>Plastic hose repair-Male 5/8"-3/4" - PDQ</t>
  </si>
  <si>
    <t>Plastic hose repair-Mender 5/8"-3/4" - PDQ</t>
  </si>
  <si>
    <t>Plastic hose repair-Mender 1/2" - PDQ</t>
  </si>
  <si>
    <t>Plastic hose repair-Female 1/2" - PDQ</t>
  </si>
  <si>
    <t>Plastic hose repair-Male 1/2" - PDQ</t>
  </si>
  <si>
    <t>Hose Washer-10pcs - PDQ</t>
  </si>
  <si>
    <t>Plastic Male Adaptor - PDQ</t>
  </si>
  <si>
    <t>Metal Mender Clamp 5/8" - PDQ</t>
  </si>
  <si>
    <t>Brass Quick Connector Washer-3PCS - PDQ</t>
  </si>
  <si>
    <t>Brass Double Female Swivel 3/4" - 1/2" Connectors PDQ</t>
  </si>
  <si>
    <t>Brass Double Female 3/4" - 1/2" Connectors PDQ</t>
  </si>
  <si>
    <t>Brass End Caps-2pcs - PDQ</t>
  </si>
  <si>
    <t>Brass Female Coupler - PDQ</t>
  </si>
  <si>
    <t>Brass Male Coupler - PD</t>
  </si>
  <si>
    <t>Single Connector w/Shut off - PDQ</t>
  </si>
  <si>
    <t>Metal Y Connector - PDQ</t>
  </si>
  <si>
    <t>Y Connector s/Shut off - PDQ</t>
  </si>
  <si>
    <t>Brass Pipe &amp; Hose Conn. 3/4" NPT Male 3/4" NH Female - PDQ</t>
  </si>
  <si>
    <t>Brass Pipe &amp; Hose Conn. 3/4" Double Female Swivel - PDQ</t>
  </si>
  <si>
    <t>Brass Pipe &amp; Hose Conn. 3/4" NPS Female 3/4" NH Female - PDQ</t>
  </si>
  <si>
    <t>Brass Pipe &amp; Hose Conn. 3/4" Male and 1/2" Female - PDQ</t>
  </si>
  <si>
    <t>Brass Pipe &amp; Hose Conn. 3/4" Double Male and 1/2" - PDQ</t>
  </si>
  <si>
    <t>Brass Pipe &amp; Hose Conn. 3/4" NH Male, 1/2" NPS Female - PDQ</t>
  </si>
  <si>
    <t>Brass Pipe &amp; Hose Conn. 3/4" NM Male, 3/4" NH Female - PDQ</t>
  </si>
  <si>
    <t>Plastic Single Connector w/shut off - PDQ</t>
  </si>
  <si>
    <t>Plastic Y connector w/shut off - PDQ</t>
  </si>
  <si>
    <t>Brass Quick Connector Male and Female set - PDQ</t>
  </si>
  <si>
    <t>Brass Male Adaptor - PDQ</t>
  </si>
  <si>
    <t>Brass Double 3/4" NH Female Swivel Connector - PDQ</t>
  </si>
  <si>
    <t>Brass Double 3/4" NH Male Connector - PDQ</t>
  </si>
  <si>
    <t>Brass Quick Connector - PDQ</t>
  </si>
  <si>
    <t>47999</t>
  </si>
  <si>
    <t>5000</t>
  </si>
  <si>
    <t>5998</t>
  </si>
  <si>
    <t>65' Hose Reel Auto-Retractable Metal Nozzle (2PK)</t>
  </si>
  <si>
    <t>75111</t>
  </si>
  <si>
    <t>Propane Weed Burner Torch</t>
  </si>
  <si>
    <t>75113</t>
  </si>
  <si>
    <t>Heavy Duty Propane Weed Burner Torch</t>
  </si>
  <si>
    <t>97902</t>
  </si>
  <si>
    <t>1000</t>
  </si>
  <si>
    <t>Light Duty Poly Garden Sprayer - 48 oz. - - - - -TRANSITIONS TO 1002</t>
  </si>
  <si>
    <t>10009</t>
  </si>
  <si>
    <t>Disinfectant Hand Sprayer - 48 oz. - - - - -TRANSITIONS TO NONE</t>
  </si>
  <si>
    <t>10029</t>
  </si>
  <si>
    <t>48 oz. Hand Sprayer with Misting Nozzle - - - - -TRANSITIONS TO NONE</t>
  </si>
  <si>
    <t>1003</t>
  </si>
  <si>
    <t>Farm &amp; Field Hand Sprayer - 48 oz. - - - - -TRANSITIONS TO 1002</t>
  </si>
  <si>
    <t>10035</t>
  </si>
  <si>
    <t>Multi-Purpose Sprayer - 48 oz. - - - - -TRANSITIONS TO NONE</t>
  </si>
  <si>
    <t>1009</t>
  </si>
  <si>
    <t>Wallpaper Sprayer - 48 oz. - - - - -TRANSITIONS TO 1002</t>
  </si>
  <si>
    <t>1054</t>
  </si>
  <si>
    <t>Poly Foamer Sprayer - 48 oz. - - - - -TRANSITIONS TO 1046</t>
  </si>
  <si>
    <t>1055</t>
  </si>
  <si>
    <t>Multi-Use Trigger Sprayer - 32 oz. - - - - -TRANSITIONS TO 1105</t>
  </si>
  <si>
    <t>19099</t>
  </si>
  <si>
    <t>Evolution Concrete Compressor Charged Sprayer Xtreme® - 3.5 Gal - - - - -TRANSITIONS TO NONE</t>
  </si>
  <si>
    <t>19149</t>
  </si>
  <si>
    <t>Dripless Industrial w/Chem Resistant Seals Concrete Open Head Sprayer - 3.5 Gal - - - - -TRANSITIONS TO NONE</t>
  </si>
  <si>
    <t>1999</t>
  </si>
  <si>
    <t>Industrial w/ Chem Resistant Seals Concrete Compressor Charged - 3.5 Gal - - - - -TRANSITIONS TO NONE</t>
  </si>
  <si>
    <t>20010</t>
  </si>
  <si>
    <t>SureSpray™ Sprayer - 1 Gal  - - - - -TRANSITIONS TO 20000</t>
  </si>
  <si>
    <t>20020</t>
  </si>
  <si>
    <t>SureSpray™ Sprayer - 2 Gal - - - - -TRANSITIONS TO 20002</t>
  </si>
  <si>
    <t>20030</t>
  </si>
  <si>
    <t>SureSpray™ Sprayer - 3 Gal  - - - - -TRANSITIONS TO 20003</t>
  </si>
  <si>
    <t>2014</t>
  </si>
  <si>
    <t>Mosquito Poly Sprayer without chemical - 1 Gal - - - - -TRANSITIONS TO 20000</t>
  </si>
  <si>
    <t>Pro Extended Performance Farm &amp; Field w/  Chem Resistant Seals Sprayer - 2 Gal - - - - -TRANSITIONS TO 26021XP</t>
  </si>
  <si>
    <t>Pro Extended Performance Farm &amp; Field w/  Chem Resistant Seals Sprayer - 3 Gal - - - - -TRANSITIONS TO 26031XP</t>
  </si>
  <si>
    <t>Industrial Poly (XP) Heavy Duty Sprayer - 3 Gal - - - - -TRANSITIONS TO 22170XP</t>
  </si>
  <si>
    <t>Dripless Xtreme™ (XP) Poly Concrete Open Head Sprayer - 3 Gal - - - - -TRANSITIONS TO 22049XP</t>
  </si>
  <si>
    <t>Acid (XP) Staining Sprayer - 1 Gal - - - - -TRANSITIONS TO 22240XP</t>
  </si>
  <si>
    <t>Dripless (XP) Acid Staining Sprayer - 2 Gal - - - - -TRANSITIONS TO 22240XP</t>
  </si>
  <si>
    <t>Industrial Poly (XP) w/  Chem Resistant Seals Heavy Duty Sprayer - 3 Gal - - - - -TRANSITIONS TO 22180xp</t>
  </si>
  <si>
    <t>Disinfectant Sprayer Bleach - 1 Gal  - - - - -TRANSITIONS TO 20075</t>
  </si>
  <si>
    <t>24029</t>
  </si>
  <si>
    <t>Disinfectant Sprayer Bleach - 2 Gal  - - - - -TRANSITIONS TO 20075</t>
  </si>
  <si>
    <t>25010</t>
  </si>
  <si>
    <t>Clean 'N Seal Poly Deck w/ Chem Resistant Seals Sprayer - 1 Gal - - - - -TRANSITIONS TO 25012</t>
  </si>
  <si>
    <t>25022</t>
  </si>
  <si>
    <t>Thompson Deck, Fence, Patio w/ Chem Resistant Seals Sprayer - 2 Gal - - - - -TRANSITIONS TO 25020</t>
  </si>
  <si>
    <t>Industrial Poly General Duty Sprayer - 3 Gal - - - - -TRANSITIONS TO 26031XP</t>
  </si>
  <si>
    <t>26010</t>
  </si>
  <si>
    <t>SureSpray™ Deluxe Sprayer - 1 Gal  - - - - -TRANSITIONS TO 20000</t>
  </si>
  <si>
    <t>26020</t>
  </si>
  <si>
    <t>SureSpray™ Deluxe Sprayer - 2 Gal  - - - - -TRANSITIONS TO 20002</t>
  </si>
  <si>
    <t>26029</t>
  </si>
  <si>
    <t>Spectracide® Sprayer - 2 Gal - - - - -TRANSITIONS TO 20002</t>
  </si>
  <si>
    <t>26030</t>
  </si>
  <si>
    <t>SureSpray™ Deluxe Sprayer - 3 Gal  - - - - -TRANSITIONS TO 20003</t>
  </si>
  <si>
    <t>Poly Sprayer - 1 Gal - - - - -TRANSITIONS TO 26011XP</t>
  </si>
  <si>
    <t>Poly Sprayer - 2 Gal - - - - -TRANSITIONS TO 26021XP</t>
  </si>
  <si>
    <t>Poly Sprayer - 3 Gal - - - - -TRANSITIONS TO 26031XP</t>
  </si>
  <si>
    <t>26127</t>
  </si>
  <si>
    <t>Industrial Acetone Sprayer - 2 Gal - - - - -TRANSITIONS TO 21127XP</t>
  </si>
  <si>
    <t>Poly Foamer/Sprayer - 1 Gal - - - - -TRANSITIONS TO 26011XP</t>
  </si>
  <si>
    <t>Poly Foamer/Sprayer - 2 Gal - - - - -TRANSITIONS TO 26021XP</t>
  </si>
  <si>
    <t>Pest Control Poly Sprayer - 1 Gal - - - - -TRANSITIONS TO 20000</t>
  </si>
  <si>
    <t>27010</t>
  </si>
  <si>
    <t>SureSpray™ Select Sprayer - 1 Gal  - - - - -TRANSITIONS TO 20000</t>
  </si>
  <si>
    <t>27019</t>
  </si>
  <si>
    <t>Spectracide® Sprayer - 1 Gal - - - - -TRANSITIONS TO 20000</t>
  </si>
  <si>
    <t>27020</t>
  </si>
  <si>
    <t>SureSpray™ Select Sprayer - 2 Gal  - - - - -TRANSITIONS TO 20002</t>
  </si>
  <si>
    <t>27030</t>
  </si>
  <si>
    <t>SureSpray™ Select Sprayer - 3 Gal  - - - - -TRANSITIONS TO 20003</t>
  </si>
  <si>
    <t>Farm &amp; Field Poly Sprayer Plus - 2 Gal - - - - -TRANSITIONS TO 26021XP</t>
  </si>
  <si>
    <t>Farm &amp; Field Poly Sprayer Plus - 3 Gal - - - - -TRANSITIONS TO 26031XP</t>
  </si>
  <si>
    <t>31440</t>
  </si>
  <si>
    <t>Yard &amp; Garden Stainless Steel Plus Sprayer - 2 Gal - - - - -TRANSITIONS TO NONE</t>
  </si>
  <si>
    <t>41330</t>
  </si>
  <si>
    <t>Water Supply Tank Industrial Poly - 3.5 Gal - - - - -TRANSITIONS TO NONE</t>
  </si>
  <si>
    <t>5001</t>
  </si>
  <si>
    <t>Single Action Mist Sprayer - 16 oz. - - - - -TRANSITIONS TO NONE</t>
  </si>
  <si>
    <t>5002</t>
  </si>
  <si>
    <t>Continuous Action Mist Sprayer - 16 oz. - - - - -TRANSITIONS TO NONE</t>
  </si>
  <si>
    <t>5010</t>
  </si>
  <si>
    <t>Rose Duster Plus - 16 oz. - - - - -TRANSITIONS TO NONE</t>
  </si>
  <si>
    <t>60127</t>
  </si>
  <si>
    <t>SPR Monterey Poly Backpack - 4 Gal - - - - -TRANSITIONS TO NONE</t>
  </si>
  <si>
    <t>60227</t>
  </si>
  <si>
    <t>SPR Monterey Internal Battery BKP - 4 Gal. - - - - -TRANSITIONS TO NONE</t>
  </si>
  <si>
    <t>61813</t>
  </si>
  <si>
    <t>Deluxe Professional Backpack Sprayer - 4 Gal - - - - -TRANSITIONS TO NONE</t>
  </si>
  <si>
    <t>61850</t>
  </si>
  <si>
    <t>Spectracide® Backpack - 4 Gal - - - - -TRANSITIONS TO NONE</t>
  </si>
  <si>
    <t>6300</t>
  </si>
  <si>
    <t>Stainless Steel Cart Sprayer - 6 Gal - - - - -TRANSITIONS TO NONE</t>
  </si>
  <si>
    <t>63800</t>
  </si>
  <si>
    <t>Professional 6" Wide Mouth Backpack Poly Sprayer Piston - 4 Gal - - - - -TRANSITIONS TO NONE</t>
  </si>
  <si>
    <t>63863</t>
  </si>
  <si>
    <t>Chapin 24v Dust Abatement Battery Backpack Sprayer - - - - -TRANSITIONS TO NONE</t>
  </si>
  <si>
    <t>63900</t>
  </si>
  <si>
    <t>JetClean™ Commercial Backpack Sprayer Dual Displacement - 4 Gal - - - - -TRANSITIONS TO NONE</t>
  </si>
  <si>
    <t>78005</t>
  </si>
  <si>
    <t>65# SureSpread™ Promo Spreader w/ 8" Poly Tire - - - - -TRANSITIONS TO NONE</t>
  </si>
  <si>
    <t>70 lb Contractor Turf Spreader w/Spread Control (Round) - - - - -TRANSITIONS TO NONE</t>
  </si>
  <si>
    <t>100# Pro Stainless Frame Sprder-Baffles-Grate-Cover - - - - -TRANSITIONS TO NONE</t>
  </si>
  <si>
    <t>100# Pro All Stainless Spreader-Baffles-Grate-Cover - - - - -TRANSITIONS TO NONE</t>
  </si>
  <si>
    <t>80 lb Powder Coated Turf Spreader w/Spread Control - - - - -TRANSITIONS TO NONE</t>
  </si>
  <si>
    <t>80 lb Stainless Steel Pro Turf Spreader w/Spread Control - - - - -TRANSITIONS TO NONE</t>
  </si>
  <si>
    <t>8900A</t>
  </si>
  <si>
    <t>Stainless Steel Welded Frame 80#Turf Spreader - - - - -TRANSITIONS TO NONE</t>
  </si>
  <si>
    <t>Stainless Steel Welded  50#  Spreader - - - - -TRANSITIONS TO NONE</t>
  </si>
  <si>
    <t>Stainless Steel Welded  80#  Spreader w/Side Baffle  - - - - -TRANSITIONS TO NONE</t>
  </si>
  <si>
    <t>97402E</t>
  </si>
  <si>
    <t>Spr 25.0G Chapin ATV Disinfectant - - - - -TRANSITIONS TO NONE</t>
  </si>
  <si>
    <t>97408E</t>
  </si>
  <si>
    <t>SPR 25G/95L Chapin ATV Brine - - - - -TRANSITIONS TO NONE</t>
  </si>
  <si>
    <t>97600E</t>
  </si>
  <si>
    <t>15g EZ Tow 12v Dripless Sprayer - - - - -TRANSITIONS TO NONE</t>
  </si>
  <si>
    <t>97650</t>
  </si>
  <si>
    <t>15g EZ Tow Precision Mechanical Sprayer - - - - -TRANSITIONS TO NONE</t>
  </si>
  <si>
    <t>97700E</t>
  </si>
  <si>
    <t>25g EZ Tow 12v Dripless Sprayer - - - - -TRANSITIONS TO NONE</t>
  </si>
  <si>
    <t>GP Series  Wide Mouth Poly Sprayer - 1 Gal - - - - -TRANSITIONS TO 26011XP</t>
  </si>
  <si>
    <t>GP Series  Wide Mouth Poly Sprayer - 2 Gal - - - - -TRANSITIONS TO 26021XP</t>
  </si>
  <si>
    <t>Ag Vinegar Wide Mouth Poly Sprayer - 2 Gal - - - - -TRANSITIONS TO 20405</t>
  </si>
  <si>
    <t>GP Series  Wide Mouth Poly Sprayer - 3 Gal  - - - - -TRANSITIONS TO 26031XP</t>
  </si>
  <si>
    <t>G377D</t>
  </si>
  <si>
    <t>SPR Monterey Hose End  32oz. (6PK) - - - - -TRANSITIONS TO NONE</t>
  </si>
  <si>
    <t>Dry 7 Way- 4 Position Fertilizing Hose End  - - - - -TRANSITIONS TO G6015</t>
  </si>
  <si>
    <t>Select N' Spray, no Pre-Mix, Adjustable Rate - - - - -TRANSITIONS TO G6015</t>
  </si>
  <si>
    <t>Clamshell Pump Assembly 1.0 GPM</t>
  </si>
  <si>
    <t>GENUINE PACKAGED SPREADER PARTS AND ACCESSORIES</t>
  </si>
  <si>
    <t>Repl Gearbox Assembly</t>
  </si>
  <si>
    <t>GENUINE PACKAGED ATV SPRAYER PARTS AND ACCESSORIES</t>
  </si>
  <si>
    <t>Repl Nozzle Assembly No Boom</t>
  </si>
  <si>
    <t>GENUINE *BRASS BULK PARTS AND ACCESSORIES</t>
  </si>
  <si>
    <t>Noz Assy BR Fan</t>
  </si>
  <si>
    <t>BrFanNoz .40 gpm 80◦</t>
  </si>
  <si>
    <t>BrFanNoz .10 gpm 80◦</t>
  </si>
  <si>
    <t>BrFanNoz .60 gpm fem 80◦</t>
  </si>
  <si>
    <t>BrFanNoz .10 gpm fem 80◦</t>
  </si>
  <si>
    <t>BrFanNoz .10 gpm male 80◦</t>
  </si>
  <si>
    <t>BrFanNoz .20 gpm fem 80◦</t>
  </si>
  <si>
    <t>BrFanNoz .20 gpm male 80◦</t>
  </si>
  <si>
    <t>BrFanNoz .30 gpm male 80◦</t>
  </si>
  <si>
    <t>BrFanNoz 1.0 gpm male 95◦</t>
  </si>
  <si>
    <t>BrFanNoz .50 gpm male 95◦</t>
  </si>
  <si>
    <t>36" Curved Br Wand</t>
  </si>
  <si>
    <t>24" Straight Br Wand</t>
  </si>
  <si>
    <t>GENUINE BULK PARTS AND ACCESSORIES</t>
  </si>
  <si>
    <t>GENUINE PACKAGED PARTS AND ACCESSORIES</t>
  </si>
  <si>
    <t>Poly Nozzle</t>
  </si>
  <si>
    <t>Gasket</t>
  </si>
  <si>
    <t>Gasket - Chem Resistant Seals</t>
  </si>
  <si>
    <t>O-Ring -  Chem Resistant Seals</t>
  </si>
  <si>
    <t>Plastic Cap</t>
  </si>
  <si>
    <t>O-Ring - Chem Resistant Seals</t>
  </si>
  <si>
    <t>O-Ring - Acid</t>
  </si>
  <si>
    <t>Extension Clip</t>
  </si>
  <si>
    <t>Plastic Plug</t>
  </si>
  <si>
    <t>OH Clamp Nut</t>
  </si>
  <si>
    <t>OH Cover Gasket</t>
  </si>
  <si>
    <t>Retaining Ring</t>
  </si>
  <si>
    <t>Chck Vlve - EPDM</t>
  </si>
  <si>
    <t>Chck Vlve - Xtreme®</t>
  </si>
  <si>
    <t>Chck Vlve - Acid</t>
  </si>
  <si>
    <t>Pmp Assy Univ w/Chem Resistant Seals</t>
  </si>
  <si>
    <t>PmpAssyErgoUniv w/Chem Resistant Seals</t>
  </si>
  <si>
    <t>Pmp Rod Assy 14"  Xtreme®</t>
  </si>
  <si>
    <t>Pump Assy Ergo  w/Chem Resistant Seals</t>
  </si>
  <si>
    <t>Pump Rod Assy - 3P OH</t>
  </si>
  <si>
    <t>Pmp/Rod Assy 18"   w/Chem Resistant Seals</t>
  </si>
  <si>
    <t>Pmp/Rod Assy 7" Nit "D"</t>
  </si>
  <si>
    <t>Pup/Rod Assy 12" Nit D</t>
  </si>
  <si>
    <t>Pmp Assy - SNS Nitrile</t>
  </si>
  <si>
    <t>PmpAssyErgoSpGd w/Chem Resistant Seals</t>
  </si>
  <si>
    <t>Pmp Assy Univ  EPDM</t>
  </si>
  <si>
    <t>PmpAssyPrimeMtl  w/Chem Resistant Seals</t>
  </si>
  <si>
    <t>PmpAssyPrimeMtlAcid</t>
  </si>
  <si>
    <t>Pump Assembly w/Chem Resistant Seals</t>
  </si>
  <si>
    <t>S/O Gard Hose W/Grip</t>
  </si>
  <si>
    <t>Pmp Assy Univ Nit/Chem Resistant Seals</t>
  </si>
  <si>
    <t>Pmp Assy Univ EPDM</t>
  </si>
  <si>
    <t>Adapter to S/O PL</t>
  </si>
  <si>
    <t>Hanger - Tool  Poly</t>
  </si>
  <si>
    <t>TSP Orifice 36216</t>
  </si>
  <si>
    <t>Anti Siphon ASSY Dia</t>
  </si>
  <si>
    <t>Washer Flat</t>
  </si>
  <si>
    <t>Deflector 36219</t>
  </si>
  <si>
    <t>Noz W/Trigger HD 5-1/2"</t>
  </si>
  <si>
    <t>Fan Nozzle Kit</t>
  </si>
  <si>
    <t>Measure Cup 4 oz</t>
  </si>
  <si>
    <t>Repl Spray Shield</t>
  </si>
  <si>
    <t>D-Handle</t>
  </si>
  <si>
    <t>Spring</t>
  </si>
  <si>
    <t>D/L hose adapter</t>
  </si>
  <si>
    <t>Noz Multi -Spray Br</t>
  </si>
  <si>
    <t>Out Tube Assy  w/Chem Resistant Seals</t>
  </si>
  <si>
    <t>Poly Adjustable Cone Nozzle</t>
  </si>
  <si>
    <t>NozAssyPolyAdjFineMist</t>
  </si>
  <si>
    <t>14" Br Brl Assy w/Chem Resistant Seals</t>
  </si>
  <si>
    <t>12" Br brl Assy w/Chem Resistant Seals</t>
  </si>
  <si>
    <t>12" Br Pmp Assy  w/Chem Resistant Seals</t>
  </si>
  <si>
    <t>14"Pmp/RodAssyOH  w/Chem Resistant Seals</t>
  </si>
  <si>
    <t>RB Pump Assy</t>
  </si>
  <si>
    <t>12" Poly Extension w/Chem Resistant Seals</t>
  </si>
  <si>
    <t>Repl Euro Backpack Link Arm</t>
  </si>
  <si>
    <t>12" Rod Assembly</t>
  </si>
  <si>
    <t>7" Rod Assembly</t>
  </si>
  <si>
    <t>Optional Grate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</si>
</sst>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$&quot;#,##0.00"/>
    <numFmt numFmtId="166" formatCode="[$$-409]#,##0.00_);[Red]\([$$-409]#,##0.00\)"/>
    <numFmt numFmtId="167" formatCode="&quot;$&quot;#,##0"/>
  </numFmts>
  <fonts count="54">
    <font>
      <sz val="11"/>
      <name val="Calibri"/>
      <charset val="0"/>
    </font>
    <font>
      <sz val="11"/>
      <color theme="1"/>
      <name val="Calibri"/>
      <family val="2"/>
      <charset val="0"/>
      <scheme val="minor"/>
    </font>
    <font>
      <sz val="11"/>
      <name val="Calibri"/>
      <family val="2"/>
      <charset val="0"/>
    </font>
    <font>
      <b/>
      <sz val="11"/>
      <color theme="0"/>
      <name val="Calibri"/>
      <family val="2"/>
      <charset val="0"/>
      <scheme val="minor"/>
    </font>
    <font>
      <sz val="11"/>
      <name val="Calibri"/>
      <charset val="0"/>
    </font>
    <font>
      <sz val="11"/>
      <color rgb="FFFF00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0"/>
      <name val="Arial"/>
      <family val="2"/>
      <charset val="0"/>
    </font>
    <font>
      <b/>
      <sz val="10"/>
      <name val="Tahoma"/>
      <family val="2"/>
      <charset val="0"/>
    </font>
    <font>
      <b/>
      <sz val="11"/>
      <color rgb="FFC00000"/>
      <name val="Calibri"/>
      <family val="2"/>
      <charset val="0"/>
      <scheme val="minor"/>
    </font>
    <font>
      <b/>
      <sz val="10"/>
      <color theme="0"/>
      <name val="Tahoma"/>
      <family val="2"/>
      <charset val="0"/>
    </font>
    <font>
      <b/>
      <sz val="12"/>
      <color theme="0"/>
      <name val="Tahoma"/>
      <family val="2"/>
      <charset val="0"/>
    </font>
    <font>
      <sz val="10"/>
      <name val="Tahoma"/>
      <family val="2"/>
      <charset val="0"/>
    </font>
    <font>
      <sz val="10"/>
      <name val="Calibri"/>
      <family val="2"/>
      <charset val="0"/>
    </font>
    <font>
      <sz val="10"/>
      <color rgb="FFFF0000"/>
      <name val="Tahoma"/>
      <family val="2"/>
      <charset val="0"/>
    </font>
    <font>
      <sz val="10"/>
      <color theme="1"/>
      <name val="Tahoma"/>
      <family val="2"/>
      <charset val="0"/>
    </font>
    <font>
      <sz val="10"/>
      <color rgb="FFBA122B"/>
      <name val="Tahoma"/>
      <family val="2"/>
      <charset val="0"/>
    </font>
    <font>
      <sz val="10"/>
      <color rgb="FF000000"/>
      <name val="Tahoma"/>
      <family val="2"/>
      <charset val="0"/>
    </font>
    <font>
      <sz val="10"/>
      <color rgb="FFC00000"/>
      <name val="Tahoma"/>
      <family val="2"/>
      <charset val="0"/>
    </font>
    <font>
      <sz val="11"/>
      <name val="Tahoma"/>
      <family val="2"/>
      <charset val="0"/>
    </font>
    <font>
      <sz val="8"/>
      <name val="Calibri"/>
      <family val="2"/>
      <charset val="0"/>
    </font>
    <font>
      <sz val="11"/>
      <color rgb="FFC00000"/>
      <name val="Calibri"/>
      <family val="2"/>
      <charset val="0"/>
      <scheme val="minor"/>
    </font>
    <font>
      <i/>
      <sz val="11"/>
      <color theme="1"/>
      <name val="Calibri"/>
      <family val="2"/>
      <charset val="0"/>
      <scheme val="minor"/>
    </font>
    <font>
      <sz val="11"/>
      <color rgb="FF7030A0"/>
      <name val="Calibri"/>
      <family val="2"/>
      <charset val="0"/>
      <scheme val="minor"/>
    </font>
    <font>
      <sz val="11"/>
      <color theme="4"/>
      <name val="Calibri"/>
      <family val="2"/>
      <charset val="0"/>
      <scheme val="minor"/>
    </font>
    <font>
      <sz val="11"/>
      <color rgb="FF00B050"/>
      <name val="Calibri"/>
      <family val="2"/>
      <charset val="0"/>
      <scheme val="minor"/>
    </font>
    <font>
      <sz val="11"/>
      <color theme="0"/>
      <name val="Calibri"/>
      <family val="2"/>
      <charset val="0"/>
    </font>
    <font>
      <i/>
      <sz val="11"/>
      <color theme="0"/>
      <name val="Calibri"/>
      <family val="2"/>
      <charset val="0"/>
      <scheme val="minor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b/>
      <sz val="10"/>
      <color rgb="FF000000"/>
      <name val="Tahoma"/>
      <charset val="0"/>
    </font>
    <font>
      <b/>
      <sz val="10"/>
      <color rgb="FF000000"/>
      <name val="Tahoma"/>
      <charset val="0"/>
    </font>
    <font>
      <b/>
      <u val="single"/>
      <sz val="10"/>
      <color rgb="FF000000"/>
      <name val="Tahoma"/>
      <charset val="0"/>
    </font>
    <font>
      <sz val="10"/>
      <name val="Tahoma"/>
      <charset val="0"/>
    </font>
    <font>
      <sz val="24"/>
      <color rgb="00000000"/>
      <name val="Tahoma"/>
      <charset val="0"/>
    </font>
    <font>
      <sz val="22"/>
      <color rgb="00CC99FF"/>
      <name val="Arial"/>
      <charset val="0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b/>
      <sz val="10"/>
      <color rgb="FF000000"/>
      <name val="Tahoma"/>
      <charset val="0"/>
    </font>
    <font>
      <b/>
      <sz val="10"/>
      <color rgb="FF000000"/>
      <name val="Tahoma"/>
      <charset val="0"/>
    </font>
    <font>
      <b/>
      <u val="single"/>
      <sz val="10"/>
      <color rgb="FF000000"/>
      <name val="Tahoma"/>
      <charset val="0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</fonts>
  <fills count="1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A122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DBCCB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36">
    <xf numFmtId="0" fontId="0" fillId="0" borderId="0"/>
    <xf numFmtId="44" fontId="2" fillId="0" borderId="0" applyAlignment="0" applyBorder="0" applyFont="0" applyFill="0" applyProtection="0"/>
    <xf numFmtId="9" fontId="2" fillId="0" borderId="0" applyAlignment="0" applyBorder="0" applyFont="0" applyFill="0" applyProtection="0"/>
    <xf numFmtId="0" fontId="2" fillId="0" borderId="0"/>
    <xf numFmtId="44" fontId="2" fillId="0" borderId="0" applyAlignment="0" applyBorder="0" applyFont="0" applyFill="0" applyProtection="0"/>
    <xf numFmtId="9" fontId="2" fillId="0" borderId="0" applyAlignment="0" applyBorder="0" applyFont="0" applyFill="0" applyProtection="0"/>
    <xf numFmtId="43" fontId="2" fillId="0" borderId="0" applyAlignment="0" applyBorder="0" applyFont="0" applyFill="0" applyProtection="0"/>
    <xf numFmtId="0" fontId="7" fillId="0" borderId="0" applyAlignment="0" applyBorder="0" applyFont="0" applyNumberFormat="0" applyFill="0" applyProtection="0"/>
    <xf numFmtId="0" fontId="1" fillId="0" borderId="0"/>
    <xf numFmtId="9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0" fontId="7" fillId="0" borderId="0" applyAlignment="0" applyBorder="0" applyFont="0" applyNumberFormat="0" applyFill="0" applyProtection="0"/>
    <xf numFmtId="44" fontId="7" fillId="0" borderId="0" applyAlignment="0" applyBorder="0" applyFont="0" applyFill="0" applyProtection="0"/>
    <xf numFmtId="0" fontId="7" fillId="0" borderId="0"/>
    <xf numFmtId="0" fontId="1" fillId="0" borderId="0"/>
    <xf numFmtId="0" fontId="7" fillId="0" borderId="0" applyAlignment="0" applyBorder="0" applyFont="0" applyNumberFormat="0" applyFill="0" applyProtection="0"/>
    <xf numFmtId="44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1" fillId="0" borderId="0"/>
    <xf numFmtId="0" fontId="53" fillId="0" borderId="0" applyAlignment="0" applyBorder="0" applyNumberFormat="0" applyFill="0" applyProtection="0"/>
  </cellStyleXfs>
  <cellXfs>
    <xf numFmtId="0" fontId="0" fillId="0" borderId="0" xfId="0"/>
    <xf numFmtId="0" fontId="8" fillId="0" borderId="1" xfId="7" applyAlignment="1" applyBorder="1" applyFont="1" applyFill="1">
      <alignment horizontal="center" vertical="center" wrapText="1"/>
    </xf>
    <xf numFmtId="0" fontId="1" fillId="2" borderId="0" xfId="8" applyFont="1" applyFill="1"/>
    <xf numFmtId="165" fontId="1" fillId="2" borderId="0" xfId="8" applyAlignment="1" applyFont="1" applyNumberFormat="1" applyFill="1">
      <alignment horizontal="center" vertical="center" wrapText="1"/>
    </xf>
    <xf numFmtId="0" fontId="1" fillId="2" borderId="0" xfId="8" applyAlignment="1" applyFont="1" applyFill="1">
      <alignment horizontal="center" vertical="center"/>
    </xf>
    <xf numFmtId="0" fontId="1" fillId="2" borderId="0" xfId="8" applyAlignment="1" applyFont="1" applyFill="1">
      <alignment horizontal="center" vertical="center" wrapText="1"/>
    </xf>
    <xf numFmtId="164" fontId="0" fillId="2" borderId="0" xfId="9" applyFont="1" applyNumberFormat="1" applyFill="1"/>
    <xf numFmtId="164" fontId="9" fillId="2" borderId="0" xfId="9" applyAlignment="1" applyFont="1" applyNumberFormat="1" applyFill="1">
      <alignment horizontal="center" wrapText="1"/>
    </xf>
    <xf numFmtId="0" fontId="1" fillId="2" borderId="0" xfId="8" applyAlignment="1" applyFont="1" applyFill="1">
      <alignment horizontal="center"/>
    </xf>
    <xf numFmtId="0" fontId="10" fillId="3" borderId="2" xfId="7" applyAlignment="1" applyBorder="1" applyFont="1" applyFill="1">
      <alignment horizontal="center" vertical="center" wrapText="1"/>
    </xf>
    <xf numFmtId="0" fontId="10" fillId="3" borderId="2" xfId="7" applyAlignment="1" applyBorder="1" applyFont="1" applyFill="1">
      <alignment horizontal="center" vertical="center"/>
    </xf>
    <xf numFmtId="0" fontId="10" fillId="4" borderId="2" xfId="7" applyAlignment="1" applyBorder="1" applyFont="1" applyFill="1">
      <alignment horizontal="center" vertical="center" wrapText="1"/>
    </xf>
    <xf numFmtId="165" fontId="10" fillId="3" borderId="2" xfId="7" applyAlignment="1" applyBorder="1" applyFont="1" applyNumberFormat="1" applyFill="1">
      <alignment horizontal="center" vertical="center" wrapText="1"/>
    </xf>
    <xf numFmtId="165" fontId="10" fillId="5" borderId="2" xfId="7" applyAlignment="1" applyBorder="1" applyFont="1" applyNumberFormat="1" applyFill="1">
      <alignment horizontal="center" vertical="center" wrapText="1"/>
    </xf>
    <xf numFmtId="164" fontId="0" fillId="2" borderId="0" xfId="9" applyAlignment="1" applyFont="1" applyNumberFormat="1" applyFill="1">
      <alignment vertical="center"/>
    </xf>
    <xf numFmtId="0" fontId="1" fillId="2" borderId="0" xfId="8" applyAlignment="1" applyFont="1" applyFill="1">
      <alignment vertical="center"/>
    </xf>
    <xf numFmtId="0" fontId="11" fillId="6" borderId="3" xfId="7" applyAlignment="1" applyBorder="1" applyFont="1" applyFill="1">
      <alignment vertical="center"/>
    </xf>
    <xf numFmtId="0" fontId="11" fillId="6" borderId="4" xfId="7" applyAlignment="1" applyBorder="1" applyFont="1" applyFill="1">
      <alignment horizontal="center" vertical="center"/>
    </xf>
    <xf numFmtId="0" fontId="10" fillId="6" borderId="4" xfId="7" applyAlignment="1" applyBorder="1" applyFont="1" applyFill="1">
      <alignment vertical="center"/>
    </xf>
    <xf numFmtId="0" fontId="10" fillId="6" borderId="5" xfId="7" applyAlignment="1" applyBorder="1" applyFont="1" applyFill="1">
      <alignment vertical="center"/>
    </xf>
    <xf numFmtId="0" fontId="8" fillId="7" borderId="6" xfId="7" applyAlignment="1" applyBorder="1" applyFont="1" applyFill="1">
      <alignment horizontal="left" vertical="center" wrapText="1"/>
    </xf>
    <xf numFmtId="0" fontId="12" fillId="7" borderId="7" xfId="7" applyAlignment="1" applyBorder="1" applyFont="1" applyFill="1">
      <alignment horizontal="center" vertical="center" wrapText="1"/>
    </xf>
    <xf numFmtId="165" fontId="12" fillId="7" borderId="7" xfId="7" applyAlignment="1" applyBorder="1" applyFont="1" applyNumberFormat="1" applyFill="1">
      <alignment horizontal="center" vertical="center"/>
    </xf>
    <xf numFmtId="165" fontId="12" fillId="7" borderId="5" xfId="7" applyAlignment="1" applyBorder="1" applyFont="1" applyNumberFormat="1" applyFill="1">
      <alignment horizontal="center" vertical="center"/>
    </xf>
    <xf numFmtId="164" fontId="6" fillId="2" borderId="0" xfId="9" applyAlignment="1" applyFont="1" applyNumberFormat="1" applyFill="1">
      <alignment vertical="center"/>
    </xf>
    <xf numFmtId="0" fontId="12" fillId="2" borderId="8" xfId="8" applyAlignment="1" applyBorder="1" applyFont="1" applyFill="1">
      <alignment horizontal="center" vertical="center" wrapText="1"/>
    </xf>
    <xf numFmtId="0" fontId="12" fillId="2" borderId="8" xfId="8" applyAlignment="1" applyBorder="1" applyFont="1" applyFill="1">
      <alignment vertical="center"/>
    </xf>
    <xf numFmtId="1" fontId="12" fillId="2" borderId="8" xfId="8" applyAlignment="1" applyBorder="1" applyFont="1" applyNumberFormat="1" applyFill="1">
      <alignment horizontal="center" vertical="center"/>
    </xf>
    <xf numFmtId="165" fontId="12" fillId="2" borderId="8" xfId="8" applyAlignment="1" applyBorder="1" applyFont="1" applyNumberFormat="1" applyFill="1">
      <alignment horizontal="center" vertical="center"/>
    </xf>
    <xf numFmtId="164" fontId="0" fillId="2" borderId="0" xfId="9" applyAlignment="1" applyFont="1" applyNumberFormat="1" applyFill="1">
      <alignment horizontal="left"/>
    </xf>
    <xf numFmtId="44" fontId="0" fillId="2" borderId="0" xfId="10" applyAlignment="1" applyFont="1" applyNumberFormat="1" applyFill="1">
      <alignment horizontal="center"/>
    </xf>
    <xf numFmtId="165" fontId="1" fillId="2" borderId="0" xfId="8" applyAlignment="1" applyFont="1" applyNumberFormat="1" applyFill="1">
      <alignment horizontal="center" vertical="center"/>
    </xf>
    <xf numFmtId="2" fontId="1" fillId="2" borderId="0" xfId="8" applyAlignment="1" applyFont="1" applyNumberFormat="1" applyFill="1">
      <alignment vertical="center"/>
    </xf>
    <xf numFmtId="0" fontId="12" fillId="2" borderId="9" xfId="8" applyAlignment="1" applyBorder="1" applyFont="1" applyFill="1">
      <alignment horizontal="center" vertical="center" wrapText="1"/>
    </xf>
    <xf numFmtId="0" fontId="12" fillId="2" borderId="9" xfId="8" applyAlignment="1" applyBorder="1" applyFont="1" applyFill="1">
      <alignment vertical="center"/>
    </xf>
    <xf numFmtId="1" fontId="12" fillId="2" borderId="9" xfId="8" applyAlignment="1" applyBorder="1" applyFont="1" applyNumberFormat="1" applyFill="1">
      <alignment horizontal="center" vertical="center"/>
    </xf>
    <xf numFmtId="165" fontId="12" fillId="2" borderId="9" xfId="8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>
      <alignment horizontal="center" vertical="center"/>
    </xf>
    <xf numFmtId="44" fontId="0" fillId="8" borderId="0" xfId="10" applyAlignment="1" applyFont="1" applyNumberFormat="1" applyFill="1">
      <alignment horizontal="center"/>
    </xf>
    <xf numFmtId="0" fontId="12" fillId="0" borderId="9" xfId="8" applyAlignment="1" applyBorder="1" applyFont="1">
      <alignment horizontal="center" vertical="center" wrapText="1"/>
    </xf>
    <xf numFmtId="0" fontId="12" fillId="0" borderId="9" xfId="8" applyAlignment="1" applyBorder="1" applyFont="1">
      <alignment vertical="center"/>
    </xf>
    <xf numFmtId="165" fontId="12" fillId="0" borderId="9" xfId="8" applyAlignment="1" applyBorder="1" applyFont="1" applyNumberFormat="1">
      <alignment horizontal="center" vertical="center"/>
    </xf>
    <xf numFmtId="44" fontId="0" fillId="2" borderId="0" xfId="10" applyAlignment="1" applyFont="1" applyNumberFormat="1" applyFill="1">
      <alignment horizontal="center" vertical="center"/>
    </xf>
    <xf numFmtId="0" fontId="12" fillId="0" borderId="9" xfId="8" applyAlignment="1" applyBorder="1" applyFont="1">
      <alignment horizontal="center" vertical="center"/>
    </xf>
    <xf numFmtId="0" fontId="8" fillId="2" borderId="2" xfId="7" applyAlignment="1" applyBorder="1" applyFont="1" applyFill="1">
      <alignment horizontal="left" vertical="center" wrapText="1"/>
    </xf>
    <xf numFmtId="0" fontId="12" fillId="2" borderId="2" xfId="7" applyAlignment="1" applyBorder="1" applyFont="1" applyFill="1">
      <alignment horizontal="center" vertical="center" wrapText="1"/>
    </xf>
    <xf numFmtId="165" fontId="12" fillId="2" borderId="2" xfId="7" applyAlignment="1" applyBorder="1" applyFont="1" applyNumberFormat="1" applyFill="1">
      <alignment horizontal="center" vertical="center"/>
    </xf>
    <xf numFmtId="165" fontId="12" fillId="7" borderId="10" xfId="7" applyAlignment="1" applyBorder="1" applyFont="1" applyNumberFormat="1" applyFill="1">
      <alignment horizontal="center" vertical="center"/>
    </xf>
    <xf numFmtId="1" fontId="12" fillId="2" borderId="8" xfId="8" applyAlignment="1" applyBorder="1" applyFont="1" applyNumberFormat="1" applyFill="1">
      <alignment horizontal="center" vertical="center" wrapText="1"/>
    </xf>
    <xf numFmtId="1" fontId="12" fillId="2" borderId="9" xfId="8" applyAlignment="1" applyBorder="1" applyFont="1" applyNumberFormat="1" applyFill="1">
      <alignment horizontal="center" vertical="center" wrapText="1"/>
    </xf>
    <xf numFmtId="44" fontId="2" fillId="8" borderId="0" xfId="10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 quotePrefix="1">
      <alignment horizontal="center" vertical="center" wrapText="1"/>
    </xf>
    <xf numFmtId="0" fontId="12" fillId="2" borderId="2" xfId="8" applyAlignment="1" applyBorder="1" applyFont="1" applyFill="1">
      <alignment horizontal="center" vertical="center" wrapText="1"/>
    </xf>
    <xf numFmtId="0" fontId="12" fillId="2" borderId="2" xfId="8" applyAlignment="1" applyBorder="1" applyFont="1" applyFill="1">
      <alignment vertical="center"/>
    </xf>
    <xf numFmtId="165" fontId="12" fillId="2" borderId="2" xfId="8" applyAlignment="1" applyBorder="1" applyFont="1" applyNumberFormat="1" applyFill="1">
      <alignment horizontal="center" vertical="center"/>
    </xf>
    <xf numFmtId="0" fontId="12" fillId="2" borderId="3" xfId="8" applyAlignment="1" applyBorder="1" applyFont="1" applyFill="1">
      <alignment horizontal="center" vertical="center" wrapText="1"/>
    </xf>
    <xf numFmtId="0" fontId="12" fillId="2" borderId="4" xfId="8" applyAlignment="1" applyBorder="1" applyFont="1" applyFill="1">
      <alignment vertical="center"/>
    </xf>
    <xf numFmtId="0" fontId="12" fillId="2" borderId="4" xfId="8" applyAlignment="1" applyBorder="1" applyFont="1" applyFill="1">
      <alignment horizontal="center" vertical="center" wrapText="1"/>
    </xf>
    <xf numFmtId="165" fontId="12" fillId="2" borderId="4" xfId="8" applyAlignment="1" applyBorder="1" applyFont="1" applyNumberFormat="1" applyFill="1">
      <alignment horizontal="center" vertical="center"/>
    </xf>
    <xf numFmtId="165" fontId="12" fillId="2" borderId="11" xfId="8" applyAlignment="1" applyBorder="1" applyFont="1" applyNumberFormat="1" applyFill="1">
      <alignment horizontal="center" vertical="center"/>
    </xf>
    <xf numFmtId="0" fontId="12" fillId="0" borderId="8" xfId="8" applyAlignment="1" applyBorder="1" applyFont="1">
      <alignment horizontal="center" vertical="center" wrapText="1"/>
    </xf>
    <xf numFmtId="0" fontId="12" fillId="0" borderId="8" xfId="8" applyAlignment="1" applyBorder="1" applyFont="1">
      <alignment horizontal="left" vertical="center"/>
    </xf>
    <xf numFmtId="165" fontId="12" fillId="0" borderId="8" xfId="8" applyAlignment="1" applyBorder="1" applyFont="1" applyNumberFormat="1">
      <alignment horizontal="center" vertical="center"/>
    </xf>
    <xf numFmtId="0" fontId="12" fillId="2" borderId="2" xfId="8" applyAlignment="1" applyBorder="1" applyFont="1" applyFill="1">
      <alignment horizontal="center" vertical="center"/>
    </xf>
    <xf numFmtId="165" fontId="15" fillId="2" borderId="9" xfId="8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 quotePrefix="1">
      <alignment horizontal="center" vertical="center"/>
    </xf>
    <xf numFmtId="0" fontId="12" fillId="2" borderId="9" xfId="8" applyAlignment="1" applyBorder="1" applyFont="1" applyFill="1">
      <alignment horizontal="left" vertical="center"/>
    </xf>
    <xf numFmtId="0" fontId="12" fillId="2" borderId="2" xfId="7" applyAlignment="1" applyBorder="1" applyFont="1" applyFill="1">
      <alignment vertical="center"/>
    </xf>
    <xf numFmtId="0" fontId="12" fillId="2" borderId="8" xfId="8" applyAlignment="1" applyBorder="1" applyFont="1" applyFill="1">
      <alignment horizontal="center" vertical="center"/>
    </xf>
    <xf numFmtId="0" fontId="12" fillId="2" borderId="8" xfId="8" applyAlignment="1" applyBorder="1" applyFont="1" applyFill="1">
      <alignment horizontal="left" vertical="center"/>
    </xf>
    <xf numFmtId="0" fontId="12" fillId="0" borderId="9" xfId="8" applyAlignment="1" applyBorder="1" applyFont="1">
      <alignment horizontal="left" vertical="center"/>
    </xf>
    <xf numFmtId="0" fontId="15" fillId="2" borderId="0" xfId="8" applyFont="1" applyFill="1"/>
    <xf numFmtId="0" fontId="15" fillId="2" borderId="9" xfId="8" applyAlignment="1" applyBorder="1" applyFont="1" applyFill="1">
      <alignment horizontal="center" vertical="center"/>
    </xf>
    <xf numFmtId="0" fontId="7" fillId="2" borderId="9" xfId="8" applyAlignment="1" applyBorder="1" applyFont="1" applyFill="1">
      <alignment horizontal="center" vertical="center"/>
    </xf>
    <xf numFmtId="0" fontId="12" fillId="2" borderId="2" xfId="8" applyAlignment="1" applyBorder="1" applyFont="1" applyFill="1">
      <alignment horizontal="left" vertical="center"/>
    </xf>
    <xf numFmtId="0" fontId="12" fillId="2" borderId="6" xfId="8" applyAlignment="1" applyBorder="1" applyFont="1" applyFill="1">
      <alignment horizontal="center" vertical="center"/>
    </xf>
    <xf numFmtId="0" fontId="12" fillId="2" borderId="9" xfId="11" applyAlignment="1" applyBorder="1" applyFont="1" applyFill="1" quotePrefix="1">
      <alignment horizontal="center" vertical="center" wrapText="1"/>
    </xf>
    <xf numFmtId="0" fontId="12" fillId="2" borderId="8" xfId="11" applyAlignment="1" applyBorder="1" applyFont="1" applyFill="1">
      <alignment vertical="center"/>
    </xf>
    <xf numFmtId="0" fontId="12" fillId="2" borderId="8" xfId="11" applyAlignment="1" applyBorder="1" applyFont="1" applyFill="1">
      <alignment horizontal="center" vertical="center" wrapText="1"/>
    </xf>
    <xf numFmtId="49" fontId="13" fillId="2" borderId="8" xfId="7" applyAlignment="1" applyBorder="1" applyFont="1" applyNumberFormat="1" applyFill="1">
      <alignment horizontal="center" vertical="center"/>
    </xf>
    <xf numFmtId="165" fontId="12" fillId="2" borderId="8" xfId="11" applyAlignment="1" applyBorder="1" applyFont="1" applyNumberFormat="1" applyFill="1">
      <alignment horizontal="center" vertical="center"/>
    </xf>
    <xf numFmtId="165" fontId="12" fillId="2" borderId="8" xfId="12" applyAlignment="1" applyBorder="1" applyFont="1" applyNumberFormat="1" applyFill="1">
      <alignment horizontal="center" vertical="center"/>
    </xf>
    <xf numFmtId="49" fontId="12" fillId="2" borderId="9" xfId="11" applyAlignment="1" applyBorder="1" applyFont="1" applyNumberFormat="1" applyFill="1">
      <alignment horizontal="center" vertical="center" wrapText="1"/>
    </xf>
    <xf numFmtId="0" fontId="12" fillId="2" borderId="9" xfId="11" applyAlignment="1" applyBorder="1" applyFont="1" applyFill="1">
      <alignment vertical="center" wrapText="1"/>
    </xf>
    <xf numFmtId="0" fontId="12" fillId="2" borderId="9" xfId="11" applyAlignment="1" applyBorder="1" applyFont="1" applyFill="1">
      <alignment horizontal="center" vertical="center" wrapText="1"/>
    </xf>
    <xf numFmtId="49" fontId="13" fillId="2" borderId="9" xfId="7" applyAlignment="1" applyBorder="1" applyFont="1" applyNumberFormat="1" applyFill="1">
      <alignment horizontal="center" vertical="center"/>
    </xf>
    <xf numFmtId="165" fontId="12" fillId="2" borderId="9" xfId="11" applyAlignment="1" applyBorder="1" applyFont="1" applyNumberFormat="1" applyFill="1">
      <alignment horizontal="center" vertical="center"/>
    </xf>
    <xf numFmtId="165" fontId="12" fillId="2" borderId="9" xfId="12" applyAlignment="1" applyBorder="1" applyFont="1" applyNumberFormat="1" applyFill="1">
      <alignment horizontal="center" vertical="center" wrapText="1"/>
    </xf>
    <xf numFmtId="164" fontId="15" fillId="2" borderId="0" xfId="9" applyAlignment="1" applyFont="1" applyNumberFormat="1" applyFill="1">
      <alignment vertical="center"/>
    </xf>
    <xf numFmtId="44" fontId="15" fillId="2" borderId="0" xfId="10" applyAlignment="1" applyFont="1" applyNumberFormat="1" applyFill="1">
      <alignment horizontal="center" vertical="center"/>
    </xf>
    <xf numFmtId="0" fontId="2" fillId="2" borderId="0" xfId="8" applyAlignment="1" applyFont="1" applyFill="1">
      <alignment vertical="center"/>
    </xf>
    <xf numFmtId="165" fontId="12" fillId="2" borderId="2" xfId="12" applyAlignment="1" applyBorder="1" applyFont="1" applyNumberFormat="1" applyFill="1">
      <alignment horizontal="center" vertical="center" wrapText="1"/>
    </xf>
    <xf numFmtId="49" fontId="12" fillId="2" borderId="9" xfId="11" applyAlignment="1" applyBorder="1" applyFont="1" applyNumberFormat="1" applyFill="1">
      <alignment horizontal="center" vertical="center"/>
    </xf>
    <xf numFmtId="0" fontId="12" fillId="2" borderId="9" xfId="11" applyAlignment="1" applyBorder="1" applyFont="1" applyFill="1">
      <alignment vertical="center"/>
    </xf>
    <xf numFmtId="0" fontId="12" fillId="2" borderId="9" xfId="11" applyAlignment="1" applyBorder="1" applyFont="1" applyFill="1">
      <alignment horizontal="center" vertical="center"/>
    </xf>
    <xf numFmtId="0" fontId="12" fillId="2" borderId="9" xfId="11" applyAlignment="1" applyBorder="1" applyFont="1" applyFill="1" quotePrefix="1">
      <alignment horizontal="center" vertical="center"/>
    </xf>
    <xf numFmtId="49" fontId="12" fillId="2" borderId="9" xfId="11" applyAlignment="1" applyBorder="1" applyFont="1" applyNumberFormat="1" applyFill="1" quotePrefix="1">
      <alignment horizontal="center" vertical="center"/>
    </xf>
    <xf numFmtId="17" fontId="12" fillId="2" borderId="9" xfId="11" applyAlignment="1" applyBorder="1" applyFont="1" applyNumberFormat="1" applyFill="1" quotePrefix="1">
      <alignment horizontal="center" vertical="center" wrapText="1"/>
    </xf>
    <xf numFmtId="1" fontId="12" fillId="0" borderId="9" xfId="8" applyAlignment="1" applyBorder="1" applyFont="1" applyNumberFormat="1">
      <alignment horizontal="center" vertical="center" wrapText="1"/>
    </xf>
    <xf numFmtId="1" fontId="12" fillId="2" borderId="2" xfId="8" applyAlignment="1" applyBorder="1" applyFont="1" applyNumberFormat="1" applyFill="1">
      <alignment horizontal="center" vertical="center" wrapText="1"/>
    </xf>
    <xf numFmtId="0" fontId="8" fillId="2" borderId="6" xfId="7" applyAlignment="1" applyBorder="1" applyFont="1" applyFill="1">
      <alignment horizontal="left" vertical="center" wrapText="1"/>
    </xf>
    <xf numFmtId="17" fontId="12" fillId="2" borderId="9" xfId="8" applyAlignment="1" applyBorder="1" applyFont="1" applyNumberFormat="1" applyFill="1" quotePrefix="1">
      <alignment horizontal="center" vertical="center" wrapText="1"/>
    </xf>
    <xf numFmtId="0" fontId="12" fillId="2" borderId="2" xfId="8" applyAlignment="1" applyBorder="1" applyFont="1" applyFill="1" quotePrefix="1">
      <alignment horizontal="center" vertical="center" wrapText="1"/>
    </xf>
    <xf numFmtId="0" fontId="8" fillId="2" borderId="0" xfId="7" applyAlignment="1" applyBorder="1" applyFont="1" applyFill="1">
      <alignment horizontal="left" vertical="center" wrapText="1"/>
    </xf>
    <xf numFmtId="0" fontId="12" fillId="2" borderId="0" xfId="7" applyAlignment="1" applyBorder="1" applyFont="1" applyFill="1">
      <alignment horizontal="center" vertical="center" wrapText="1"/>
    </xf>
    <xf numFmtId="165" fontId="12" fillId="2" borderId="0" xfId="7" applyAlignment="1" applyBorder="1" applyFont="1" applyNumberFormat="1" applyFill="1">
      <alignment horizontal="center" vertical="center"/>
    </xf>
    <xf numFmtId="0" fontId="11" fillId="6" borderId="6" xfId="7" applyAlignment="1" applyBorder="1" applyFont="1" applyFill="1">
      <alignment vertical="center"/>
    </xf>
    <xf numFmtId="0" fontId="11" fillId="6" borderId="7" xfId="7" applyAlignment="1" applyBorder="1" applyFont="1" applyFill="1">
      <alignment horizontal="center" vertical="center"/>
    </xf>
    <xf numFmtId="0" fontId="11" fillId="6" borderId="10" xfId="7" applyAlignment="1" applyBorder="1" applyFont="1" applyFill="1">
      <alignment horizontal="center" vertical="center"/>
    </xf>
    <xf numFmtId="0" fontId="12" fillId="7" borderId="1" xfId="7" applyAlignment="1" applyBorder="1" applyFont="1" applyFill="1">
      <alignment horizontal="center" vertical="center" wrapText="1"/>
    </xf>
    <xf numFmtId="165" fontId="12" fillId="7" borderId="1" xfId="7" applyAlignment="1" applyBorder="1" applyFont="1" applyNumberFormat="1" applyFill="1">
      <alignment horizontal="center" vertical="center"/>
    </xf>
    <xf numFmtId="0" fontId="12" fillId="2" borderId="2" xfId="7" applyAlignment="1" applyBorder="1" applyFont="1" applyFill="1">
      <alignment horizontal="center" vertical="center"/>
    </xf>
    <xf numFmtId="0" fontId="8" fillId="2" borderId="2" xfId="7" applyAlignment="1" applyBorder="1" applyFont="1" applyFill="1">
      <alignment horizontal="center" vertical="center" wrapText="1"/>
    </xf>
    <xf numFmtId="0" fontId="8" fillId="2" borderId="2" xfId="7" applyAlignment="1" applyBorder="1" applyFont="1" applyFill="1">
      <alignment horizontal="center" vertical="center"/>
    </xf>
    <xf numFmtId="165" fontId="8" fillId="2" borderId="2" xfId="7" applyAlignment="1" applyBorder="1" applyFont="1" applyNumberFormat="1" applyFill="1">
      <alignment horizontal="center" vertical="center" wrapText="1"/>
    </xf>
    <xf numFmtId="0" fontId="12" fillId="2" borderId="0" xfId="8" applyAlignment="1" applyFont="1" applyFill="1">
      <alignment horizontal="center" vertical="center"/>
    </xf>
    <xf numFmtId="0" fontId="12" fillId="2" borderId="0" xfId="8" applyAlignment="1" applyFont="1" applyFill="1">
      <alignment vertical="center"/>
    </xf>
    <xf numFmtId="0" fontId="12" fillId="2" borderId="0" xfId="8" applyAlignment="1" applyFont="1" applyFill="1">
      <alignment horizontal="center" vertical="center" wrapText="1"/>
    </xf>
    <xf numFmtId="165" fontId="12" fillId="2" borderId="0" xfId="8" applyAlignment="1" applyFont="1" applyNumberFormat="1" applyFill="1">
      <alignment horizontal="center" vertical="center"/>
    </xf>
    <xf numFmtId="0" fontId="10" fillId="6" borderId="7" xfId="7" applyAlignment="1" applyBorder="1" applyFont="1" applyFill="1">
      <alignment vertical="center"/>
    </xf>
    <xf numFmtId="0" fontId="10" fillId="6" borderId="10" xfId="7" applyAlignment="1" applyBorder="1" applyFont="1" applyFill="1">
      <alignment vertical="center"/>
    </xf>
    <xf numFmtId="49" fontId="12" fillId="2" borderId="8" xfId="8" applyAlignment="1" applyBorder="1" applyFont="1" applyNumberFormat="1" applyFill="1">
      <alignment horizontal="center" vertical="center" wrapText="1"/>
    </xf>
    <xf numFmtId="0" fontId="12" fillId="2" borderId="8" xfId="8" applyAlignment="1" applyBorder="1" applyFont="1" applyFill="1">
      <alignment vertical="center" wrapText="1"/>
    </xf>
    <xf numFmtId="49" fontId="12" fillId="2" borderId="9" xfId="8" applyAlignment="1" applyBorder="1" applyFont="1" applyNumberFormat="1" applyFill="1">
      <alignment horizontal="center" vertical="center" wrapText="1"/>
    </xf>
    <xf numFmtId="0" fontId="12" fillId="2" borderId="9" xfId="8" applyAlignment="1" applyBorder="1" applyFont="1" applyFill="1">
      <alignment vertical="center" wrapText="1"/>
    </xf>
    <xf numFmtId="8" fontId="12" fillId="2" borderId="9" xfId="8" applyAlignment="1" applyBorder="1" applyFont="1" applyNumberFormat="1" applyFill="1">
      <alignment horizontal="center" vertical="center"/>
    </xf>
    <xf numFmtId="49" fontId="12" fillId="2" borderId="2" xfId="8" applyAlignment="1" applyBorder="1" applyFont="1" applyNumberFormat="1" applyFill="1">
      <alignment horizontal="center" vertical="center" wrapText="1"/>
    </xf>
    <xf numFmtId="0" fontId="12" fillId="2" borderId="2" xfId="8" applyAlignment="1" applyBorder="1" applyFont="1" applyFill="1">
      <alignment vertical="center" wrapText="1"/>
    </xf>
    <xf numFmtId="165" fontId="12" fillId="2" borderId="2" xfId="8" applyAlignment="1" applyBorder="1" applyFont="1" applyNumberFormat="1" applyFill="1">
      <alignment horizontal="center" vertical="center" wrapText="1"/>
    </xf>
    <xf numFmtId="49" fontId="12" fillId="2" borderId="9" xfId="7" applyAlignment="1" applyBorder="1" applyFont="1" applyNumberFormat="1" applyFill="1">
      <alignment horizontal="center" vertical="center" wrapText="1"/>
    </xf>
    <xf numFmtId="0" fontId="12" fillId="2" borderId="10" xfId="13" applyAlignment="1" applyBorder="1" applyFont="1" applyFill="1">
      <alignment horizontal="left" vertical="center" wrapText="1"/>
    </xf>
    <xf numFmtId="49" fontId="12" fillId="2" borderId="10" xfId="13" applyAlignment="1" applyBorder="1" applyFont="1" applyNumberFormat="1" applyFill="1">
      <alignment horizontal="center" vertical="center" wrapText="1"/>
    </xf>
    <xf numFmtId="0" fontId="12" fillId="2" borderId="9" xfId="7" applyAlignment="1" applyBorder="1" applyFont="1" applyFill="1">
      <alignment horizontal="center" vertical="center" wrapText="1"/>
    </xf>
    <xf numFmtId="165" fontId="15" fillId="2" borderId="9" xfId="10" applyAlignment="1" applyBorder="1" applyFont="1" applyNumberFormat="1" applyFill="1">
      <alignment horizontal="center" vertical="center" wrapText="1"/>
    </xf>
    <xf numFmtId="49" fontId="12" fillId="2" borderId="10" xfId="7" applyAlignment="1" applyBorder="1" applyFont="1" applyNumberFormat="1" applyFill="1">
      <alignment horizontal="center" vertical="center"/>
    </xf>
    <xf numFmtId="0" fontId="12" fillId="2" borderId="9" xfId="13" applyAlignment="1" applyBorder="1" applyFont="1" applyFill="1">
      <alignment horizontal="left" vertical="center" wrapText="1"/>
    </xf>
    <xf numFmtId="49" fontId="12" fillId="2" borderId="9" xfId="7" applyAlignment="1" applyBorder="1" applyFont="1" applyNumberFormat="1" applyFill="1">
      <alignment horizontal="center" vertical="center"/>
    </xf>
    <xf numFmtId="49" fontId="17" fillId="2" borderId="9" xfId="7" applyAlignment="1" applyBorder="1" applyFont="1" applyNumberFormat="1" applyFill="1">
      <alignment horizontal="center" vertical="center"/>
    </xf>
    <xf numFmtId="49" fontId="12" fillId="2" borderId="2" xfId="7" applyAlignment="1" applyBorder="1" applyFont="1" applyNumberFormat="1" applyFill="1">
      <alignment horizontal="center" vertical="center" wrapText="1"/>
    </xf>
    <xf numFmtId="1" fontId="12" fillId="2" borderId="2" xfId="7" applyAlignment="1" applyBorder="1" applyFont="1" applyNumberFormat="1" applyFill="1">
      <alignment horizontal="center" vertical="center" wrapText="1"/>
    </xf>
    <xf numFmtId="49" fontId="12" fillId="7" borderId="7" xfId="7" applyAlignment="1" applyBorder="1" applyFont="1" applyNumberFormat="1" applyFill="1">
      <alignment horizontal="center" vertical="center" wrapText="1"/>
    </xf>
    <xf numFmtId="1" fontId="12" fillId="7" borderId="7" xfId="7" applyAlignment="1" applyBorder="1" applyFont="1" applyNumberFormat="1" applyFill="1">
      <alignment horizontal="center" vertical="center" wrapText="1"/>
    </xf>
    <xf numFmtId="165" fontId="12" fillId="2" borderId="2" xfId="7" applyAlignment="1" applyBorder="1" applyFont="1" applyNumberFormat="1" applyFill="1">
      <alignment horizontal="center" vertical="center" wrapText="1"/>
    </xf>
    <xf numFmtId="49" fontId="12" fillId="2" borderId="9" xfId="8" applyAlignment="1" applyBorder="1" applyFont="1" applyNumberFormat="1" applyFill="1">
      <alignment horizontal="center" vertical="center"/>
    </xf>
    <xf numFmtId="166" fontId="12" fillId="2" borderId="9" xfId="11" applyAlignment="1" applyBorder="1" applyFont="1" applyNumberFormat="1" applyFill="1">
      <alignment horizontal="center" vertical="center"/>
    </xf>
    <xf numFmtId="0" fontId="12" fillId="2" borderId="9" xfId="7" applyAlignment="1" applyBorder="1" applyFont="1" applyFill="1">
      <alignment vertical="center" wrapText="1"/>
    </xf>
    <xf numFmtId="0" fontId="15" fillId="2" borderId="9" xfId="7" applyAlignment="1" applyBorder="1" applyFont="1" applyFill="1">
      <alignment vertical="center" wrapText="1"/>
    </xf>
    <xf numFmtId="49" fontId="17" fillId="2" borderId="8" xfId="8" applyAlignment="1" applyBorder="1" applyFont="1" applyNumberFormat="1" applyFill="1">
      <alignment horizontal="center" vertical="center"/>
    </xf>
    <xf numFmtId="49" fontId="12" fillId="2" borderId="8" xfId="8" applyAlignment="1" applyBorder="1" applyFont="1" applyNumberFormat="1" applyFill="1">
      <alignment horizontal="center" vertical="center"/>
    </xf>
    <xf numFmtId="166" fontId="12" fillId="2" borderId="8" xfId="8" applyAlignment="1" applyBorder="1" applyFont="1" applyNumberFormat="1" applyFill="1">
      <alignment horizontal="center" vertical="center"/>
    </xf>
    <xf numFmtId="49" fontId="17" fillId="2" borderId="9" xfId="8" applyAlignment="1" applyBorder="1" applyFont="1" applyNumberFormat="1" applyFill="1">
      <alignment horizontal="center" vertical="center"/>
    </xf>
    <xf numFmtId="166" fontId="12" fillId="2" borderId="9" xfId="8" applyAlignment="1" applyBorder="1" applyFont="1" applyNumberFormat="1" applyFill="1">
      <alignment horizontal="center" vertical="center"/>
    </xf>
    <xf numFmtId="49" fontId="12" fillId="2" borderId="9" xfId="8" applyAlignment="1" applyBorder="1" applyFont="1" applyNumberFormat="1" applyFill="1">
      <alignment horizontal="left" vertical="center"/>
    </xf>
    <xf numFmtId="49" fontId="12" fillId="0" borderId="9" xfId="7" applyAlignment="1" applyBorder="1" applyFont="1" applyNumberFormat="1" applyFill="1">
      <alignment horizontal="center" vertical="center" wrapText="1"/>
    </xf>
    <xf numFmtId="49" fontId="15" fillId="2" borderId="0" xfId="8" applyAlignment="1" applyFont="1" applyNumberFormat="1" applyFill="1">
      <alignment horizontal="center" vertical="center"/>
    </xf>
    <xf numFmtId="0" fontId="12" fillId="2" borderId="9" xfId="7" applyAlignment="1" applyBorder="1" applyFont="1" applyFill="1">
      <alignment vertical="center"/>
    </xf>
    <xf numFmtId="0" fontId="12" fillId="2" borderId="9" xfId="7" applyAlignment="1" applyBorder="1" applyFont="1" applyNumberFormat="1" applyFill="1">
      <alignment horizontal="center" vertical="center" wrapText="1"/>
    </xf>
    <xf numFmtId="165" fontId="12" fillId="2" borderId="9" xfId="7" applyAlignment="1" applyBorder="1" applyFont="1" applyNumberFormat="1" applyFill="1">
      <alignment horizontal="center" vertical="center"/>
    </xf>
    <xf numFmtId="0" fontId="18" fillId="2" borderId="8" xfId="8" applyAlignment="1" applyBorder="1" applyFont="1" applyFill="1">
      <alignment horizontal="center" vertical="center" wrapText="1"/>
    </xf>
    <xf numFmtId="0" fontId="15" fillId="2" borderId="9" xfId="8" applyBorder="1" applyFont="1" applyFill="1"/>
    <xf numFmtId="44" fontId="5" fillId="8" borderId="0" xfId="10" applyAlignment="1" applyFont="1" applyNumberFormat="1" applyFill="1">
      <alignment horizontal="center"/>
    </xf>
    <xf numFmtId="0" fontId="15" fillId="2" borderId="8" xfId="8" applyAlignment="1" applyBorder="1" applyFont="1" applyFill="1">
      <alignment horizontal="center" vertical="center"/>
    </xf>
    <xf numFmtId="0" fontId="18" fillId="2" borderId="8" xfId="8" applyAlignment="1" applyBorder="1" applyFont="1" applyFill="1">
      <alignment horizontal="center" vertical="center"/>
    </xf>
    <xf numFmtId="165" fontId="15" fillId="2" borderId="8" xfId="8" applyAlignment="1" applyBorder="1" applyFont="1" applyNumberFormat="1" applyFill="1">
      <alignment horizontal="center" vertical="center"/>
    </xf>
    <xf numFmtId="0" fontId="15" fillId="2" borderId="8" xfId="8" applyBorder="1" applyFont="1" applyFill="1"/>
    <xf numFmtId="0" fontId="19" fillId="2" borderId="8" xfId="8" applyAlignment="1" applyBorder="1" applyFont="1" applyFill="1">
      <alignment horizontal="center" vertical="center" wrapText="1"/>
    </xf>
    <xf numFmtId="0" fontId="19" fillId="2" borderId="8" xfId="8" applyAlignment="1" applyBorder="1" applyFont="1" applyFill="1">
      <alignment vertical="center"/>
    </xf>
    <xf numFmtId="0" fontId="19" fillId="2" borderId="8" xfId="8" applyAlignment="1" applyBorder="1" applyFont="1" applyFill="1">
      <alignment horizontal="center" vertical="center"/>
    </xf>
    <xf numFmtId="165" fontId="19" fillId="2" borderId="8" xfId="8" applyAlignment="1" applyBorder="1" applyFont="1" applyNumberFormat="1" applyFill="1">
      <alignment horizontal="center" vertical="center"/>
    </xf>
    <xf numFmtId="0" fontId="19" fillId="7" borderId="1" xfId="7" applyAlignment="1" applyBorder="1" applyFont="1" applyFill="1">
      <alignment horizontal="center" vertical="center" wrapText="1"/>
    </xf>
    <xf numFmtId="165" fontId="19" fillId="7" borderId="1" xfId="7" applyAlignment="1" applyBorder="1" applyFont="1" applyNumberFormat="1" applyFill="1">
      <alignment horizontal="center" vertical="center"/>
    </xf>
    <xf numFmtId="165" fontId="19" fillId="7" borderId="5" xfId="7" applyAlignment="1" applyBorder="1" applyFont="1" applyNumberFormat="1" applyFill="1">
      <alignment horizontal="center" vertical="center"/>
    </xf>
    <xf numFmtId="164" fontId="0" fillId="2" borderId="0" xfId="9" applyAlignment="1" applyFont="1" applyNumberFormat="1" applyFill="1">
      <alignment horizontal="center"/>
    </xf>
    <xf numFmtId="0" fontId="2" fillId="2" borderId="0" xfId="8" applyAlignment="1" applyFont="1" applyFill="1">
      <alignment horizontal="center" vertical="center"/>
    </xf>
    <xf numFmtId="44" fontId="1" fillId="2" borderId="0" xfId="1" applyAlignment="1" applyFont="1" applyNumberFormat="1" applyFill="1">
      <alignment horizontal="center" vertical="center"/>
    </xf>
    <xf numFmtId="165" fontId="1" fillId="2" borderId="0" xfId="1" applyAlignment="1" applyFont="1" applyNumberFormat="1" applyFill="1">
      <alignment horizontal="center" vertical="center"/>
    </xf>
    <xf numFmtId="164" fontId="1" fillId="2" borderId="0" xfId="2" applyAlignment="1" applyFont="1" applyNumberFormat="1" applyFill="1">
      <alignment horizontal="center" vertical="center"/>
    </xf>
    <xf numFmtId="44" fontId="2" fillId="2" borderId="0" xfId="1" applyAlignment="1" applyFont="1" applyNumberFormat="1" applyFill="1">
      <alignment horizontal="center" vertical="center"/>
    </xf>
    <xf numFmtId="44" fontId="21" fillId="2" borderId="0" xfId="1" applyAlignment="1" applyFont="1" applyNumberFormat="1" applyFill="1">
      <alignment horizontal="center" vertical="center"/>
    </xf>
    <xf numFmtId="165" fontId="21" fillId="2" borderId="0" xfId="1" applyAlignment="1" applyFont="1" applyNumberFormat="1" applyFill="1">
      <alignment horizontal="center" vertical="center"/>
    </xf>
    <xf numFmtId="164" fontId="21" fillId="2" borderId="0" xfId="2" applyAlignment="1" applyFont="1" applyNumberFormat="1" applyFill="1">
      <alignment horizontal="center" vertical="center"/>
    </xf>
    <xf numFmtId="165" fontId="18" fillId="2" borderId="9" xfId="8" applyAlignment="1" applyBorder="1" applyFont="1" applyNumberFormat="1" applyFill="1">
      <alignment horizontal="center" vertical="center"/>
    </xf>
    <xf numFmtId="165" fontId="12" fillId="0" borderId="2" xfId="8" applyAlignment="1" applyBorder="1" applyFont="1" applyNumberFormat="1">
      <alignment horizontal="center" vertical="center"/>
    </xf>
    <xf numFmtId="165" fontId="15" fillId="0" borderId="9" xfId="8" applyAlignment="1" applyBorder="1" applyFont="1" applyNumberFormat="1">
      <alignment horizontal="center" vertical="center"/>
    </xf>
    <xf numFmtId="9" fontId="1" fillId="2" borderId="0" xfId="2" applyAlignment="1" applyFont="1" applyNumberFormat="1" applyFill="1">
      <alignment horizontal="center" vertical="center"/>
    </xf>
    <xf numFmtId="9" fontId="1" fillId="2" borderId="0" xfId="8" applyAlignment="1" applyFont="1" applyNumberFormat="1" applyFill="1">
      <alignment horizontal="center" vertical="center"/>
    </xf>
    <xf numFmtId="0" fontId="6" fillId="9" borderId="0" xfId="8" applyAlignment="1" applyFont="1" applyFill="1">
      <alignment horizontal="center" vertical="center" wrapText="1"/>
    </xf>
    <xf numFmtId="0" fontId="6" fillId="9" borderId="0" xfId="8" applyAlignment="1" applyFont="1" applyFill="1">
      <alignment horizontal="center" vertical="center"/>
    </xf>
    <xf numFmtId="0" fontId="6" fillId="2" borderId="0" xfId="8" applyAlignment="1" applyFont="1" applyFill="1">
      <alignment vertical="center"/>
    </xf>
    <xf numFmtId="0" fontId="6" fillId="10" borderId="0" xfId="8" applyAlignment="1" applyFont="1" applyFill="1">
      <alignment horizontal="center" vertical="center" wrapText="1"/>
    </xf>
    <xf numFmtId="164" fontId="23" fillId="2" borderId="0" xfId="2" applyAlignment="1" applyFont="1" applyNumberFormat="1" applyFill="1">
      <alignment horizontal="center" vertical="center"/>
    </xf>
    <xf numFmtId="164" fontId="24" fillId="2" borderId="0" xfId="2" applyAlignment="1" applyFont="1" applyNumberFormat="1" applyFill="1">
      <alignment horizontal="center" vertical="center"/>
    </xf>
    <xf numFmtId="0" fontId="6" fillId="2" borderId="0" xfId="8" applyAlignment="1" applyFont="1" applyFill="1">
      <alignment horizontal="center" wrapText="1"/>
    </xf>
    <xf numFmtId="165" fontId="25" fillId="2" borderId="0" xfId="8" applyAlignment="1" applyFont="1" applyNumberFormat="1" applyFill="1">
      <alignment horizontal="center" vertical="center"/>
    </xf>
    <xf numFmtId="165" fontId="12" fillId="0" borderId="9" xfId="0" applyAlignment="1" applyBorder="1" applyFont="1" applyNumberFormat="1">
      <alignment horizontal="center" vertical="center"/>
    </xf>
    <xf numFmtId="164" fontId="3" fillId="6" borderId="0" xfId="9" applyAlignment="1" applyFont="1" applyNumberFormat="1" applyFill="1">
      <alignment horizontal="center" vertical="center" wrapText="1"/>
    </xf>
    <xf numFmtId="44" fontId="26" fillId="6" borderId="0" xfId="10" applyAlignment="1" applyFont="1" applyNumberFormat="1" applyFill="1">
      <alignment horizontal="center"/>
    </xf>
    <xf numFmtId="44" fontId="2" fillId="2" borderId="0" xfId="10" applyAlignment="1" applyFont="1" applyNumberFormat="1" applyFill="1">
      <alignment horizontal="center" vertical="center"/>
    </xf>
    <xf numFmtId="44" fontId="2" fillId="8" borderId="0" xfId="10" applyAlignment="1" applyFont="1" applyNumberFormat="1" applyFill="1">
      <alignment horizontal="center"/>
    </xf>
    <xf numFmtId="44" fontId="2" fillId="2" borderId="0" xfId="10" applyAlignment="1" applyFont="1" applyNumberFormat="1" applyFill="1">
      <alignment horizontal="center"/>
    </xf>
    <xf numFmtId="165" fontId="26" fillId="6" borderId="0" xfId="1" applyAlignment="1" applyFont="1" applyNumberFormat="1" applyFill="1">
      <alignment horizontal="center" vertical="center"/>
    </xf>
    <xf numFmtId="167" fontId="26" fillId="6" borderId="0" xfId="1" applyAlignment="1" applyFont="1" applyNumberFormat="1" applyFill="1">
      <alignment horizontal="center" vertical="center"/>
    </xf>
    <xf numFmtId="167" fontId="1" fillId="0" borderId="0" xfId="1" applyAlignment="1" applyFont="1" applyNumberFormat="1" applyFill="1">
      <alignment horizontal="center" vertical="center"/>
    </xf>
    <xf numFmtId="0" fontId="3" fillId="6" borderId="0" xfId="8" applyAlignment="1" applyFont="1" applyFill="1">
      <alignment horizontal="center" vertical="center" wrapText="1"/>
    </xf>
    <xf numFmtId="0" fontId="27" fillId="6" borderId="0" xfId="8" applyAlignment="1" applyFont="1" applyFill="1">
      <alignment horizontal="center" vertical="center"/>
    </xf>
    <xf numFmtId="167" fontId="1" fillId="2" borderId="0" xfId="1" applyAlignment="1" applyFont="1" applyNumberFormat="1" applyFill="1">
      <alignment horizontal="center" vertical="center"/>
    </xf>
    <xf numFmtId="167" fontId="1" fillId="2" borderId="0" xfId="8" applyAlignment="1" applyFont="1" applyNumberFormat="1" applyFill="1">
      <alignment horizontal="center" vertical="center"/>
    </xf>
    <xf numFmtId="167" fontId="2" fillId="2" borderId="0" xfId="1" applyAlignment="1" applyFont="1" applyNumberFormat="1" applyFill="1">
      <alignment horizontal="center" vertical="center"/>
    </xf>
    <xf numFmtId="164" fontId="2" fillId="2" borderId="0" xfId="2" applyAlignment="1" applyFont="1" applyNumberFormat="1" applyFill="1">
      <alignment horizontal="center" vertical="center"/>
    </xf>
    <xf numFmtId="44" fontId="1" fillId="2" borderId="0" xfId="10" applyAlignment="1" applyFont="1" applyNumberFormat="1" applyFill="1">
      <alignment horizontal="center" vertical="center"/>
    </xf>
    <xf numFmtId="9" fontId="2" fillId="2" borderId="0" xfId="2" applyAlignment="1" applyFont="1" applyNumberFormat="1" applyFill="1">
      <alignment horizontal="center" vertical="center"/>
    </xf>
    <xf numFmtId="0" fontId="10" fillId="6" borderId="0" xfId="7" applyAlignment="1" applyBorder="1" applyFont="1" applyFill="1">
      <alignment vertical="center"/>
    </xf>
    <xf numFmtId="165" fontId="12" fillId="7" borderId="0" xfId="7" applyAlignment="1" applyBorder="1" applyFont="1" applyNumberFormat="1" applyFill="1">
      <alignment horizontal="center" vertical="center"/>
    </xf>
    <xf numFmtId="165" fontId="12" fillId="0" borderId="0" xfId="8" applyAlignment="1" applyFont="1" applyNumberFormat="1">
      <alignment horizontal="center" vertical="center"/>
    </xf>
    <xf numFmtId="165" fontId="12" fillId="2" borderId="0" xfId="12" applyAlignment="1" applyBorder="1" applyFont="1" applyNumberFormat="1" applyFill="1">
      <alignment horizontal="center" vertical="center"/>
    </xf>
    <xf numFmtId="165" fontId="12" fillId="2" borderId="0" xfId="12" applyAlignment="1" applyBorder="1" applyFont="1" applyNumberFormat="1" applyFill="1">
      <alignment horizontal="center" vertical="center" wrapText="1"/>
    </xf>
    <xf numFmtId="0" fontId="11" fillId="6" borderId="0" xfId="7" applyAlignment="1" applyBorder="1" applyFont="1" applyFill="1">
      <alignment horizontal="center" vertical="center"/>
    </xf>
    <xf numFmtId="165" fontId="8" fillId="2" borderId="0" xfId="7" applyAlignment="1" applyBorder="1" applyFont="1" applyNumberFormat="1" applyFill="1">
      <alignment horizontal="center" vertical="center" wrapText="1"/>
    </xf>
    <xf numFmtId="165" fontId="15" fillId="2" borderId="0" xfId="10" applyAlignment="1" applyBorder="1" applyFont="1" applyNumberFormat="1" applyFill="1">
      <alignment horizontal="center" vertical="center" wrapText="1"/>
    </xf>
    <xf numFmtId="166" fontId="12" fillId="2" borderId="0" xfId="11" applyAlignment="1" applyBorder="1" applyFont="1" applyNumberFormat="1" applyFill="1">
      <alignment horizontal="center" vertical="center"/>
    </xf>
    <xf numFmtId="166" fontId="12" fillId="2" borderId="0" xfId="8" applyAlignment="1" applyFont="1" applyNumberFormat="1" applyFill="1">
      <alignment horizontal="center" vertical="center"/>
    </xf>
    <xf numFmtId="165" fontId="15" fillId="2" borderId="0" xfId="8" applyAlignment="1" applyFont="1" applyNumberFormat="1" applyFill="1">
      <alignment horizontal="center" vertical="center"/>
    </xf>
    <xf numFmtId="165" fontId="19" fillId="2" borderId="0" xfId="8" applyAlignment="1" applyFont="1" applyNumberFormat="1" applyFill="1">
      <alignment horizontal="center" vertical="center"/>
    </xf>
    <xf numFmtId="165" fontId="19" fillId="7" borderId="0" xfId="7" applyAlignment="1" applyBorder="1" applyFont="1" applyNumberFormat="1" applyFill="1">
      <alignment horizontal="center" vertical="center"/>
    </xf>
    <xf numFmtId="165" fontId="12" fillId="7" borderId="9" xfId="7" applyAlignment="1" applyBorder="1" applyFont="1" applyNumberFormat="1" applyFill="1">
      <alignment horizontal="center" vertical="center"/>
    </xf>
    <xf numFmtId="167" fontId="12" fillId="0" borderId="9" xfId="8" applyAlignment="1" applyBorder="1" applyFont="1" applyNumberFormat="1">
      <alignment horizontal="center" vertical="center"/>
    </xf>
    <xf numFmtId="0" fontId="18" fillId="2" borderId="6" xfId="8" applyAlignment="1" applyBorder="1" applyFont="1" applyFill="1">
      <alignment vertical="center" wrapText="1"/>
    </xf>
    <xf numFmtId="0" fontId="12" fillId="2" borderId="3" xfId="7" applyAlignment="1" applyBorder="1" applyFont="1" applyFill="1">
      <alignment horizontal="center" vertical="center" wrapText="1"/>
    </xf>
    <xf numFmtId="0" fontId="12" fillId="2" borderId="4" xfId="7" applyAlignment="1" applyBorder="1" applyFont="1" applyFill="1">
      <alignment vertical="center"/>
    </xf>
    <xf numFmtId="0" fontId="12" fillId="2" borderId="4" xfId="7" applyAlignment="1" applyBorder="1" applyFont="1" applyFill="1">
      <alignment horizontal="center" vertical="center" wrapText="1"/>
    </xf>
    <xf numFmtId="165" fontId="12" fillId="2" borderId="4" xfId="7" applyAlignment="1" applyBorder="1" applyFont="1" applyNumberFormat="1" applyFill="1">
      <alignment horizontal="center" vertical="center"/>
    </xf>
    <xf numFmtId="165" fontId="12" fillId="2" borderId="11" xfId="7" applyAlignment="1" applyBorder="1" applyFont="1" applyNumberFormat="1" applyFill="1">
      <alignment horizontal="center" vertical="center"/>
    </xf>
    <xf numFmtId="167" fontId="1" fillId="2" borderId="0" xfId="8" applyAlignment="1" applyFont="1" applyNumberFormat="1" applyFill="1">
      <alignment vertical="center"/>
    </xf>
    <xf numFmtId="0" fontId="8" fillId="2" borderId="1" xfId="7" applyAlignment="1" applyBorder="1" applyFont="1" applyFill="1">
      <alignment horizontal="center" vertical="center" wrapText="1"/>
    </xf>
    <xf numFmtId="0" fontId="12" fillId="2" borderId="0" xfId="11" applyAlignment="1" applyFont="1" applyFill="1">
      <alignment vertical="center"/>
    </xf>
    <xf numFmtId="0" fontId="1" fillId="2" borderId="0" xfId="14" applyFont="1" applyFill="1"/>
    <xf numFmtId="0" fontId="1" fillId="2" borderId="0" xfId="14" applyAlignment="1" applyFont="1" applyFill="1">
      <alignment vertical="center"/>
    </xf>
    <xf numFmtId="0" fontId="12" fillId="7" borderId="10" xfId="7" applyAlignment="1" applyBorder="1" applyFont="1" applyFill="1">
      <alignment horizontal="center" vertical="center" wrapText="1"/>
    </xf>
    <xf numFmtId="0" fontId="15" fillId="2" borderId="0" xfId="14" applyAlignment="1" applyFont="1" applyFill="1">
      <alignment vertical="center"/>
    </xf>
    <xf numFmtId="49" fontId="12" fillId="0" borderId="8" xfId="11" applyAlignment="1" applyBorder="1" applyFont="1" applyNumberFormat="1" applyFill="1" quotePrefix="1">
      <alignment horizontal="center" vertical="center"/>
    </xf>
    <xf numFmtId="0" fontId="12" fillId="0" borderId="8" xfId="11" applyAlignment="1" applyBorder="1" applyFont="1">
      <alignment vertical="center"/>
    </xf>
    <xf numFmtId="0" fontId="12" fillId="0" borderId="9" xfId="11" applyAlignment="1" applyBorder="1" applyFont="1" applyFill="1" quotePrefix="1">
      <alignment horizontal="center" vertical="center"/>
    </xf>
    <xf numFmtId="0" fontId="12" fillId="0" borderId="9" xfId="11" applyAlignment="1" applyBorder="1" applyFont="1">
      <alignment vertical="center"/>
    </xf>
    <xf numFmtId="165" fontId="12" fillId="0" borderId="9" xfId="11" applyAlignment="1" applyBorder="1" applyFont="1" applyNumberFormat="1" applyFill="1">
      <alignment horizontal="center" vertical="center"/>
    </xf>
    <xf numFmtId="49" fontId="12" fillId="0" borderId="9" xfId="11" applyAlignment="1" applyBorder="1" applyFont="1" applyNumberFormat="1" applyFill="1" quotePrefix="1">
      <alignment horizontal="center" vertical="center"/>
    </xf>
    <xf numFmtId="0" fontId="12" fillId="0" borderId="9" xfId="11" applyAlignment="1" applyBorder="1" applyFont="1" applyFill="1">
      <alignment vertical="center"/>
    </xf>
    <xf numFmtId="17" fontId="12" fillId="0" borderId="9" xfId="11" applyAlignment="1" applyBorder="1" applyFont="1" applyNumberFormat="1" applyFill="1" quotePrefix="1">
      <alignment horizontal="center" vertical="center"/>
    </xf>
    <xf numFmtId="17" fontId="12" fillId="0" borderId="8" xfId="11" applyAlignment="1" applyBorder="1" applyFont="1" applyNumberFormat="1" applyFill="1" quotePrefix="1">
      <alignment horizontal="center" vertical="center"/>
    </xf>
    <xf numFmtId="165" fontId="12" fillId="0" borderId="8" xfId="11" applyAlignment="1" applyBorder="1" applyFont="1" applyNumberFormat="1" applyFill="1">
      <alignment vertical="center"/>
    </xf>
    <xf numFmtId="165" fontId="12" fillId="0" borderId="9" xfId="11" applyAlignment="1" applyBorder="1" applyFont="1" applyNumberFormat="1" applyFill="1">
      <alignment vertical="center"/>
    </xf>
    <xf numFmtId="49" fontId="12" fillId="0" borderId="9" xfId="11" applyAlignment="1" applyBorder="1" applyFont="1" applyNumberFormat="1" applyFill="1">
      <alignment horizontal="center" vertical="center"/>
    </xf>
    <xf numFmtId="0" fontId="12" fillId="0" borderId="9" xfId="11" applyAlignment="1" applyBorder="1" applyFont="1" applyFill="1">
      <alignment horizontal="center" vertical="center"/>
    </xf>
    <xf numFmtId="165" fontId="12" fillId="0" borderId="9" xfId="11" applyAlignment="1" applyBorder="1" applyFont="1" applyNumberFormat="1" applyFill="1">
      <alignment vertical="center" wrapText="1"/>
    </xf>
    <xf numFmtId="0" fontId="12" fillId="0" borderId="9" xfId="11" applyAlignment="1" applyBorder="1" applyFont="1">
      <alignment vertical="center" wrapText="1"/>
    </xf>
    <xf numFmtId="0" fontId="12" fillId="0" borderId="8" xfId="11" applyAlignment="1" applyBorder="1" applyFont="1" applyFill="1" quotePrefix="1">
      <alignment horizontal="center" vertical="center"/>
    </xf>
    <xf numFmtId="165" fontId="12" fillId="0" borderId="8" xfId="11" applyAlignment="1" applyBorder="1" applyFont="1" applyNumberFormat="1" applyFill="1">
      <alignment vertical="center" wrapText="1"/>
    </xf>
    <xf numFmtId="0" fontId="12" fillId="0" borderId="9" xfId="11" applyAlignment="1" applyBorder="1" applyFont="1" applyFill="1">
      <alignment vertical="center" wrapText="1"/>
    </xf>
    <xf numFmtId="165" fontId="12" fillId="0" borderId="9" xfId="12" applyAlignment="1" applyBorder="1" applyFont="1" applyNumberFormat="1" applyFill="1" quotePrefix="1">
      <alignment horizontal="center" vertical="center"/>
    </xf>
    <xf numFmtId="49" fontId="12" fillId="0" borderId="9" xfId="11" applyAlignment="1" applyBorder="1" applyFont="1" applyNumberFormat="1" applyFill="1">
      <alignment horizontal="center" vertical="center" wrapText="1"/>
    </xf>
    <xf numFmtId="165" fontId="12" fillId="0" borderId="9" xfId="11" applyAlignment="1" applyBorder="1" applyFont="1" applyNumberFormat="1" applyFill="1" quotePrefix="1">
      <alignment horizontal="center" vertical="center"/>
    </xf>
    <xf numFmtId="49" fontId="12" fillId="0" borderId="9" xfId="11" applyAlignment="1" applyBorder="1" applyFont="1" applyNumberFormat="1">
      <alignment vertical="center" wrapText="1"/>
    </xf>
    <xf numFmtId="17" fontId="12" fillId="2" borderId="9" xfId="11" applyAlignment="1" applyBorder="1" applyFont="1" applyNumberFormat="1" applyFill="1">
      <alignment vertical="center"/>
    </xf>
    <xf numFmtId="49" fontId="12" fillId="0" borderId="9" xfId="11" applyAlignment="1" applyBorder="1" applyFont="1" applyNumberFormat="1">
      <alignment vertical="center"/>
    </xf>
    <xf numFmtId="49" fontId="12" fillId="0" borderId="9" xfId="11" applyAlignment="1" applyBorder="1" applyFont="1" applyNumberFormat="1" applyFill="1">
      <alignment vertical="center"/>
    </xf>
    <xf numFmtId="17" fontId="12" fillId="0" borderId="9" xfId="11" applyAlignment="1" applyBorder="1" applyFont="1" applyNumberFormat="1" applyFill="1" quotePrefix="1">
      <alignment horizontal="center" vertical="center" wrapText="1"/>
    </xf>
    <xf numFmtId="0" fontId="15" fillId="2" borderId="0" xfId="14" applyFont="1" applyFill="1"/>
    <xf numFmtId="0" fontId="12" fillId="0" borderId="12" xfId="11" applyAlignment="1" applyBorder="1" applyFont="1">
      <alignment horizontal="center" vertical="center"/>
    </xf>
    <xf numFmtId="0" fontId="12" fillId="0" borderId="6" xfId="11" applyAlignment="1" applyBorder="1" applyFont="1" applyFill="1">
      <alignment horizontal="center" vertical="center" wrapText="1"/>
    </xf>
    <xf numFmtId="49" fontId="12" fillId="0" borderId="12" xfId="11" applyAlignment="1" applyBorder="1" applyFont="1" applyNumberFormat="1" applyFill="1">
      <alignment horizontal="center" vertical="center"/>
    </xf>
    <xf numFmtId="49" fontId="12" fillId="0" borderId="6" xfId="11" applyAlignment="1" applyBorder="1" applyFont="1" applyNumberFormat="1" applyFill="1">
      <alignment horizontal="center" vertical="center"/>
    </xf>
    <xf numFmtId="0" fontId="12" fillId="0" borderId="6" xfId="11" applyAlignment="1" applyBorder="1" applyFont="1">
      <alignment horizontal="center" vertical="center"/>
    </xf>
    <xf numFmtId="0" fontId="12" fillId="0" borderId="6" xfId="11" applyAlignment="1" applyBorder="1" applyFont="1" applyFill="1">
      <alignment horizontal="center" vertical="center"/>
    </xf>
    <xf numFmtId="49" fontId="12" fillId="0" borderId="6" xfId="11" applyAlignment="1" applyBorder="1" applyFont="1" applyNumberFormat="1">
      <alignment horizontal="center" vertical="center"/>
    </xf>
    <xf numFmtId="165" fontId="12" fillId="0" borderId="12" xfId="11" applyAlignment="1" applyBorder="1" applyFont="1" applyNumberFormat="1" applyFill="1">
      <alignment horizontal="center" vertical="center"/>
    </xf>
    <xf numFmtId="165" fontId="12" fillId="0" borderId="6" xfId="11" applyAlignment="1" applyBorder="1" applyFont="1" applyNumberFormat="1" applyFill="1">
      <alignment horizontal="center" vertical="center"/>
    </xf>
    <xf numFmtId="0" fontId="12" fillId="0" borderId="12" xfId="11" applyAlignment="1" applyBorder="1" applyFont="1" applyFill="1">
      <alignment horizontal="center" vertical="center" wrapText="1"/>
    </xf>
    <xf numFmtId="49" fontId="12" fillId="0" borderId="6" xfId="11" applyAlignment="1" applyBorder="1" applyFont="1" applyNumberFormat="1" applyFill="1">
      <alignment horizontal="center" vertical="center" wrapText="1"/>
    </xf>
    <xf numFmtId="0" fontId="12" fillId="2" borderId="6" xfId="11" applyAlignment="1" applyBorder="1" applyFont="1" applyFill="1">
      <alignment horizontal="center" vertical="center" wrapText="1"/>
    </xf>
    <xf numFmtId="0" fontId="12" fillId="0" borderId="6" xfId="11" applyAlignment="1" applyBorder="1" applyFont="1" applyFill="1" quotePrefix="1">
      <alignment horizontal="center" vertical="center"/>
    </xf>
    <xf numFmtId="0" fontId="12" fillId="0" borderId="6" xfId="11" applyAlignment="1" applyBorder="1" applyFont="1">
      <alignment horizontal="center" vertical="center" wrapText="1"/>
    </xf>
    <xf numFmtId="0" fontId="12" fillId="2" borderId="6" xfId="11" applyAlignment="1" applyBorder="1" applyFont="1" applyFill="1">
      <alignment horizontal="center" vertical="center"/>
    </xf>
    <xf numFmtId="49" fontId="12" fillId="2" borderId="6" xfId="11" applyAlignment="1" applyBorder="1" applyFont="1" applyNumberFormat="1" applyFill="1">
      <alignment horizontal="center" vertical="center"/>
    </xf>
    <xf numFmtId="49" fontId="12" fillId="2" borderId="6" xfId="11" applyAlignment="1" applyBorder="1" applyFont="1" applyNumberFormat="1" applyFill="1" quotePrefix="1">
      <alignment horizontal="center" vertical="center"/>
    </xf>
    <xf numFmtId="165" fontId="1" fillId="2" borderId="0" xfId="8" applyAlignment="1" applyFont="1" applyNumberFormat="1" applyFill="1">
      <alignment horizontal="center"/>
    </xf>
    <xf numFmtId="0" fontId="10" fillId="6" borderId="4" xfId="7" applyAlignment="1" applyBorder="1" applyFont="1" applyFill="1">
      <alignment horizontal="center" vertical="center"/>
    </xf>
    <xf numFmtId="0" fontId="0" fillId="2" borderId="0" xfId="0" applyAlignment="1" applyFill="1">
      <alignment horizontal="center"/>
    </xf>
    <xf numFmtId="0" fontId="10" fillId="6" borderId="11" xfId="7" applyAlignment="1" applyBorder="1" applyFont="1" applyFill="1">
      <alignment horizontal="center" vertical="center"/>
    </xf>
    <xf numFmtId="0" fontId="8" fillId="11" borderId="6" xfId="7" applyAlignment="1" applyBorder="1" applyFont="1" applyFill="1">
      <alignment vertical="center"/>
    </xf>
    <xf numFmtId="0" fontId="8" fillId="11" borderId="7" xfId="7" applyAlignment="1" applyBorder="1" applyFont="1" applyFill="1">
      <alignment vertical="center"/>
    </xf>
    <xf numFmtId="0" fontId="12" fillId="11" borderId="7" xfId="7" applyAlignment="1" applyBorder="1" applyFont="1" applyFill="1">
      <alignment horizontal="center" vertical="center" wrapText="1"/>
    </xf>
    <xf numFmtId="49" fontId="12" fillId="2" borderId="6" xfId="11" applyAlignment="1" applyBorder="1" applyFont="1" applyNumberFormat="1" applyFill="1">
      <alignment horizontal="center" vertical="center" wrapText="1"/>
    </xf>
    <xf numFmtId="17" fontId="12" fillId="2" borderId="9" xfId="11" applyAlignment="1" applyBorder="1" applyFont="1" applyNumberFormat="1" applyFill="1" quotePrefix="1">
      <alignment horizontal="center" vertical="center"/>
    </xf>
    <xf numFmtId="44" fontId="15" fillId="2" borderId="0" xfId="1" applyAlignment="1" applyBorder="1" applyFont="1" applyNumberFormat="1" applyFill="1">
      <alignment vertical="center"/>
    </xf>
    <xf numFmtId="44" fontId="15" fillId="2" borderId="9" xfId="1" applyAlignment="1" applyBorder="1" applyFont="1" applyNumberFormat="1" applyFill="1">
      <alignment vertical="center"/>
    </xf>
    <xf numFmtId="44" fontId="15" fillId="2" borderId="10" xfId="1" applyAlignment="1" applyBorder="1" applyFont="1" applyNumberFormat="1" applyFill="1">
      <alignment vertical="center"/>
    </xf>
    <xf numFmtId="44" fontId="12" fillId="0" borderId="9" xfId="1" applyAlignment="1" applyBorder="1" applyFont="1" applyNumberFormat="1" applyFill="1">
      <alignment horizontal="center" vertical="center"/>
    </xf>
    <xf numFmtId="44" fontId="12" fillId="11" borderId="7" xfId="1" applyAlignment="1" applyBorder="1" applyFont="1" applyNumberFormat="1" applyFill="1">
      <alignment horizontal="center" vertical="center" wrapText="1"/>
    </xf>
    <xf numFmtId="0" fontId="12" fillId="0" borderId="9" xfId="11" applyAlignment="1" applyBorder="1" applyFont="1" applyFill="1">
      <alignment horizontal="center" vertical="center" wrapText="1"/>
    </xf>
    <xf numFmtId="44" fontId="15" fillId="2" borderId="8" xfId="1" applyAlignment="1" applyBorder="1" applyFont="1" applyNumberFormat="1" applyFill="1">
      <alignment vertical="center"/>
    </xf>
    <xf numFmtId="0" fontId="11" fillId="6" borderId="13" xfId="7" applyAlignment="1" applyBorder="1" applyFont="1" applyFill="1">
      <alignment vertical="center"/>
    </xf>
    <xf numFmtId="0" fontId="10" fillId="3" borderId="9" xfId="11" applyAlignment="1" applyBorder="1" applyFont="1" applyFill="1">
      <alignment horizontal="center" vertical="center" wrapText="1"/>
    </xf>
    <xf numFmtId="165" fontId="10" fillId="3" borderId="9" xfId="11" applyAlignment="1" applyBorder="1" applyFont="1" applyNumberFormat="1" applyFill="1">
      <alignment horizontal="center" vertical="center" wrapText="1"/>
    </xf>
    <xf numFmtId="0" fontId="12" fillId="2" borderId="7" xfId="11" applyAlignment="1" applyBorder="1" applyFont="1" applyFill="1">
      <alignment vertical="center"/>
    </xf>
    <xf numFmtId="0" fontId="12" fillId="2" borderId="0" xfId="11" applyAlignment="1" applyBorder="1" applyFont="1" applyFill="1">
      <alignment horizontal="center" vertical="center" wrapText="1"/>
    </xf>
    <xf numFmtId="10" fontId="15" fillId="2" borderId="0" xfId="2" applyAlignment="1" applyFont="1" applyNumberFormat="1" applyFill="1">
      <alignment vertical="center"/>
    </xf>
    <xf numFmtId="44" fontId="15" fillId="2" borderId="0" xfId="14" applyAlignment="1" applyFont="1" applyNumberFormat="1" applyFill="1">
      <alignment vertical="center"/>
    </xf>
    <xf numFmtId="44" fontId="15" fillId="0" borderId="9" xfId="1" applyAlignment="1" applyBorder="1" applyFont="1" applyNumberFormat="1" applyFill="1">
      <alignment vertical="center"/>
    </xf>
    <xf numFmtId="17" fontId="12" fillId="0" borderId="9" xfId="11" applyAlignment="1" applyBorder="1" applyFont="1" applyNumberFormat="1" applyFill="1">
      <alignment vertical="center"/>
    </xf>
    <xf numFmtId="44" fontId="15" fillId="2" borderId="0" xfId="2" applyAlignment="1" applyFont="1" applyNumberFormat="1" applyFill="1">
      <alignment vertical="center"/>
    </xf>
    <xf numFmtId="0" fontId="8" fillId="7" borderId="7" xfId="7" applyAlignment="1" applyBorder="1" applyFont="1" applyFill="1">
      <alignment horizontal="left" vertical="center" wrapText="1"/>
    </xf>
    <xf numFmtId="0" fontId="8" fillId="7" borderId="1" xfId="7" applyAlignment="1" applyBorder="1" applyFont="1" applyFill="1">
      <alignment horizontal="left" vertical="center" wrapText="1"/>
    </xf>
    <xf numFmtId="0" fontId="22" fillId="2" borderId="0" xfId="8" applyAlignment="1" applyFont="1" applyFill="1">
      <alignment horizontal="center" wrapText="1"/>
    </xf>
    <xf numFmtId="0" fontId="8" fillId="7" borderId="12" xfId="7" applyAlignment="1" applyBorder="1" applyFont="1" applyFill="1">
      <alignment horizontal="left" vertical="center" wrapText="1"/>
    </xf>
    <xf numFmtId="165" fontId="15" fillId="2" borderId="9" xfId="1" applyAlignment="1" applyBorder="1" applyFont="1" applyNumberFormat="1" applyFill="1">
      <alignment vertical="center"/>
    </xf>
    <xf numFmtId="49" fontId="12" fillId="0" borderId="8" xfId="11" applyAlignment="1" applyBorder="1" applyFont="1" applyNumberFormat="1" applyFill="1">
      <alignment horizontal="center" vertical="center"/>
    </xf>
    <xf numFmtId="165" fontId="15" fillId="2" borderId="8" xfId="1" applyAlignment="1" applyBorder="1" applyFont="1" applyNumberFormat="1" applyFill="1">
      <alignment vertical="center"/>
    </xf>
  </cellXfs>
  <cellStyles count="20">
    <cellStyle name="Comma 2" xfId="6"/>
    <cellStyle name="Currency" xfId="1" builtinId="4"/>
    <cellStyle name="Currency 2" xfId="4"/>
    <cellStyle name="Currency 2 2" xfId="12"/>
    <cellStyle name="Currency 3" xfId="10"/>
    <cellStyle name="Currency 4" xfId="16"/>
    <cellStyle name="Normal" xfId="0" builtinId="0"/>
    <cellStyle name="Normal 2" xfId="3"/>
    <cellStyle name="Normal 2 2" xfId="7"/>
    <cellStyle name="Normal 3" xfId="8"/>
    <cellStyle name="Normal 3 2" xfId="11"/>
    <cellStyle name="Normal 3 3" xfId="18"/>
    <cellStyle name="Normal 4 2" xfId="15"/>
    <cellStyle name="Normal 5" xfId="14"/>
    <cellStyle name="Percent" xfId="2" builtinId="5"/>
    <cellStyle name="Percent 2" xfId="5"/>
    <cellStyle name="Percent 3" xfId="9"/>
    <cellStyle name="Percent 4" xfId="17"/>
    <cellStyle name="常规_quotation of spray gun" xfId="13"/>
    <cellStyle name="Hyperlink" xfId="19" builtinId="8"/>
  </cellStyles>
  <dxfs count="0"/>
  <tableStyles count="1" defaultTableStyle="TableStyleMedium2" defaultPivotStyle="PivotStyleLight16">
    <tableStyle name="Invisible" pivot="0" count="0"/>
  </tableStyle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3" Type="http://schemas.openxmlformats.org/officeDocument/2006/relationships/worksheet" Target="worksheets/sheet3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Relationship Id="rId2" Type="http://schemas.microsoft.com/office/2007/relationships/hdphoto" Target="../media/hdphoto1.wdp" /><Relationship Id="rId3" Type="http://schemas.openxmlformats.org/officeDocument/2006/relationships/image" Target="/xl/media/image2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Relationship Id="rId2" Type="http://schemas.microsoft.com/office/2007/relationships/hdphoto" Target="../media/hdphoto1.wdp" /><Relationship Id="rId3" Type="http://schemas.openxmlformats.org/officeDocument/2006/relationships/image" Target="/xl/media/image2.png" /></Relationships>
</file>

<file path=xl/drawings/_rels/drawing3.xml.rels><?xml version="1.0" encoding="utf-8" standalone="yes"?>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/xl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113347</xdr:rowOff>
    </xdr:from>
    <xdr:to>
      <xdr:col>10</xdr:col>
      <xdr:colOff>53764</xdr:colOff>
      <xdr:row>0</xdr:row>
      <xdr:rowOff>741045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5A0E22C7-D2DE-4317-AADA-F28A2E55E15F}"/>
            </a:ext>
          </a:extLst>
        </xdr:cNvPr>
        <xdr:cNvSpPr txBox="1"/>
      </xdr:nvSpPr>
      <xdr:spPr>
        <a:xfrm>
          <a:off x="7646958" y="112568"/>
          <a:ext cx="4816415" cy="62738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July 1, 2025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2</xdr:col>
      <xdr:colOff>1227609</xdr:colOff>
      <xdr:row>0</xdr:row>
      <xdr:rowOff>86677</xdr:rowOff>
    </xdr:from>
    <xdr:to>
      <xdr:col>2</xdr:col>
      <xdr:colOff>3715476</xdr:colOff>
      <xdr:row>0</xdr:row>
      <xdr:rowOff>669607</xdr:rowOff>
    </xdr:to>
    <xdr:pic macro="">
      <xdr:nvPicPr>
        <x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39261AB6-5023-4516-83B4-32113B11A201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190748" y="86591"/>
          <a:ext cx="2496994" cy="2496994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8</xdr:col>
      <xdr:colOff>393157</xdr:colOff>
      <xdr:row>0</xdr:row>
      <xdr:rowOff>59055</xdr:rowOff>
    </xdr:from>
    <xdr:to>
      <xdr:col>11</xdr:col>
      <xdr:colOff>5953</xdr:colOff>
      <xdr:row>0</xdr:row>
      <xdr:rowOff>714375</xdr:rowOff>
    </xdr:to>
    <xdr:pic macro="">
      <xdr:nvPicPr>
        <x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AB5AD19D-463F-4D6B-B221-69E78820DD58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3">
          <a:extLst/>
        </a:blip>
        <a:srcRect/>
        <a:stretch>
          <a:fillRect/>
        </a:stretch>
      </xdr:blipFill>
      <xdr:spPr>
        <a:xfrm>
          <a:off x="11419068" y="58653"/>
          <a:ext cx="1643525" cy="1643525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twoCell">
    <xdr:from>
      <xdr:col>2</xdr:col>
      <xdr:colOff>6614722</xdr:colOff>
      <xdr:row>0</xdr:row>
      <xdr:rowOff>158115</xdr:rowOff>
    </xdr:from>
    <xdr:to>
      <xdr:col>4</xdr:col>
      <xdr:colOff>210964</xdr:colOff>
      <xdr:row>1</xdr:row>
      <xdr:rowOff>17145</xdr:rowOff>
    </xdr:to>
    <xdr:sp macro="">
      <xdr:nvSpPr>
        <x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413932F4-EC24-4047-805D-43EA6DBDB9E9}"/>
            </a:ext>
          </a:extLst>
        </xdr:cNvPr>
        <xdr:cNvSpPr txBox="1"/>
      </xdr:nvSpPr>
      <xdr:spPr>
        <a:xfrm>
          <a:off x="7573125" y="157497"/>
          <a:ext cx="1264227" cy="623455"/>
        </a:xfrm>
        <a:prstGeom prst="rect">
          <a:avLst/>
        </a:prstGeom>
        <a:noFill/>
        <a:ln>
          <a:noFill/>
        </a:ln>
      </xdr:spPr>
      <xdr:style xmlns:xdr="http://schemas.openxmlformats.org/drawingml/2006/spreadsheetDrawing"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xdr:style>
      <xdr:txBody>
        <a:bodyPr vertOverflow="clip" horzOverflow="clip" wrap="square" rtlCol="0"/>
        <a:lstStyle xmlns:a="http://schemas.openxmlformats.org/drawingml/2006/main"/>
        <a:p>
          <a:r>
            <a:rPr lang="en-US" b="1" i="0" sz="1000">
              <a:solidFill>
                <a:srgbClr val="000000"/>
              </a:solidFill>
              <a:latin typeface="Tahoma"/>
            </a:rPr>
            <a:t>HDA in</a:t>
          </a:r>
          <a:r>
            <a:rPr lang="en-US" b="1" i="0" sz="1000">
              <a:solidFill>
                <a:srgbClr val="000000"/>
              </a:solidFill>
              <a:latin typeface="Tahoma"/>
            </a:rPr>
            <a:t> season standard Terms: </a:t>
          </a:r>
          <a:r>
            <a:rPr lang="en-US" b="1" i="0" sz="1000" u="sng">
              <a:solidFill>
                <a:srgbClr val="000000"/>
              </a:solidFill>
              <a:latin typeface="Tahoma"/>
            </a:rPr>
            <a:t>2% 60/Net 61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endParaRPr lang="en-US" b="0" i="0" sz="1100">
            <a:solidFill>
              <a:srgbClr val="000000"/>
            </a:solidFill>
            <a:latin typeface="Calibr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80088</xdr:colOff>
      <xdr:row>1</xdr:row>
      <xdr:rowOff>0</xdr:rowOff>
    </xdr:from>
    <xdr:to>
      <xdr:col>2</xdr:col>
      <xdr:colOff>446791</xdr:colOff>
      <xdr:row>1</xdr:row>
      <xdr:rowOff>0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A8AC7F4B-62E9-4A4B-9683-960F3FAD9B95}"/>
            </a:ext>
          </a:extLst>
        </xdr:cNvPr>
        <xdr:cNvSpPr txBox="1"/>
      </xdr:nvSpPr>
      <xdr:spPr>
        <a:xfrm>
          <a:off x="260985" y="762000"/>
          <a:ext cx="114579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endParaRPr lang="en-US" b="0" i="0" sz="24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twoCell">
    <xdr:from>
      <xdr:col>1</xdr:col>
      <xdr:colOff>746727</xdr:colOff>
      <xdr:row>1</xdr:row>
      <xdr:rowOff>0</xdr:rowOff>
    </xdr:from>
    <xdr:to>
      <xdr:col>2</xdr:col>
      <xdr:colOff>1533432</xdr:colOff>
      <xdr:row>1</xdr:row>
      <xdr:rowOff>0</xdr:rowOff>
    </xdr:to>
    <xdr:sp macro="">
      <xdr:nvSpPr>
        <xdr:cNvPr id="3" name="Text Box 3">
          <a:extLst xmlns:a="http://schemas.openxmlformats.org/drawingml/2006/main">
            <a:ext uri="{FF2B5EF4-FFF2-40B4-BE49-F238E27FC236}">
              <a16:creationId xmlns:a16="http://schemas.microsoft.com/office/drawing/2014/main" id="{02BE5756-90EB-4DD2-BF55-3105636FFAE6}"/>
            </a:ext>
          </a:extLst>
        </xdr:cNvPr>
        <xdr:cNvSpPr txBox="1"/>
      </xdr:nvSpPr>
      <xdr:spPr>
        <a:xfrm>
          <a:off x="927735" y="762000"/>
          <a:ext cx="1569236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miter lim="800000"/>
          <a:headEnd type="none" w="med" len="med"/>
          <a:tailEnd type="none" w="med" len="med"/>
        </a:ln>
      </xdr:spPr>
      <xdr:txBody>
        <a:bodyPr vertOverflow="clip" wrap="square" bIns="36576" upright="1" lIns="45720" rIns="45720" tIns="36576" anchor="ctr"/>
        <a:lstStyle xmlns:a="http://schemas.openxmlformats.org/drawingml/2006/main"/>
        <a:p>
          <a:pPr algn="ctr"/>
          <a:endParaRPr lang="en-US" b="0" i="0" sz="2200">
            <a:solidFill>
              <a:srgbClr val="CC99FF"/>
            </a:solidFill>
            <a:latin typeface="Arial"/>
          </a:endParaRPr>
        </a:p>
      </xdr:txBody>
    </xdr:sp>
    <xdr:clientData/>
  </xdr:twoCellAnchor>
  <xdr:twoCellAnchor editAs="oneCell">
    <xdr:from>
      <xdr:col>2</xdr:col>
      <xdr:colOff>1610655</xdr:colOff>
      <xdr:row>0</xdr:row>
      <xdr:rowOff>86677</xdr:rowOff>
    </xdr:from>
    <xdr:to>
      <xdr:col>2</xdr:col>
      <xdr:colOff>4103861</xdr:colOff>
      <xdr:row>0</xdr:row>
      <xdr:rowOff>675322</xdr:rowOff>
    </xdr:to>
    <xdr:pic macro="">
      <xdr:nvPicPr>
        <x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C2ADED25-7BA8-4358-94A5-4FC72C72A720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572616" y="86591"/>
          <a:ext cx="2493819" cy="2493819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2</xdr:col>
      <xdr:colOff>4831966</xdr:colOff>
      <xdr:row>0</xdr:row>
      <xdr:rowOff>131445</xdr:rowOff>
    </xdr:from>
    <xdr:to>
      <xdr:col>6</xdr:col>
      <xdr:colOff>60434</xdr:colOff>
      <xdr:row>0</xdr:row>
      <xdr:rowOff>746760</xdr:rowOff>
    </xdr:to>
    <xdr:sp macro="">
      <xdr:nvSpPr>
        <xdr:cNvPr id="6" name="Text Box 2">
          <a:extLst xmlns:a="http://schemas.openxmlformats.org/drawingml/2006/main">
            <a:ext uri="{FF2B5EF4-FFF2-40B4-BE49-F238E27FC236}">
              <a16:creationId xmlns:a16="http://schemas.microsoft.com/office/drawing/2014/main" id="{1081A2B6-4FE4-4958-83B2-A5132C99F9A9}"/>
            </a:ext>
          </a:extLst>
        </xdr:cNvPr>
        <xdr:cNvSpPr txBox="1"/>
      </xdr:nvSpPr>
      <xdr:spPr>
        <a:xfrm>
          <a:off x="5792931" y="129887"/>
          <a:ext cx="395720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July 1, 2025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5</xdr:col>
      <xdr:colOff>34770</xdr:colOff>
      <xdr:row>0</xdr:row>
      <xdr:rowOff>68580</xdr:rowOff>
    </xdr:from>
    <xdr:to>
      <xdr:col>6</xdr:col>
      <xdr:colOff>829512</xdr:colOff>
      <xdr:row>0</xdr:row>
      <xdr:rowOff>725805</xdr:rowOff>
    </xdr:to>
    <xdr:pic macro="">
      <xdr:nvPicPr>
        <x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B847F389-4B68-427B-BFAB-4736F34DAA78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3">
          <a:extLst/>
        </a:blip>
        <a:srcRect/>
        <a:stretch>
          <a:fillRect/>
        </a:stretch>
      </xdr:blipFill>
      <xdr:spPr>
        <a:xfrm>
          <a:off x="8875568" y="69272"/>
          <a:ext cx="1643525" cy="1643525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twoCell">
    <xdr:from>
      <xdr:col>2</xdr:col>
      <xdr:colOff>4760258</xdr:colOff>
      <xdr:row>0</xdr:row>
      <xdr:rowOff>181927</xdr:rowOff>
    </xdr:from>
    <xdr:to>
      <xdr:col>3</xdr:col>
      <xdr:colOff>380349</xdr:colOff>
      <xdr:row>1</xdr:row>
      <xdr:rowOff>43815</xdr:rowOff>
    </xdr:to>
    <xdr:sp macro="">
      <xdr:nvSpPr>
        <x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515D581B-46AE-4131-91B1-3516A47B0F6A}"/>
            </a:ext>
          </a:extLst>
        </xdr:cNvPr>
        <xdr:cNvSpPr txBox="1"/>
      </xdr:nvSpPr>
      <xdr:spPr>
        <a:xfrm>
          <a:off x="5723658" y="181842"/>
          <a:ext cx="1264227" cy="623455"/>
        </a:xfrm>
        <a:prstGeom prst="rect">
          <a:avLst/>
        </a:prstGeom>
        <a:noFill/>
        <a:ln>
          <a:noFill/>
        </a:ln>
      </xdr:spPr>
      <xdr:style xmlns:xdr="http://schemas.openxmlformats.org/drawingml/2006/spreadsheetDrawing"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xdr:style>
      <xdr:txBody>
        <a:bodyPr vertOverflow="clip" horzOverflow="clip" wrap="square" rtlCol="0"/>
        <a:lstStyle xmlns:a="http://schemas.openxmlformats.org/drawingml/2006/main"/>
        <a:p>
          <a:r>
            <a:rPr lang="en-US" b="1" i="0" sz="1000">
              <a:solidFill>
                <a:srgbClr val="000000"/>
              </a:solidFill>
              <a:latin typeface="Tahoma"/>
            </a:rPr>
            <a:t>HDA in</a:t>
          </a:r>
          <a:r>
            <a:rPr lang="en-US" b="1" i="0" sz="1000">
              <a:solidFill>
                <a:srgbClr val="000000"/>
              </a:solidFill>
              <a:latin typeface="Tahoma"/>
            </a:rPr>
            <a:t> season standard Terms: </a:t>
          </a:r>
          <a:r>
            <a:rPr lang="en-US" b="1" i="0" sz="1000" u="sng">
              <a:solidFill>
                <a:srgbClr val="000000"/>
              </a:solidFill>
              <a:latin typeface="Tahoma"/>
            </a:rPr>
            <a:t>2% 60/Net 61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endParaRPr lang="en-US" b="0" i="0" sz="1100">
            <a:solidFill>
              <a:srgbClr val="000000"/>
            </a:solidFill>
            <a:latin typeface="Calibri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231214</xdr:colOff>
      <xdr:row>0</xdr:row>
      <xdr:rowOff>103822</xdr:rowOff>
    </xdr:from>
    <xdr:to>
      <xdr:col>10</xdr:col>
      <xdr:colOff>417240</xdr:colOff>
      <xdr:row>0</xdr:row>
      <xdr:rowOff>720090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AC8DE91D-FA2F-42F8-A7B9-BB95220E4883}"/>
            </a:ext>
          </a:extLst>
        </xdr:cNvPr>
        <xdr:cNvSpPr txBox="1"/>
      </xdr:nvSpPr>
      <xdr:spPr>
        <a:xfrm>
          <a:off x="5146097" y="103909"/>
          <a:ext cx="261504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September 1, 2024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2</xdr:col>
      <xdr:colOff>208452</xdr:colOff>
      <xdr:row>0</xdr:row>
      <xdr:rowOff>86677</xdr:rowOff>
    </xdr:from>
    <xdr:to>
      <xdr:col>2</xdr:col>
      <xdr:colOff>2706021</xdr:colOff>
      <xdr:row>0</xdr:row>
      <xdr:rowOff>681990</xdr:rowOff>
    </xdr:to>
    <xdr:pic macro="">
      <xdr:nvPicPr>
        <x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B2646600-4D70-4C9D-9850-D0AA114606CA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1169842" y="86591"/>
          <a:ext cx="2496994" cy="2496994"/>
        </a:xfrm>
        <a:prstGeom xmlns:a="http://schemas.openxmlformats.org/drawingml/2006/main"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2.x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3.xml" /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K381"/>
  <sheetViews>
    <sheetView topLeftCell="A1" zoomScale="106" view="normal" tabSelected="1" workbookViewId="0">
      <pane ySplit="2" topLeftCell="A6" activePane="bottomLeft" state="frozen"/>
      <selection pane="bottomLeft" activeCell="C2" sqref="C2"/>
    </sheetView>
  </sheetViews>
  <sheetFormatPr defaultColWidth="9.140625" defaultRowHeight="15"/>
  <cols>
    <col min="1" max="1" width="2.7109375" style="2" customWidth="1"/>
    <col min="2" max="2" width="11.7109375" style="2" customWidth="1"/>
    <col min="3" max="3" width="100.27734375" style="2" bestFit="1" customWidth="1"/>
    <col min="4" max="4" width="14.7109375" style="2" customWidth="1"/>
    <col min="5" max="5" width="5.7109375" style="2" customWidth="1"/>
    <col min="6" max="6" width="9.7109375" style="2" customWidth="1"/>
    <col min="7" max="7" width="9.7109375" style="8" customWidth="1"/>
    <col min="8" max="8" width="10.84765625" style="285" bestFit="1" customWidth="1"/>
    <col min="9" max="9" width="10.41796875" style="285" bestFit="1" customWidth="1"/>
    <col min="10" max="10" width="10.41796875" style="283" bestFit="1" customWidth="1"/>
    <col min="11" max="11" width="9.7109375" style="283" customWidth="1"/>
    <col min="12" max="16384" width="9.140625" style="2" customWidth="1"/>
  </cols>
  <sheetData>
    <row r="1" spans="2:2" ht="60" customHeight="1">
      <c r="B1" s="1" t="s">
        <v>0</v>
      </c>
    </row>
    <row r="2" spans="2:11" s="15" customFormat="1" ht="42" customHeight="1">
      <c r="B2" s="9" t="s">
        <v>1923</v>
      </c>
      <c r="C2" s="10" t="s">
        <v>1918</v>
      </c>
      <c r="D2" s="9" t="s">
        <v>1922</v>
      </c>
      <c r="E2" s="9" t="s">
        <v>5</v>
      </c>
      <c r="F2" s="9" t="s">
        <v>1920</v>
      </c>
      <c r="G2" s="9" t="s">
        <v>1921</v>
      </c>
      <c r="H2" s="12" t="s">
        <v>1919</v>
      </c>
      <c r="I2" s="12" t="s">
        <v>1914</v>
      </c>
      <c r="J2" s="12" t="s">
        <v>1910</v>
      </c>
      <c r="K2" s="12" t="s">
        <v>1911</v>
      </c>
    </row>
    <row r="3" spans="2:11" s="15" customFormat="1" ht="24" customHeight="1">
      <c r="B3" s="16"/>
      <c r="C3" s="17" t="s">
        <v>13</v>
      </c>
      <c r="D3" s="18"/>
      <c r="E3" s="18"/>
      <c r="F3" s="18"/>
      <c r="G3" s="284"/>
      <c r="H3" s="284"/>
      <c r="I3" s="284"/>
      <c r="J3" s="284"/>
      <c r="K3" s="286"/>
    </row>
    <row r="4" spans="2:11" s="15" customFormat="1" customHeight="1">
      <c r="B4" s="20" t="s">
        <v>1912</v>
      </c>
      <c r="C4" s="309"/>
      <c r="D4" s="21"/>
      <c r="E4" s="21"/>
      <c r="F4" s="21"/>
      <c r="G4" s="21"/>
      <c r="H4" s="21"/>
      <c r="I4" s="21"/>
      <c r="J4" s="21"/>
      <c r="K4" s="47"/>
    </row>
    <row r="5" spans="2:11" s="15" customFormat="1">
      <c r="B5" s="33" t="s">
        <v>1924</v>
      </c>
      <c r="C5" s="34" t="s">
        <v>1925</v>
      </c>
      <c r="D5" s="33" t="s">
        <v>51</v>
      </c>
      <c r="E5" s="33">
        <v>1</v>
      </c>
      <c r="F5" s="85" t="s">
        <v>266</v>
      </c>
      <c r="G5" s="37">
        <v>90</v>
      </c>
      <c r="H5" s="313">
        <v>27</v>
      </c>
      <c r="I5" s="293">
        <v>31</v>
      </c>
      <c r="J5" s="313">
        <v>15.3</v>
      </c>
      <c r="K5" s="313">
        <v>13.77</v>
      </c>
    </row>
    <row r="6" spans="2:11">
      <c r="B6" s="33" t="s">
        <v>1926</v>
      </c>
      <c r="C6" s="34" t="s">
        <v>1927</v>
      </c>
      <c r="D6" s="33"/>
      <c r="E6" s="33"/>
      <c r="F6" s="85"/>
      <c r="G6" s="37"/>
      <c r="H6" s="313">
        <v>25</v>
      </c>
      <c r="I6" s="293"/>
      <c r="J6" s="313">
        <v>13.29</v>
      </c>
      <c r="K6" s="313">
        <v>11.96</v>
      </c>
    </row>
    <row r="7" spans="2:11">
      <c r="B7" s="33" t="s">
        <v>1928</v>
      </c>
      <c r="C7" s="34" t="s">
        <v>1929</v>
      </c>
      <c r="D7" s="33"/>
      <c r="E7" s="33"/>
      <c r="F7" s="85"/>
      <c r="G7" s="37"/>
      <c r="H7" s="313">
        <v>33</v>
      </c>
      <c r="I7" s="293"/>
      <c r="J7" s="313">
        <v>17.52</v>
      </c>
      <c r="K7" s="313">
        <v>15.76</v>
      </c>
    </row>
    <row r="8" spans="2:11">
      <c r="B8" s="33" t="s">
        <v>1930</v>
      </c>
      <c r="C8" s="34" t="s">
        <v>1931</v>
      </c>
      <c r="D8" s="33"/>
      <c r="E8" s="33"/>
      <c r="F8" s="85"/>
      <c r="G8" s="37"/>
      <c r="H8" s="313">
        <v>31</v>
      </c>
      <c r="I8" s="293"/>
      <c r="J8" s="313">
        <v>16.07</v>
      </c>
      <c r="K8" s="313">
        <v>14.46</v>
      </c>
    </row>
    <row r="9" spans="2:11">
      <c r="B9" s="33" t="s">
        <v>1932</v>
      </c>
      <c r="C9" s="34" t="s">
        <v>1933</v>
      </c>
      <c r="D9" s="33"/>
      <c r="E9" s="33"/>
      <c r="F9" s="85"/>
      <c r="G9" s="37"/>
      <c r="H9" s="313">
        <v>36</v>
      </c>
      <c r="I9" s="293"/>
      <c r="J9" s="313">
        <v>20.47</v>
      </c>
      <c r="K9" s="313">
        <v>18.42</v>
      </c>
    </row>
    <row r="10" spans="2:11">
      <c r="B10" s="33" t="s">
        <v>1934</v>
      </c>
      <c r="C10" s="34" t="s">
        <v>1935</v>
      </c>
      <c r="D10" s="33"/>
      <c r="E10" s="33"/>
      <c r="F10" s="85"/>
      <c r="G10" s="37"/>
      <c r="H10" s="313">
        <v>41</v>
      </c>
      <c r="I10" s="293"/>
      <c r="J10" s="313">
        <v>28.57</v>
      </c>
      <c r="K10" s="313">
        <v>25.71</v>
      </c>
    </row>
    <row r="11" spans="2:11">
      <c r="B11" s="33" t="s">
        <v>1936</v>
      </c>
      <c r="C11" s="34" t="s">
        <v>76</v>
      </c>
      <c r="D11" s="33"/>
      <c r="E11" s="33"/>
      <c r="F11" s="85"/>
      <c r="G11" s="37"/>
      <c r="H11" s="313">
        <v>41</v>
      </c>
      <c r="I11" s="293"/>
      <c r="J11" s="313">
        <v>25.55</v>
      </c>
      <c r="K11" s="313">
        <v>22.99</v>
      </c>
    </row>
    <row r="12" spans="2:11">
      <c r="B12" s="33" t="s">
        <v>1937</v>
      </c>
      <c r="C12" s="34" t="s">
        <v>74</v>
      </c>
      <c r="D12" s="33"/>
      <c r="E12" s="33"/>
      <c r="F12" s="85"/>
      <c r="G12" s="37"/>
      <c r="H12" s="313">
        <v>53</v>
      </c>
      <c r="I12" s="293"/>
      <c r="J12" s="313">
        <v>28.94</v>
      </c>
      <c r="K12" s="313">
        <v>26.05</v>
      </c>
    </row>
    <row r="13" spans="2:11">
      <c r="B13" s="33" t="s">
        <v>1938</v>
      </c>
      <c r="C13" s="34" t="s">
        <v>72</v>
      </c>
      <c r="D13" s="33"/>
      <c r="E13" s="33"/>
      <c r="F13" s="85"/>
      <c r="G13" s="37"/>
      <c r="H13" s="313">
        <v>65</v>
      </c>
      <c r="I13" s="293"/>
      <c r="J13" s="313">
        <v>35.3</v>
      </c>
      <c r="K13" s="313">
        <v>31.77</v>
      </c>
    </row>
    <row r="15" spans="2:11" customHeight="1">
      <c r="B15" s="20" t="s">
        <v>1939</v>
      </c>
      <c r="C15" s="309"/>
      <c r="D15" s="21"/>
      <c r="E15" s="21"/>
      <c r="F15" s="21"/>
      <c r="G15" s="21"/>
      <c r="H15" s="21"/>
      <c r="I15" s="21"/>
      <c r="J15" s="21"/>
      <c r="K15" s="47"/>
    </row>
    <row r="16" spans="2:11">
      <c r="B16" s="33" t="s">
        <v>102</v>
      </c>
      <c r="C16" s="34" t="s">
        <v>1940</v>
      </c>
      <c r="D16" s="33"/>
      <c r="E16" s="33"/>
      <c r="F16" s="85"/>
      <c r="G16" s="37"/>
      <c r="H16" s="313">
        <v>197</v>
      </c>
      <c r="I16" s="293"/>
      <c r="J16" s="313">
        <v>107.37</v>
      </c>
      <c r="K16" s="313">
        <v>96.64</v>
      </c>
    </row>
    <row r="17" spans="2:11">
      <c r="B17" s="33" t="s">
        <v>20</v>
      </c>
      <c r="C17" s="34" t="s">
        <v>1941</v>
      </c>
      <c r="D17" s="33"/>
      <c r="E17" s="33"/>
      <c r="F17" s="85"/>
      <c r="G17" s="37"/>
      <c r="H17" s="313">
        <v>106</v>
      </c>
      <c r="I17" s="293"/>
      <c r="J17" s="313">
        <v>58.14</v>
      </c>
      <c r="K17" s="313">
        <v>52.33</v>
      </c>
    </row>
    <row r="18" spans="2:11">
      <c r="B18" s="33" t="s">
        <v>18</v>
      </c>
      <c r="C18" s="34" t="s">
        <v>1942</v>
      </c>
      <c r="D18" s="33"/>
      <c r="E18" s="33"/>
      <c r="F18" s="85"/>
      <c r="G18" s="37"/>
      <c r="H18" s="313">
        <v>118</v>
      </c>
      <c r="I18" s="293"/>
      <c r="J18" s="313">
        <v>65.97</v>
      </c>
      <c r="K18" s="313">
        <v>59.37</v>
      </c>
    </row>
    <row r="19" spans="2:11">
      <c r="B19" s="33" t="s">
        <v>16</v>
      </c>
      <c r="C19" s="34" t="s">
        <v>1943</v>
      </c>
      <c r="D19" s="33"/>
      <c r="E19" s="33"/>
      <c r="F19" s="85"/>
      <c r="G19" s="37"/>
      <c r="H19" s="313">
        <v>130</v>
      </c>
      <c r="I19" s="293"/>
      <c r="J19" s="313">
        <v>74.92</v>
      </c>
      <c r="K19" s="313">
        <v>67.43</v>
      </c>
    </row>
    <row r="20" spans="2:11">
      <c r="B20" s="33" t="s">
        <v>84</v>
      </c>
      <c r="C20" s="34" t="s">
        <v>1944</v>
      </c>
      <c r="D20" s="33"/>
      <c r="E20" s="33"/>
      <c r="F20" s="85"/>
      <c r="G20" s="37"/>
      <c r="H20" s="313">
        <v>234</v>
      </c>
      <c r="I20" s="293"/>
      <c r="J20" s="313">
        <v>132.24</v>
      </c>
      <c r="K20" s="313">
        <v>119.02</v>
      </c>
    </row>
    <row r="21" spans="2:11">
      <c r="B21" s="33" t="s">
        <v>90</v>
      </c>
      <c r="C21" s="34" t="s">
        <v>1945</v>
      </c>
      <c r="D21" s="33"/>
      <c r="E21" s="33"/>
      <c r="F21" s="85"/>
      <c r="G21" s="37"/>
      <c r="H21" s="313">
        <v>135</v>
      </c>
      <c r="I21" s="293"/>
      <c r="J21" s="313">
        <v>75.31</v>
      </c>
      <c r="K21" s="313">
        <v>67.78</v>
      </c>
    </row>
    <row r="22" spans="2:11">
      <c r="B22" s="33" t="s">
        <v>87</v>
      </c>
      <c r="C22" s="34" t="s">
        <v>1946</v>
      </c>
      <c r="D22" s="33"/>
      <c r="E22" s="33"/>
      <c r="F22" s="85"/>
      <c r="G22" s="37"/>
      <c r="H22" s="313">
        <v>172</v>
      </c>
      <c r="I22" s="293"/>
      <c r="J22" s="313">
        <v>95.5</v>
      </c>
      <c r="K22" s="313">
        <v>85.95</v>
      </c>
    </row>
    <row r="23" spans="2:11">
      <c r="B23" s="33" t="s">
        <v>116</v>
      </c>
      <c r="C23" s="34" t="s">
        <v>1947</v>
      </c>
      <c r="D23" s="33"/>
      <c r="E23" s="33"/>
      <c r="F23" s="85"/>
      <c r="G23" s="37"/>
      <c r="H23" s="313">
        <v>143</v>
      </c>
      <c r="I23" s="293"/>
      <c r="J23" s="313">
        <v>75.67</v>
      </c>
      <c r="K23" s="313">
        <v>68.1</v>
      </c>
    </row>
    <row r="24" spans="2:11">
      <c r="B24" s="33" t="s">
        <v>110</v>
      </c>
      <c r="C24" s="34" t="s">
        <v>1948</v>
      </c>
      <c r="D24" s="33"/>
      <c r="E24" s="33"/>
      <c r="F24" s="85"/>
      <c r="G24" s="37"/>
      <c r="H24" s="313">
        <v>148</v>
      </c>
      <c r="I24" s="293"/>
      <c r="J24" s="313">
        <v>78.7</v>
      </c>
      <c r="K24" s="313">
        <v>70.83</v>
      </c>
    </row>
    <row r="25" spans="2:11">
      <c r="B25" s="33" t="s">
        <v>107</v>
      </c>
      <c r="C25" s="34" t="s">
        <v>1949</v>
      </c>
      <c r="D25" s="33"/>
      <c r="E25" s="33"/>
      <c r="F25" s="85"/>
      <c r="G25" s="37"/>
      <c r="H25" s="313">
        <v>172</v>
      </c>
      <c r="I25" s="293"/>
      <c r="J25" s="313">
        <v>88.09</v>
      </c>
      <c r="K25" s="313">
        <v>79.28</v>
      </c>
    </row>
    <row r="26" spans="2:11">
      <c r="B26" s="33" t="s">
        <v>26</v>
      </c>
      <c r="C26" s="34" t="s">
        <v>1950</v>
      </c>
      <c r="D26" s="33"/>
      <c r="E26" s="33"/>
      <c r="F26" s="85"/>
      <c r="G26" s="37"/>
      <c r="H26" s="313">
        <v>66</v>
      </c>
      <c r="I26" s="293"/>
      <c r="J26" s="313">
        <v>34.5</v>
      </c>
      <c r="K26" s="313">
        <v>31.05</v>
      </c>
    </row>
    <row r="27" spans="2:11">
      <c r="B27" s="33" t="s">
        <v>24</v>
      </c>
      <c r="C27" s="34" t="s">
        <v>1951</v>
      </c>
      <c r="D27" s="33"/>
      <c r="E27" s="33"/>
      <c r="F27" s="85"/>
      <c r="G27" s="37"/>
      <c r="H27" s="313">
        <v>79</v>
      </c>
      <c r="I27" s="293"/>
      <c r="J27" s="313">
        <v>36.58</v>
      </c>
      <c r="K27" s="313">
        <v>32.92</v>
      </c>
    </row>
    <row r="28" spans="2:11">
      <c r="B28" s="33" t="s">
        <v>22</v>
      </c>
      <c r="C28" s="34" t="s">
        <v>1952</v>
      </c>
      <c r="D28" s="33"/>
      <c r="E28" s="33"/>
      <c r="F28" s="85"/>
      <c r="G28" s="37"/>
      <c r="H28" s="313">
        <v>91</v>
      </c>
      <c r="I28" s="293"/>
      <c r="J28" s="313">
        <v>46.96</v>
      </c>
      <c r="K28" s="313">
        <v>42.27</v>
      </c>
    </row>
    <row r="29" spans="1:11">
      <c r="A29" s="2"/>
      <c r="B29" s="2"/>
      <c r="C29" s="2"/>
      <c r="D29" s="2"/>
      <c r="E29" s="2"/>
      <c r="F29" s="2"/>
      <c r="G29" s="8"/>
      <c r="H29" s="285"/>
      <c r="I29" s="285"/>
      <c r="J29" s="283"/>
      <c r="K29" s="283"/>
    </row>
    <row r="30" spans="2:11" customHeight="1">
      <c r="B30" s="20" t="s">
        <v>1953</v>
      </c>
      <c r="C30" s="309"/>
      <c r="D30" s="21"/>
      <c r="E30" s="21"/>
      <c r="F30" s="21"/>
      <c r="G30" s="21"/>
      <c r="H30" s="21"/>
      <c r="I30" s="21"/>
      <c r="J30" s="21"/>
      <c r="K30" s="47"/>
    </row>
    <row r="31" spans="2:11">
      <c r="B31" s="33" t="s">
        <v>1954</v>
      </c>
      <c r="C31" s="34" t="s">
        <v>165</v>
      </c>
      <c r="D31" s="33"/>
      <c r="E31" s="33"/>
      <c r="F31" s="85"/>
      <c r="G31" s="37"/>
      <c r="H31" s="313">
        <v>39</v>
      </c>
      <c r="I31" s="293"/>
      <c r="J31" s="313">
        <v>21.08</v>
      </c>
      <c r="K31" s="313">
        <v>18.97</v>
      </c>
    </row>
    <row r="32" spans="2:11">
      <c r="B32" s="33" t="s">
        <v>1955</v>
      </c>
      <c r="C32" s="34" t="s">
        <v>157</v>
      </c>
      <c r="D32" s="33"/>
      <c r="E32" s="33"/>
      <c r="F32" s="85"/>
      <c r="G32" s="37"/>
      <c r="H32" s="313">
        <v>41</v>
      </c>
      <c r="I32" s="293"/>
      <c r="J32" s="313">
        <v>20.87</v>
      </c>
      <c r="K32" s="313">
        <v>18.78</v>
      </c>
    </row>
    <row r="33" spans="2:11">
      <c r="B33" s="33" t="s">
        <v>1956</v>
      </c>
      <c r="C33" s="34" t="s">
        <v>155</v>
      </c>
      <c r="D33" s="33"/>
      <c r="E33" s="33"/>
      <c r="F33" s="85"/>
      <c r="G33" s="37"/>
      <c r="H33" s="313">
        <v>53</v>
      </c>
      <c r="I33" s="293"/>
      <c r="J33" s="313">
        <v>33.01</v>
      </c>
      <c r="K33" s="313">
        <v>29.71</v>
      </c>
    </row>
    <row r="34" spans="1:11">
      <c r="A34" s="2"/>
      <c r="B34" s="2"/>
      <c r="C34" s="2"/>
      <c r="D34" s="2"/>
      <c r="E34" s="2"/>
      <c r="F34" s="2"/>
      <c r="G34" s="8"/>
      <c r="H34" s="285"/>
      <c r="I34" s="285"/>
      <c r="J34" s="283"/>
      <c r="K34" s="283"/>
    </row>
    <row r="35" spans="2:11" customHeight="1">
      <c r="B35" s="20" t="s">
        <v>1957</v>
      </c>
      <c r="C35" s="309"/>
      <c r="D35" s="21"/>
      <c r="E35" s="21"/>
      <c r="F35" s="21"/>
      <c r="G35" s="21"/>
      <c r="H35" s="21"/>
      <c r="I35" s="21"/>
      <c r="J35" s="21"/>
      <c r="K35" s="47"/>
    </row>
    <row r="36" spans="2:11">
      <c r="B36" s="33" t="s">
        <v>1958</v>
      </c>
      <c r="C36" s="34" t="s">
        <v>312</v>
      </c>
      <c r="D36" s="33"/>
      <c r="E36" s="33"/>
      <c r="F36" s="85"/>
      <c r="G36" s="37"/>
      <c r="H36" s="313">
        <v>20</v>
      </c>
      <c r="I36" s="293"/>
      <c r="J36" s="313">
        <v>11.24</v>
      </c>
      <c r="K36" s="313">
        <v>10.11</v>
      </c>
    </row>
    <row r="37" spans="2:11">
      <c r="B37" s="33" t="s">
        <v>1959</v>
      </c>
      <c r="C37" s="34" t="s">
        <v>322</v>
      </c>
      <c r="D37" s="33"/>
      <c r="E37" s="33"/>
      <c r="F37" s="85"/>
      <c r="G37" s="37"/>
      <c r="H37" s="313">
        <v>43</v>
      </c>
      <c r="I37" s="293"/>
      <c r="J37" s="313">
        <v>23.42</v>
      </c>
      <c r="K37" s="313">
        <v>21.08</v>
      </c>
    </row>
    <row r="38" spans="2:11">
      <c r="B38" s="33" t="s">
        <v>1960</v>
      </c>
      <c r="C38" s="34" t="s">
        <v>78</v>
      </c>
      <c r="D38" s="33"/>
      <c r="E38" s="33"/>
      <c r="F38" s="85"/>
      <c r="G38" s="37"/>
      <c r="H38" s="313">
        <v>17</v>
      </c>
      <c r="I38" s="293"/>
      <c r="J38" s="313">
        <v>8.85</v>
      </c>
      <c r="K38" s="313">
        <v>7.96</v>
      </c>
    </row>
    <row r="39" spans="2:11">
      <c r="B39" s="33" t="s">
        <v>1961</v>
      </c>
      <c r="C39" s="34" t="s">
        <v>318</v>
      </c>
      <c r="D39" s="33"/>
      <c r="E39" s="33"/>
      <c r="F39" s="85"/>
      <c r="G39" s="37"/>
      <c r="H39" s="313">
        <v>39</v>
      </c>
      <c r="I39" s="293"/>
      <c r="J39" s="313">
        <v>20.84</v>
      </c>
      <c r="K39" s="313">
        <v>18.76</v>
      </c>
    </row>
    <row r="40" spans="1:11">
      <c r="A40" s="2"/>
      <c r="B40" s="2"/>
      <c r="C40" s="2"/>
      <c r="D40" s="2"/>
      <c r="E40" s="2"/>
      <c r="F40" s="2"/>
      <c r="G40" s="8"/>
      <c r="H40" s="285"/>
      <c r="I40" s="285"/>
      <c r="J40" s="283"/>
      <c r="K40" s="283"/>
    </row>
    <row r="41" spans="2:11" customHeight="1">
      <c r="B41" s="20" t="s">
        <v>1962</v>
      </c>
      <c r="C41" s="309"/>
      <c r="D41" s="21"/>
      <c r="E41" s="21"/>
      <c r="F41" s="21"/>
      <c r="G41" s="21"/>
      <c r="H41" s="21"/>
      <c r="I41" s="21"/>
      <c r="J41" s="21"/>
      <c r="K41" s="47"/>
    </row>
    <row r="42" spans="2:11">
      <c r="B42" s="33" t="s">
        <v>329</v>
      </c>
      <c r="C42" s="34" t="s">
        <v>330</v>
      </c>
      <c r="D42" s="33"/>
      <c r="E42" s="33"/>
      <c r="F42" s="85"/>
      <c r="G42" s="37"/>
      <c r="H42" s="313">
        <v>16</v>
      </c>
      <c r="I42" s="293"/>
      <c r="J42" s="313">
        <v>7.29</v>
      </c>
      <c r="K42" s="313">
        <v>6.56</v>
      </c>
    </row>
    <row r="43" spans="2:11">
      <c r="B43" s="33" t="s">
        <v>1963</v>
      </c>
      <c r="C43" s="34" t="s">
        <v>325</v>
      </c>
      <c r="D43" s="33"/>
      <c r="E43" s="33"/>
      <c r="F43" s="85"/>
      <c r="G43" s="37"/>
      <c r="H43" s="313">
        <v>9</v>
      </c>
      <c r="I43" s="293"/>
      <c r="J43" s="313">
        <v>4.71</v>
      </c>
      <c r="K43" s="313">
        <v>4.24</v>
      </c>
    </row>
    <row r="44" spans="1:11">
      <c r="A44" s="2"/>
      <c r="B44" s="2"/>
      <c r="C44" s="2"/>
      <c r="D44" s="2"/>
      <c r="E44" s="2"/>
      <c r="F44" s="2"/>
      <c r="G44" s="8"/>
      <c r="H44" s="285"/>
      <c r="I44" s="285"/>
      <c r="J44" s="283"/>
      <c r="K44" s="283"/>
    </row>
    <row r="45" spans="2:11" customHeight="1">
      <c r="B45" s="20" t="s">
        <v>1964</v>
      </c>
      <c r="C45" s="309"/>
      <c r="D45" s="21"/>
      <c r="E45" s="21"/>
      <c r="F45" s="21"/>
      <c r="G45" s="21"/>
      <c r="H45" s="21"/>
      <c r="I45" s="21"/>
      <c r="J45" s="21"/>
      <c r="K45" s="47"/>
    </row>
    <row r="46" spans="2:11">
      <c r="B46" s="33" t="s">
        <v>336</v>
      </c>
      <c r="C46" s="34" t="s">
        <v>337</v>
      </c>
      <c r="D46" s="33"/>
      <c r="E46" s="33"/>
      <c r="F46" s="85"/>
      <c r="G46" s="37"/>
      <c r="H46" s="313">
        <v>45</v>
      </c>
      <c r="I46" s="293"/>
      <c r="J46" s="313">
        <v>23.58</v>
      </c>
      <c r="K46" s="313">
        <v>21.22</v>
      </c>
    </row>
    <row r="47" spans="2:11">
      <c r="B47" s="33" t="s">
        <v>333</v>
      </c>
      <c r="C47" s="34" t="s">
        <v>334</v>
      </c>
      <c r="D47" s="33"/>
      <c r="E47" s="33"/>
      <c r="F47" s="85"/>
      <c r="G47" s="37"/>
      <c r="H47" s="313">
        <v>53</v>
      </c>
      <c r="I47" s="293"/>
      <c r="J47" s="313">
        <v>25.83</v>
      </c>
      <c r="K47" s="313">
        <v>23.25</v>
      </c>
    </row>
    <row r="48" spans="2:11">
      <c r="B48" s="33" t="s">
        <v>351</v>
      </c>
      <c r="C48" s="34" t="s">
        <v>352</v>
      </c>
      <c r="D48" s="33"/>
      <c r="E48" s="33"/>
      <c r="F48" s="85"/>
      <c r="G48" s="37"/>
      <c r="H48" s="313">
        <v>12</v>
      </c>
      <c r="I48" s="293"/>
      <c r="J48" s="313">
        <v>4.5</v>
      </c>
      <c r="K48" s="313">
        <v>4.05</v>
      </c>
    </row>
    <row r="49" spans="2:11">
      <c r="B49" s="33" t="s">
        <v>348</v>
      </c>
      <c r="C49" s="34" t="s">
        <v>349</v>
      </c>
      <c r="D49" s="33"/>
      <c r="E49" s="33"/>
      <c r="F49" s="85"/>
      <c r="G49" s="37"/>
      <c r="H49" s="313">
        <v>12</v>
      </c>
      <c r="I49" s="293"/>
      <c r="J49" s="313">
        <v>4.5</v>
      </c>
      <c r="K49" s="313">
        <v>4.05</v>
      </c>
    </row>
    <row r="50" spans="2:11">
      <c r="B50" s="33" t="s">
        <v>354</v>
      </c>
      <c r="C50" s="34" t="s">
        <v>355</v>
      </c>
      <c r="D50" s="33"/>
      <c r="E50" s="33"/>
      <c r="F50" s="85"/>
      <c r="G50" s="37"/>
      <c r="H50" s="313">
        <v>61</v>
      </c>
      <c r="I50" s="293"/>
      <c r="J50" s="313">
        <v>30.72</v>
      </c>
      <c r="K50" s="313">
        <v>27.65</v>
      </c>
    </row>
    <row r="51" spans="2:11">
      <c r="B51" s="33" t="s">
        <v>339</v>
      </c>
      <c r="C51" s="34" t="s">
        <v>340</v>
      </c>
      <c r="D51" s="33"/>
      <c r="E51" s="33"/>
      <c r="F51" s="85"/>
      <c r="G51" s="37"/>
      <c r="H51" s="313">
        <v>26</v>
      </c>
      <c r="I51" s="293"/>
      <c r="J51" s="313">
        <v>13.47</v>
      </c>
      <c r="K51" s="313">
        <v>12.12</v>
      </c>
    </row>
    <row r="52" spans="1:11">
      <c r="A52" s="2"/>
      <c r="B52" s="2"/>
      <c r="C52" s="2"/>
      <c r="D52" s="2"/>
      <c r="E52" s="2"/>
      <c r="F52" s="2"/>
      <c r="G52" s="8"/>
      <c r="H52" s="285"/>
      <c r="I52" s="285"/>
      <c r="J52" s="283"/>
      <c r="K52" s="283"/>
    </row>
    <row r="53" spans="2:11" customHeight="1">
      <c r="B53" s="20" t="s">
        <v>1965</v>
      </c>
      <c r="C53" s="309"/>
      <c r="D53" s="21"/>
      <c r="E53" s="21"/>
      <c r="F53" s="21"/>
      <c r="G53" s="21"/>
      <c r="H53" s="21"/>
      <c r="I53" s="21"/>
      <c r="J53" s="21"/>
      <c r="K53" s="47"/>
    </row>
    <row r="54" spans="2:11">
      <c r="B54" s="33" t="s">
        <v>1966</v>
      </c>
      <c r="C54" s="34" t="s">
        <v>228</v>
      </c>
      <c r="D54" s="33"/>
      <c r="E54" s="33"/>
      <c r="F54" s="85"/>
      <c r="G54" s="37"/>
      <c r="H54" s="313">
        <v>332</v>
      </c>
      <c r="I54" s="293"/>
      <c r="J54" s="313">
        <v>181.46</v>
      </c>
      <c r="K54" s="313">
        <v>163.32</v>
      </c>
    </row>
    <row r="55" spans="2:11">
      <c r="B55" s="33" t="s">
        <v>1967</v>
      </c>
      <c r="C55" s="34" t="s">
        <v>226</v>
      </c>
      <c r="D55" s="33"/>
      <c r="E55" s="33"/>
      <c r="F55" s="85"/>
      <c r="G55" s="37"/>
      <c r="H55" s="313">
        <v>357</v>
      </c>
      <c r="I55" s="293"/>
      <c r="J55" s="313">
        <v>196.59</v>
      </c>
      <c r="K55" s="313">
        <v>176.93</v>
      </c>
    </row>
    <row r="56" spans="2:11">
      <c r="B56" s="33" t="s">
        <v>1968</v>
      </c>
      <c r="C56" s="34" t="s">
        <v>200</v>
      </c>
      <c r="D56" s="33"/>
      <c r="E56" s="33"/>
      <c r="F56" s="85"/>
      <c r="G56" s="37"/>
      <c r="H56" s="313">
        <v>209</v>
      </c>
      <c r="I56" s="293"/>
      <c r="J56" s="313">
        <v>114.93</v>
      </c>
      <c r="K56" s="313">
        <v>103.44</v>
      </c>
    </row>
    <row r="57" spans="2:11">
      <c r="B57" s="33" t="s">
        <v>1969</v>
      </c>
      <c r="C57" s="34" t="s">
        <v>184</v>
      </c>
      <c r="D57" s="33"/>
      <c r="E57" s="33"/>
      <c r="F57" s="85"/>
      <c r="G57" s="37"/>
      <c r="H57" s="313">
        <v>295</v>
      </c>
      <c r="I57" s="293"/>
      <c r="J57" s="313">
        <v>173.39</v>
      </c>
      <c r="K57" s="313">
        <v>156.05</v>
      </c>
    </row>
    <row r="58" spans="2:11">
      <c r="B58" s="33" t="s">
        <v>1970</v>
      </c>
      <c r="C58" s="34" t="s">
        <v>1971</v>
      </c>
      <c r="D58" s="33"/>
      <c r="E58" s="33"/>
      <c r="F58" s="85"/>
      <c r="G58" s="37"/>
      <c r="H58" s="313">
        <v>418</v>
      </c>
      <c r="I58" s="293"/>
      <c r="J58" s="313">
        <v>242.53</v>
      </c>
      <c r="K58" s="313">
        <v>218.27</v>
      </c>
    </row>
    <row r="59" spans="2:11">
      <c r="B59" s="33" t="s">
        <v>1972</v>
      </c>
      <c r="C59" s="34" t="s">
        <v>190</v>
      </c>
      <c r="D59" s="33"/>
      <c r="E59" s="33"/>
      <c r="F59" s="85"/>
      <c r="G59" s="37"/>
      <c r="H59" s="313">
        <v>369</v>
      </c>
      <c r="I59" s="293"/>
      <c r="J59" s="313">
        <v>202.96</v>
      </c>
      <c r="K59" s="313">
        <v>182.66</v>
      </c>
    </row>
    <row r="60" spans="2:11">
      <c r="B60" s="33" t="s">
        <v>1973</v>
      </c>
      <c r="C60" s="34" t="s">
        <v>198</v>
      </c>
      <c r="D60" s="33"/>
      <c r="E60" s="33"/>
      <c r="F60" s="85"/>
      <c r="G60" s="37"/>
      <c r="H60" s="313">
        <v>234</v>
      </c>
      <c r="I60" s="293"/>
      <c r="J60" s="313">
        <v>125.32</v>
      </c>
      <c r="K60" s="313">
        <v>112.79</v>
      </c>
    </row>
    <row r="61" spans="2:11">
      <c r="B61" s="33" t="s">
        <v>1974</v>
      </c>
      <c r="C61" s="34" t="s">
        <v>182</v>
      </c>
      <c r="D61" s="33"/>
      <c r="E61" s="33"/>
      <c r="F61" s="85"/>
      <c r="G61" s="37"/>
      <c r="H61" s="313">
        <v>234</v>
      </c>
      <c r="I61" s="293"/>
      <c r="J61" s="313">
        <v>131.56</v>
      </c>
      <c r="K61" s="313">
        <v>118.4</v>
      </c>
    </row>
    <row r="62" spans="2:11">
      <c r="B62" s="33" t="s">
        <v>1975</v>
      </c>
      <c r="C62" s="34" t="s">
        <v>196</v>
      </c>
      <c r="D62" s="33"/>
      <c r="E62" s="33"/>
      <c r="F62" s="85"/>
      <c r="G62" s="37"/>
      <c r="H62" s="313">
        <v>295</v>
      </c>
      <c r="I62" s="293"/>
      <c r="J62" s="313">
        <v>161.81</v>
      </c>
      <c r="K62" s="313">
        <v>145.62</v>
      </c>
    </row>
    <row r="63" spans="2:11">
      <c r="B63" s="33" t="s">
        <v>1976</v>
      </c>
      <c r="C63" s="34" t="s">
        <v>208</v>
      </c>
      <c r="D63" s="33"/>
      <c r="E63" s="33"/>
      <c r="F63" s="85"/>
      <c r="G63" s="37"/>
      <c r="H63" s="313">
        <v>258</v>
      </c>
      <c r="I63" s="293"/>
      <c r="J63" s="313">
        <v>119.36</v>
      </c>
      <c r="K63" s="313">
        <v>107.42</v>
      </c>
    </row>
    <row r="64" spans="1:11">
      <c r="A64" s="2"/>
      <c r="B64" s="2"/>
      <c r="C64" s="2"/>
      <c r="D64" s="2"/>
      <c r="E64" s="2"/>
      <c r="F64" s="2"/>
      <c r="G64" s="8"/>
      <c r="H64" s="285"/>
      <c r="I64" s="285"/>
      <c r="J64" s="283"/>
      <c r="K64" s="283"/>
    </row>
    <row r="65" spans="2:11" customHeight="1">
      <c r="B65" s="20" t="s">
        <v>1977</v>
      </c>
      <c r="C65" s="309"/>
      <c r="D65" s="21"/>
      <c r="E65" s="21"/>
      <c r="F65" s="21"/>
      <c r="G65" s="21"/>
      <c r="H65" s="21"/>
      <c r="I65" s="21"/>
      <c r="J65" s="21"/>
      <c r="K65" s="47"/>
    </row>
    <row r="66" spans="2:11">
      <c r="B66" s="33" t="s">
        <v>1978</v>
      </c>
      <c r="C66" s="34" t="s">
        <v>1979</v>
      </c>
      <c r="D66" s="33"/>
      <c r="E66" s="33"/>
      <c r="F66" s="85"/>
      <c r="G66" s="37"/>
      <c r="H66" s="313">
        <v>172</v>
      </c>
      <c r="I66" s="293"/>
      <c r="J66" s="313">
        <v>91.87</v>
      </c>
      <c r="K66" s="313">
        <v>82.68</v>
      </c>
    </row>
    <row r="67" spans="2:11">
      <c r="B67" s="33" t="s">
        <v>1980</v>
      </c>
      <c r="C67" s="34" t="s">
        <v>1981</v>
      </c>
      <c r="D67" s="33"/>
      <c r="E67" s="33"/>
      <c r="F67" s="85"/>
      <c r="G67" s="37"/>
      <c r="H67" s="313">
        <v>221</v>
      </c>
      <c r="I67" s="293"/>
      <c r="J67" s="313">
        <v>125.7</v>
      </c>
      <c r="K67" s="313">
        <v>113.13</v>
      </c>
    </row>
    <row r="68" spans="2:11">
      <c r="B68" s="33" t="s">
        <v>1982</v>
      </c>
      <c r="C68" s="34" t="s">
        <v>1983</v>
      </c>
      <c r="D68" s="33"/>
      <c r="E68" s="33"/>
      <c r="F68" s="85"/>
      <c r="G68" s="37"/>
      <c r="H68" s="313">
        <v>184</v>
      </c>
      <c r="I68" s="293"/>
      <c r="J68" s="313">
        <v>96.48</v>
      </c>
      <c r="K68" s="313">
        <v>86.83</v>
      </c>
    </row>
    <row r="69" spans="2:11">
      <c r="B69" s="33" t="s">
        <v>1984</v>
      </c>
      <c r="C69" s="34" t="s">
        <v>1985</v>
      </c>
      <c r="D69" s="33"/>
      <c r="E69" s="33"/>
      <c r="F69" s="85"/>
      <c r="G69" s="37"/>
      <c r="H69" s="313">
        <v>172</v>
      </c>
      <c r="I69" s="293"/>
      <c r="J69" s="313">
        <v>97.71</v>
      </c>
      <c r="K69" s="313">
        <v>87.94</v>
      </c>
    </row>
    <row r="70" spans="2:11">
      <c r="B70" s="33" t="s">
        <v>1986</v>
      </c>
      <c r="C70" s="34" t="s">
        <v>1987</v>
      </c>
      <c r="D70" s="33"/>
      <c r="E70" s="33"/>
      <c r="F70" s="85"/>
      <c r="G70" s="37"/>
      <c r="H70" s="313">
        <v>197</v>
      </c>
      <c r="I70" s="293"/>
      <c r="J70" s="313">
        <v>104.47</v>
      </c>
      <c r="K70" s="313">
        <v>94.03</v>
      </c>
    </row>
    <row r="71" spans="2:11">
      <c r="B71" s="33" t="s">
        <v>1988</v>
      </c>
      <c r="C71" s="34" t="s">
        <v>1989</v>
      </c>
      <c r="D71" s="33"/>
      <c r="E71" s="33"/>
      <c r="F71" s="85"/>
      <c r="G71" s="37"/>
      <c r="H71" s="313">
        <v>184</v>
      </c>
      <c r="I71" s="293"/>
      <c r="J71" s="313">
        <v>102.83</v>
      </c>
      <c r="K71" s="313">
        <v>92.54</v>
      </c>
    </row>
    <row r="72" spans="2:11">
      <c r="B72" s="33" t="s">
        <v>1990</v>
      </c>
      <c r="C72" s="34" t="s">
        <v>1991</v>
      </c>
      <c r="D72" s="33"/>
      <c r="E72" s="33"/>
      <c r="F72" s="85"/>
      <c r="G72" s="37"/>
      <c r="H72" s="313">
        <v>160</v>
      </c>
      <c r="I72" s="293"/>
      <c r="J72" s="313">
        <v>86.41</v>
      </c>
      <c r="K72" s="313">
        <v>77.77</v>
      </c>
    </row>
    <row r="73" spans="2:11">
      <c r="B73" s="33" t="s">
        <v>1992</v>
      </c>
      <c r="C73" s="34" t="s">
        <v>1993</v>
      </c>
      <c r="D73" s="33"/>
      <c r="E73" s="33"/>
      <c r="F73" s="85"/>
      <c r="G73" s="37"/>
      <c r="H73" s="313">
        <v>160</v>
      </c>
      <c r="I73" s="293"/>
      <c r="J73" s="313">
        <v>88.83</v>
      </c>
      <c r="K73" s="313">
        <v>79.95</v>
      </c>
    </row>
    <row r="74" spans="2:11">
      <c r="B74" s="33" t="s">
        <v>1994</v>
      </c>
      <c r="C74" s="34" t="s">
        <v>1995</v>
      </c>
      <c r="D74" s="33"/>
      <c r="E74" s="33"/>
      <c r="F74" s="85"/>
      <c r="G74" s="37"/>
      <c r="H74" s="313">
        <v>123</v>
      </c>
      <c r="I74" s="293"/>
      <c r="J74" s="313">
        <v>69.71</v>
      </c>
      <c r="K74" s="313">
        <v>62.74</v>
      </c>
    </row>
    <row r="75" spans="2:11">
      <c r="B75" s="33" t="s">
        <v>1996</v>
      </c>
      <c r="C75" s="34" t="s">
        <v>1997</v>
      </c>
      <c r="D75" s="33"/>
      <c r="E75" s="33"/>
      <c r="F75" s="85"/>
      <c r="G75" s="37"/>
      <c r="H75" s="313">
        <v>129</v>
      </c>
      <c r="I75" s="293"/>
      <c r="J75" s="313">
        <v>71.09</v>
      </c>
      <c r="K75" s="313">
        <v>63.98</v>
      </c>
    </row>
    <row r="76" spans="2:11">
      <c r="B76" s="33" t="s">
        <v>1998</v>
      </c>
      <c r="C76" s="34" t="s">
        <v>1999</v>
      </c>
      <c r="D76" s="33"/>
      <c r="E76" s="33"/>
      <c r="F76" s="85"/>
      <c r="G76" s="37"/>
      <c r="H76" s="313">
        <v>135</v>
      </c>
      <c r="I76" s="293"/>
      <c r="J76" s="313">
        <v>73.85</v>
      </c>
      <c r="K76" s="313">
        <v>66.47</v>
      </c>
    </row>
    <row r="77" spans="1:11">
      <c r="A77" s="2"/>
      <c r="B77" s="2"/>
      <c r="C77" s="2"/>
      <c r="D77" s="2"/>
      <c r="E77" s="2"/>
      <c r="F77" s="2"/>
      <c r="G77" s="8"/>
      <c r="H77" s="285"/>
      <c r="I77" s="285"/>
      <c r="J77" s="283"/>
      <c r="K77" s="283"/>
    </row>
    <row r="78" spans="2:11" customHeight="1">
      <c r="B78" s="20" t="s">
        <v>2000</v>
      </c>
      <c r="C78" s="309"/>
      <c r="D78" s="21"/>
      <c r="E78" s="21"/>
      <c r="F78" s="21"/>
      <c r="G78" s="21"/>
      <c r="H78" s="21"/>
      <c r="I78" s="21"/>
      <c r="J78" s="21"/>
      <c r="K78" s="47"/>
    </row>
    <row r="79" spans="2:11">
      <c r="B79" s="33" t="s">
        <v>2001</v>
      </c>
      <c r="C79" s="34" t="s">
        <v>258</v>
      </c>
      <c r="D79" s="33"/>
      <c r="E79" s="33"/>
      <c r="F79" s="85"/>
      <c r="G79" s="37"/>
      <c r="H79" s="313">
        <v>148</v>
      </c>
      <c r="I79" s="293"/>
      <c r="J79" s="313">
        <v>83.19</v>
      </c>
      <c r="K79" s="313">
        <v>74.87</v>
      </c>
    </row>
    <row r="80" spans="2:11">
      <c r="B80" s="33" t="s">
        <v>2002</v>
      </c>
      <c r="C80" s="34" t="s">
        <v>246</v>
      </c>
      <c r="D80" s="33"/>
      <c r="E80" s="33"/>
      <c r="F80" s="85"/>
      <c r="G80" s="37"/>
      <c r="H80" s="313">
        <v>105</v>
      </c>
      <c r="I80" s="293"/>
      <c r="J80" s="313">
        <v>58.84</v>
      </c>
      <c r="K80" s="313">
        <v>52.96</v>
      </c>
    </row>
    <row r="81" spans="2:11">
      <c r="B81" s="33" t="s">
        <v>2003</v>
      </c>
      <c r="C81" s="34" t="s">
        <v>248</v>
      </c>
      <c r="D81" s="33"/>
      <c r="E81" s="33"/>
      <c r="F81" s="85"/>
      <c r="G81" s="37"/>
      <c r="H81" s="313">
        <v>172</v>
      </c>
      <c r="I81" s="293"/>
      <c r="J81" s="313">
        <v>89.87</v>
      </c>
      <c r="K81" s="313">
        <v>80.88</v>
      </c>
    </row>
    <row r="82" spans="2:11">
      <c r="B82" s="33" t="s">
        <v>2004</v>
      </c>
      <c r="C82" s="34" t="s">
        <v>260</v>
      </c>
      <c r="D82" s="33"/>
      <c r="E82" s="33"/>
      <c r="F82" s="85"/>
      <c r="G82" s="37"/>
      <c r="H82" s="313">
        <v>184</v>
      </c>
      <c r="I82" s="293"/>
      <c r="J82" s="313">
        <v>104.01</v>
      </c>
      <c r="K82" s="313">
        <v>93.61</v>
      </c>
    </row>
    <row r="83" spans="2:11">
      <c r="B83" s="33" t="s">
        <v>2005</v>
      </c>
      <c r="C83" s="34" t="s">
        <v>250</v>
      </c>
      <c r="D83" s="33"/>
      <c r="E83" s="33"/>
      <c r="F83" s="85"/>
      <c r="G83" s="37"/>
      <c r="H83" s="313">
        <v>160</v>
      </c>
      <c r="I83" s="293"/>
      <c r="J83" s="313">
        <v>78.86</v>
      </c>
      <c r="K83" s="313">
        <v>70.97</v>
      </c>
    </row>
    <row r="84" spans="2:11">
      <c r="B84" s="33" t="s">
        <v>2006</v>
      </c>
      <c r="C84" s="34" t="s">
        <v>236</v>
      </c>
      <c r="D84" s="33"/>
      <c r="E84" s="33"/>
      <c r="F84" s="85"/>
      <c r="G84" s="37"/>
      <c r="H84" s="313">
        <v>148</v>
      </c>
      <c r="I84" s="293"/>
      <c r="J84" s="313">
        <v>81.45</v>
      </c>
      <c r="K84" s="313">
        <v>73.3</v>
      </c>
    </row>
    <row r="85" spans="2:11">
      <c r="B85" s="33" t="s">
        <v>2007</v>
      </c>
      <c r="C85" s="34" t="s">
        <v>242</v>
      </c>
      <c r="D85" s="33"/>
      <c r="E85" s="33"/>
      <c r="F85" s="85"/>
      <c r="G85" s="37"/>
      <c r="H85" s="313">
        <v>197</v>
      </c>
      <c r="I85" s="293"/>
      <c r="J85" s="313">
        <v>103.44</v>
      </c>
      <c r="K85" s="313">
        <v>93.09</v>
      </c>
    </row>
    <row r="86" spans="2:11">
      <c r="B86" s="33" t="s">
        <v>2008</v>
      </c>
      <c r="C86" s="34" t="s">
        <v>240</v>
      </c>
      <c r="D86" s="33"/>
      <c r="E86" s="33"/>
      <c r="F86" s="85"/>
      <c r="G86" s="37"/>
      <c r="H86" s="313">
        <v>209</v>
      </c>
      <c r="I86" s="293"/>
      <c r="J86" s="313">
        <v>118.06</v>
      </c>
      <c r="K86" s="313">
        <v>106.26</v>
      </c>
    </row>
    <row r="87" spans="2:11">
      <c r="B87" s="33" t="s">
        <v>2009</v>
      </c>
      <c r="C87" s="34" t="s">
        <v>252</v>
      </c>
      <c r="D87" s="33"/>
      <c r="E87" s="33"/>
      <c r="F87" s="85"/>
      <c r="G87" s="37"/>
      <c r="H87" s="313">
        <v>160</v>
      </c>
      <c r="I87" s="293"/>
      <c r="J87" s="313">
        <v>89.87</v>
      </c>
      <c r="K87" s="313">
        <v>80.88</v>
      </c>
    </row>
    <row r="88" spans="2:11">
      <c r="B88" s="33" t="s">
        <v>2010</v>
      </c>
      <c r="C88" s="34" t="s">
        <v>256</v>
      </c>
      <c r="D88" s="33"/>
      <c r="E88" s="33"/>
      <c r="F88" s="85"/>
      <c r="G88" s="37"/>
      <c r="H88" s="313">
        <v>307</v>
      </c>
      <c r="I88" s="293"/>
      <c r="J88" s="313">
        <v>166.54</v>
      </c>
      <c r="K88" s="313">
        <v>149.89</v>
      </c>
    </row>
    <row r="89" spans="2:11">
      <c r="B89" s="33" t="s">
        <v>2011</v>
      </c>
      <c r="C89" s="34" t="s">
        <v>254</v>
      </c>
      <c r="D89" s="33"/>
      <c r="E89" s="33"/>
      <c r="F89" s="85"/>
      <c r="G89" s="37"/>
      <c r="H89" s="313">
        <v>320</v>
      </c>
      <c r="I89" s="293"/>
      <c r="J89" s="313">
        <v>173.93</v>
      </c>
      <c r="K89" s="313">
        <v>156.54</v>
      </c>
    </row>
    <row r="90" spans="2:11">
      <c r="B90" s="33" t="s">
        <v>2012</v>
      </c>
      <c r="C90" s="34" t="s">
        <v>238</v>
      </c>
      <c r="D90" s="33"/>
      <c r="E90" s="33"/>
      <c r="F90" s="85"/>
      <c r="G90" s="37"/>
      <c r="H90" s="313">
        <v>160</v>
      </c>
      <c r="I90" s="293"/>
      <c r="J90" s="313">
        <v>82.48</v>
      </c>
      <c r="K90" s="313">
        <v>74.23</v>
      </c>
    </row>
    <row r="91" spans="2:11">
      <c r="B91" s="33" t="s">
        <v>263</v>
      </c>
      <c r="C91" s="34" t="s">
        <v>264</v>
      </c>
      <c r="D91" s="33"/>
      <c r="E91" s="33"/>
      <c r="F91" s="85"/>
      <c r="G91" s="37"/>
      <c r="H91" s="313">
        <v>40.99</v>
      </c>
      <c r="I91" s="293"/>
      <c r="J91" s="313">
        <v>7.61</v>
      </c>
      <c r="K91" s="313">
        <v>6.85</v>
      </c>
    </row>
    <row r="92" spans="2:11">
      <c r="B92" s="33" t="s">
        <v>267</v>
      </c>
      <c r="C92" s="34" t="s">
        <v>268</v>
      </c>
      <c r="D92" s="33"/>
      <c r="E92" s="33"/>
      <c r="F92" s="85"/>
      <c r="G92" s="37"/>
      <c r="H92" s="313">
        <v>80.99</v>
      </c>
      <c r="I92" s="293"/>
      <c r="J92" s="313">
        <v>22.65</v>
      </c>
      <c r="K92" s="313">
        <v>20.38</v>
      </c>
    </row>
    <row r="93" spans="2:11">
      <c r="B93" s="33" t="s">
        <v>270</v>
      </c>
      <c r="C93" s="34" t="s">
        <v>271</v>
      </c>
      <c r="D93" s="33"/>
      <c r="E93" s="33"/>
      <c r="F93" s="85"/>
      <c r="G93" s="37"/>
      <c r="H93" s="313">
        <v>46.99</v>
      </c>
      <c r="I93" s="293"/>
      <c r="J93" s="313">
        <v>20.72</v>
      </c>
      <c r="K93" s="313">
        <v>18.65</v>
      </c>
    </row>
    <row r="94" spans="2:11">
      <c r="B94" s="33" t="s">
        <v>273</v>
      </c>
      <c r="C94" s="34" t="s">
        <v>274</v>
      </c>
      <c r="D94" s="33"/>
      <c r="E94" s="33"/>
      <c r="F94" s="85"/>
      <c r="G94" s="37"/>
      <c r="H94" s="313">
        <v>53.99</v>
      </c>
      <c r="I94" s="293"/>
      <c r="J94" s="313">
        <v>27.01</v>
      </c>
      <c r="K94" s="313">
        <v>24.3</v>
      </c>
    </row>
    <row r="95" spans="2:11">
      <c r="B95" s="33" t="s">
        <v>276</v>
      </c>
      <c r="C95" s="34" t="s">
        <v>277</v>
      </c>
      <c r="D95" s="33"/>
      <c r="E95" s="33"/>
      <c r="F95" s="85"/>
      <c r="G95" s="37"/>
      <c r="H95" s="313">
        <v>60.99</v>
      </c>
      <c r="I95" s="293"/>
      <c r="J95" s="313">
        <v>21.77</v>
      </c>
      <c r="K95" s="313">
        <v>19.59</v>
      </c>
    </row>
    <row r="96" spans="2:11">
      <c r="B96" s="33" t="s">
        <v>279</v>
      </c>
      <c r="C96" s="34" t="s">
        <v>280</v>
      </c>
      <c r="D96" s="33"/>
      <c r="E96" s="33"/>
      <c r="F96" s="85"/>
      <c r="G96" s="37"/>
      <c r="H96" s="313">
        <v>100.99</v>
      </c>
      <c r="I96" s="293"/>
      <c r="J96" s="313">
        <v>41.46</v>
      </c>
      <c r="K96" s="313">
        <v>37.31</v>
      </c>
    </row>
    <row r="97" spans="2:11">
      <c r="B97" s="33" t="s">
        <v>288</v>
      </c>
      <c r="C97" s="34" t="s">
        <v>289</v>
      </c>
      <c r="D97" s="33"/>
      <c r="E97" s="33"/>
      <c r="F97" s="85"/>
      <c r="G97" s="37"/>
      <c r="H97" s="313">
        <v>19.99</v>
      </c>
      <c r="I97" s="293"/>
      <c r="J97" s="313">
        <v>10.99</v>
      </c>
      <c r="K97" s="313">
        <v>9.89</v>
      </c>
    </row>
    <row r="98" spans="2:11">
      <c r="B98" s="33" t="s">
        <v>291</v>
      </c>
      <c r="C98" s="34" t="s">
        <v>292</v>
      </c>
      <c r="D98" s="33"/>
      <c r="E98" s="33"/>
      <c r="F98" s="85"/>
      <c r="G98" s="37"/>
      <c r="H98" s="313">
        <v>16.99</v>
      </c>
      <c r="I98" s="293"/>
      <c r="J98" s="313">
        <v>5.71</v>
      </c>
      <c r="K98" s="313">
        <v>5.14</v>
      </c>
    </row>
    <row r="99" spans="2:11">
      <c r="B99" s="33" t="s">
        <v>303</v>
      </c>
      <c r="C99" s="34" t="s">
        <v>304</v>
      </c>
      <c r="D99" s="33"/>
      <c r="E99" s="33"/>
      <c r="F99" s="85"/>
      <c r="G99" s="37"/>
      <c r="H99" s="313">
        <v>27.99</v>
      </c>
      <c r="I99" s="293"/>
      <c r="J99" s="313">
        <v>6.14</v>
      </c>
      <c r="K99" s="313">
        <v>5.52</v>
      </c>
    </row>
    <row r="100" spans="2:11">
      <c r="B100" s="33" t="s">
        <v>297</v>
      </c>
      <c r="C100" s="34" t="s">
        <v>298</v>
      </c>
      <c r="D100" s="33"/>
      <c r="E100" s="33"/>
      <c r="F100" s="85"/>
      <c r="G100" s="37"/>
      <c r="H100" s="313">
        <v>22.99</v>
      </c>
      <c r="I100" s="293"/>
      <c r="J100" s="313">
        <v>9.28</v>
      </c>
      <c r="K100" s="313">
        <v>8.35</v>
      </c>
    </row>
    <row r="101" spans="2:11">
      <c r="B101" s="33" t="s">
        <v>294</v>
      </c>
      <c r="C101" s="34" t="s">
        <v>295</v>
      </c>
      <c r="D101" s="33"/>
      <c r="E101" s="33"/>
      <c r="F101" s="85"/>
      <c r="G101" s="37"/>
      <c r="H101" s="313">
        <v>46.99</v>
      </c>
      <c r="I101" s="293"/>
      <c r="J101" s="313">
        <v>8.97</v>
      </c>
      <c r="K101" s="313">
        <v>8.07</v>
      </c>
    </row>
    <row r="102" spans="2:11">
      <c r="B102" s="33" t="s">
        <v>300</v>
      </c>
      <c r="C102" s="34" t="s">
        <v>301</v>
      </c>
      <c r="D102" s="33"/>
      <c r="E102" s="33"/>
      <c r="F102" s="85"/>
      <c r="G102" s="37"/>
      <c r="H102" s="313">
        <v>33.99</v>
      </c>
      <c r="I102" s="293"/>
      <c r="J102" s="313">
        <v>10</v>
      </c>
      <c r="K102" s="313">
        <v>9</v>
      </c>
    </row>
    <row r="103" spans="2:11">
      <c r="B103" s="33" t="s">
        <v>285</v>
      </c>
      <c r="C103" s="34" t="s">
        <v>286</v>
      </c>
      <c r="D103" s="33"/>
      <c r="E103" s="33"/>
      <c r="F103" s="85"/>
      <c r="G103" s="37"/>
      <c r="H103" s="313">
        <v>63.99</v>
      </c>
      <c r="I103" s="293"/>
      <c r="J103" s="313">
        <v>14.73</v>
      </c>
      <c r="K103" s="313">
        <v>13.26</v>
      </c>
    </row>
    <row r="104" spans="2:11">
      <c r="B104" s="33" t="s">
        <v>282</v>
      </c>
      <c r="C104" s="34" t="s">
        <v>283</v>
      </c>
      <c r="D104" s="33"/>
      <c r="E104" s="33"/>
      <c r="F104" s="85"/>
      <c r="G104" s="37"/>
      <c r="H104" s="313">
        <v>53.99</v>
      </c>
      <c r="I104" s="293"/>
      <c r="J104" s="313">
        <v>17.58</v>
      </c>
      <c r="K104" s="313">
        <v>15.82</v>
      </c>
    </row>
    <row r="105" spans="2:11">
      <c r="B105" s="33" t="s">
        <v>306</v>
      </c>
      <c r="C105" s="34" t="s">
        <v>307</v>
      </c>
      <c r="D105" s="33"/>
      <c r="E105" s="33"/>
      <c r="F105" s="85"/>
      <c r="G105" s="37"/>
      <c r="H105" s="313">
        <v>40.99</v>
      </c>
      <c r="I105" s="293"/>
      <c r="J105" s="313">
        <v>12.57</v>
      </c>
      <c r="K105" s="313">
        <v>11.32</v>
      </c>
    </row>
    <row r="106" spans="1:11">
      <c r="A106" s="2"/>
      <c r="B106" s="2"/>
      <c r="C106" s="2"/>
      <c r="D106" s="2"/>
      <c r="E106" s="2"/>
      <c r="F106" s="2"/>
      <c r="G106" s="8"/>
      <c r="H106" s="285"/>
      <c r="I106" s="285"/>
      <c r="J106" s="283"/>
      <c r="K106" s="283"/>
    </row>
    <row r="107" spans="2:11" customHeight="1">
      <c r="B107" s="20" t="s">
        <v>2013</v>
      </c>
      <c r="C107" s="309"/>
      <c r="D107" s="21"/>
      <c r="E107" s="21"/>
      <c r="F107" s="21"/>
      <c r="G107" s="21"/>
      <c r="H107" s="21"/>
      <c r="I107" s="21"/>
      <c r="J107" s="21"/>
      <c r="K107" s="47"/>
    </row>
    <row r="108" spans="2:11">
      <c r="B108" s="33" t="s">
        <v>2014</v>
      </c>
      <c r="C108" s="34" t="s">
        <v>384</v>
      </c>
      <c r="D108" s="33"/>
      <c r="E108" s="33"/>
      <c r="F108" s="85"/>
      <c r="G108" s="37"/>
      <c r="H108" s="313">
        <v>92</v>
      </c>
      <c r="I108" s="293"/>
      <c r="J108" s="313">
        <v>36.47</v>
      </c>
      <c r="K108" s="313">
        <v>32.82</v>
      </c>
    </row>
    <row r="109" spans="2:11">
      <c r="B109" s="33" t="s">
        <v>2015</v>
      </c>
      <c r="C109" s="34" t="s">
        <v>386</v>
      </c>
      <c r="D109" s="33"/>
      <c r="E109" s="33"/>
      <c r="F109" s="85"/>
      <c r="G109" s="37"/>
      <c r="H109" s="313">
        <v>105</v>
      </c>
      <c r="I109" s="293"/>
      <c r="J109" s="313">
        <v>45.96</v>
      </c>
      <c r="K109" s="313">
        <v>41.36</v>
      </c>
    </row>
    <row r="110" spans="2:11">
      <c r="B110" s="33" t="s">
        <v>2016</v>
      </c>
      <c r="C110" s="34" t="s">
        <v>388</v>
      </c>
      <c r="D110" s="33"/>
      <c r="E110" s="33"/>
      <c r="F110" s="85"/>
      <c r="G110" s="37"/>
      <c r="H110" s="313">
        <v>41</v>
      </c>
      <c r="I110" s="293"/>
      <c r="J110" s="313">
        <v>18.47</v>
      </c>
      <c r="K110" s="313">
        <v>16.62</v>
      </c>
    </row>
    <row r="111" spans="2:11">
      <c r="B111" s="33" t="s">
        <v>396</v>
      </c>
      <c r="C111" s="34" t="s">
        <v>397</v>
      </c>
      <c r="D111" s="33"/>
      <c r="E111" s="33"/>
      <c r="F111" s="85"/>
      <c r="G111" s="37"/>
      <c r="H111" s="313">
        <v>41</v>
      </c>
      <c r="I111" s="293"/>
      <c r="J111" s="313">
        <v>19.38</v>
      </c>
      <c r="K111" s="313">
        <v>17.44</v>
      </c>
    </row>
    <row r="112" spans="2:11">
      <c r="B112" s="33" t="s">
        <v>393</v>
      </c>
      <c r="C112" s="34" t="s">
        <v>394</v>
      </c>
      <c r="D112" s="33"/>
      <c r="E112" s="33"/>
      <c r="F112" s="85"/>
      <c r="G112" s="37"/>
      <c r="H112" s="313">
        <v>53</v>
      </c>
      <c r="I112" s="293"/>
      <c r="J112" s="313">
        <v>24.9</v>
      </c>
      <c r="K112" s="313">
        <v>22.41</v>
      </c>
    </row>
    <row r="113" spans="2:11">
      <c r="B113" s="33" t="s">
        <v>390</v>
      </c>
      <c r="C113" s="34" t="s">
        <v>391</v>
      </c>
      <c r="D113" s="33"/>
      <c r="E113" s="33"/>
      <c r="F113" s="85"/>
      <c r="G113" s="37"/>
      <c r="H113" s="313">
        <v>27</v>
      </c>
      <c r="I113" s="293"/>
      <c r="J113" s="313">
        <v>13.85</v>
      </c>
      <c r="K113" s="313">
        <v>12.46</v>
      </c>
    </row>
    <row r="114" spans="2:11">
      <c r="B114" s="33" t="s">
        <v>367</v>
      </c>
      <c r="C114" s="34" t="s">
        <v>368</v>
      </c>
      <c r="D114" s="33"/>
      <c r="E114" s="33"/>
      <c r="F114" s="85"/>
      <c r="G114" s="37"/>
      <c r="H114" s="313">
        <v>258</v>
      </c>
      <c r="I114" s="293"/>
      <c r="J114" s="313">
        <v>103.12</v>
      </c>
      <c r="K114" s="313">
        <v>92.8</v>
      </c>
    </row>
    <row r="115" spans="2:11">
      <c r="B115" s="33" t="s">
        <v>364</v>
      </c>
      <c r="C115" s="34" t="s">
        <v>365</v>
      </c>
      <c r="D115" s="33"/>
      <c r="E115" s="33"/>
      <c r="F115" s="85"/>
      <c r="G115" s="37"/>
      <c r="H115" s="313">
        <v>344</v>
      </c>
      <c r="I115" s="293"/>
      <c r="J115" s="313">
        <v>185.96</v>
      </c>
      <c r="K115" s="313">
        <v>167.36</v>
      </c>
    </row>
    <row r="116" spans="2:11">
      <c r="B116" s="33" t="s">
        <v>2017</v>
      </c>
      <c r="C116" s="34" t="s">
        <v>373</v>
      </c>
      <c r="D116" s="33"/>
      <c r="E116" s="33"/>
      <c r="F116" s="85"/>
      <c r="G116" s="37"/>
      <c r="H116" s="313">
        <v>381</v>
      </c>
      <c r="I116" s="293"/>
      <c r="J116" s="313">
        <v>208.78</v>
      </c>
      <c r="K116" s="313">
        <v>187.9</v>
      </c>
    </row>
    <row r="117" spans="2:11">
      <c r="B117" s="33" t="s">
        <v>361</v>
      </c>
      <c r="C117" s="34" t="s">
        <v>362</v>
      </c>
      <c r="D117" s="33"/>
      <c r="E117" s="33"/>
      <c r="F117" s="85"/>
      <c r="G117" s="37"/>
      <c r="H117" s="313">
        <v>307</v>
      </c>
      <c r="I117" s="293"/>
      <c r="J117" s="313">
        <v>168.53</v>
      </c>
      <c r="K117" s="313">
        <v>151.67</v>
      </c>
    </row>
    <row r="118" spans="2:11">
      <c r="B118" s="33" t="s">
        <v>358</v>
      </c>
      <c r="C118" s="34" t="s">
        <v>359</v>
      </c>
      <c r="D118" s="33"/>
      <c r="E118" s="33"/>
      <c r="F118" s="85"/>
      <c r="G118" s="37"/>
      <c r="H118" s="313">
        <v>369</v>
      </c>
      <c r="I118" s="293"/>
      <c r="J118" s="313">
        <v>192.25</v>
      </c>
      <c r="K118" s="313">
        <v>173.02</v>
      </c>
    </row>
    <row r="119" spans="2:11">
      <c r="B119" s="33" t="s">
        <v>2018</v>
      </c>
      <c r="C119" s="34" t="s">
        <v>375</v>
      </c>
      <c r="D119" s="33"/>
      <c r="E119" s="33"/>
      <c r="F119" s="85"/>
      <c r="G119" s="37"/>
      <c r="H119" s="313">
        <v>467</v>
      </c>
      <c r="I119" s="293"/>
      <c r="J119" s="313">
        <v>252.82</v>
      </c>
      <c r="K119" s="313">
        <v>227.54</v>
      </c>
    </row>
    <row r="120" spans="2:11">
      <c r="B120" s="33" t="s">
        <v>377</v>
      </c>
      <c r="C120" s="34" t="s">
        <v>378</v>
      </c>
      <c r="D120" s="33"/>
      <c r="E120" s="33"/>
      <c r="F120" s="85"/>
      <c r="G120" s="37"/>
      <c r="H120" s="313">
        <v>640</v>
      </c>
      <c r="I120" s="293"/>
      <c r="J120" s="313">
        <v>359.66</v>
      </c>
      <c r="K120" s="313">
        <v>323.69</v>
      </c>
    </row>
    <row r="121" spans="2:11">
      <c r="B121" s="33" t="s">
        <v>370</v>
      </c>
      <c r="C121" s="34" t="s">
        <v>371</v>
      </c>
      <c r="D121" s="33"/>
      <c r="E121" s="33"/>
      <c r="F121" s="85"/>
      <c r="G121" s="37"/>
      <c r="H121" s="313">
        <v>652</v>
      </c>
      <c r="I121" s="293"/>
      <c r="J121" s="313">
        <v>342.84</v>
      </c>
      <c r="K121" s="313">
        <v>308.55</v>
      </c>
    </row>
    <row r="122" spans="2:11">
      <c r="B122" s="33" t="s">
        <v>380</v>
      </c>
      <c r="C122" s="34" t="s">
        <v>381</v>
      </c>
      <c r="D122" s="33"/>
      <c r="E122" s="33"/>
      <c r="F122" s="85"/>
      <c r="G122" s="37"/>
      <c r="H122" s="313">
        <v>664</v>
      </c>
      <c r="I122" s="293"/>
      <c r="J122" s="313">
        <v>363.99</v>
      </c>
      <c r="K122" s="313">
        <v>327.59</v>
      </c>
    </row>
    <row r="123" spans="1:11">
      <c r="A123" s="2"/>
      <c r="B123" s="2"/>
      <c r="C123" s="2"/>
      <c r="D123" s="2"/>
      <c r="E123" s="2"/>
      <c r="F123" s="2"/>
      <c r="G123" s="8"/>
      <c r="H123" s="285"/>
      <c r="I123" s="285"/>
      <c r="J123" s="283"/>
      <c r="K123" s="283"/>
    </row>
    <row r="124" spans="2:11" ht="24" customHeight="1">
      <c r="B124" s="16"/>
      <c r="C124" s="17" t="s">
        <v>408</v>
      </c>
      <c r="D124" s="18"/>
      <c r="E124" s="18"/>
      <c r="F124" s="18"/>
      <c r="G124" s="284"/>
      <c r="H124" s="284"/>
      <c r="I124" s="284"/>
      <c r="J124" s="284"/>
      <c r="K124" s="286"/>
    </row>
    <row r="125" spans="2:11" customHeight="1">
      <c r="B125" s="20" t="s">
        <v>2019</v>
      </c>
      <c r="C125" s="309"/>
      <c r="D125" s="21"/>
      <c r="E125" s="21"/>
      <c r="F125" s="21"/>
      <c r="G125" s="21"/>
      <c r="H125" s="21"/>
      <c r="I125" s="21"/>
      <c r="J125" s="21"/>
      <c r="K125" s="47"/>
    </row>
    <row r="126" spans="2:11">
      <c r="B126" s="33" t="s">
        <v>440</v>
      </c>
      <c r="C126" s="34" t="s">
        <v>2020</v>
      </c>
      <c r="D126" s="33"/>
      <c r="E126" s="33"/>
      <c r="F126" s="85"/>
      <c r="G126" s="37"/>
      <c r="H126" s="313">
        <v>123</v>
      </c>
      <c r="I126" s="293"/>
      <c r="J126" s="313">
        <v>69.65</v>
      </c>
      <c r="K126" s="313">
        <v>62.69</v>
      </c>
    </row>
    <row r="127" spans="2:11">
      <c r="B127" s="33" t="s">
        <v>437</v>
      </c>
      <c r="C127" s="34" t="s">
        <v>2021</v>
      </c>
      <c r="D127" s="33"/>
      <c r="E127" s="33"/>
      <c r="F127" s="85"/>
      <c r="G127" s="37"/>
      <c r="H127" s="313">
        <v>234</v>
      </c>
      <c r="I127" s="293"/>
      <c r="J127" s="313">
        <v>126</v>
      </c>
      <c r="K127" s="313">
        <v>113.4</v>
      </c>
    </row>
    <row r="128" spans="2:11">
      <c r="B128" s="33" t="s">
        <v>434</v>
      </c>
      <c r="C128" s="34" t="s">
        <v>2022</v>
      </c>
      <c r="D128" s="33"/>
      <c r="E128" s="33"/>
      <c r="F128" s="85"/>
      <c r="G128" s="37"/>
      <c r="H128" s="313">
        <v>307</v>
      </c>
      <c r="I128" s="293"/>
      <c r="J128" s="313">
        <v>166.47</v>
      </c>
      <c r="K128" s="313">
        <v>149.82</v>
      </c>
    </row>
    <row r="129" spans="2:11">
      <c r="B129" s="33" t="s">
        <v>425</v>
      </c>
      <c r="C129" s="34" t="s">
        <v>426</v>
      </c>
      <c r="D129" s="33"/>
      <c r="E129" s="33"/>
      <c r="F129" s="85"/>
      <c r="G129" s="37"/>
      <c r="H129" s="313">
        <v>406</v>
      </c>
      <c r="I129" s="293"/>
      <c r="J129" s="313">
        <v>221.03</v>
      </c>
      <c r="K129" s="313">
        <v>198.93</v>
      </c>
    </row>
    <row r="130" spans="2:11">
      <c r="B130" s="33" t="s">
        <v>419</v>
      </c>
      <c r="C130" s="34" t="s">
        <v>420</v>
      </c>
      <c r="D130" s="33"/>
      <c r="E130" s="33"/>
      <c r="F130" s="85"/>
      <c r="G130" s="37"/>
      <c r="H130" s="313">
        <v>553</v>
      </c>
      <c r="I130" s="293"/>
      <c r="J130" s="313">
        <v>313.11</v>
      </c>
      <c r="K130" s="313">
        <v>281.8</v>
      </c>
    </row>
    <row r="131" spans="2:11">
      <c r="B131" s="33" t="s">
        <v>416</v>
      </c>
      <c r="C131" s="34" t="s">
        <v>417</v>
      </c>
      <c r="D131" s="33"/>
      <c r="E131" s="33"/>
      <c r="F131" s="85"/>
      <c r="G131" s="37"/>
      <c r="H131" s="313">
        <v>442</v>
      </c>
      <c r="I131" s="293"/>
      <c r="J131" s="313">
        <v>254.53</v>
      </c>
      <c r="K131" s="313">
        <v>229.08</v>
      </c>
    </row>
    <row r="132" spans="1:11">
      <c r="A132" s="2"/>
      <c r="B132" s="2"/>
      <c r="C132" s="2"/>
      <c r="D132" s="2"/>
      <c r="E132" s="2"/>
      <c r="F132" s="2"/>
      <c r="G132" s="8"/>
      <c r="H132" s="285"/>
      <c r="I132" s="285"/>
      <c r="J132" s="283"/>
      <c r="K132" s="283"/>
    </row>
    <row r="133" spans="2:11" customHeight="1">
      <c r="B133" s="20" t="s">
        <v>2023</v>
      </c>
      <c r="C133" s="309"/>
      <c r="D133" s="21"/>
      <c r="E133" s="21"/>
      <c r="F133" s="21"/>
      <c r="G133" s="21"/>
      <c r="H133" s="21"/>
      <c r="I133" s="21"/>
      <c r="J133" s="21"/>
      <c r="K133" s="47"/>
    </row>
    <row r="134" spans="2:11">
      <c r="B134" s="33" t="s">
        <v>447</v>
      </c>
      <c r="C134" s="34" t="s">
        <v>448</v>
      </c>
      <c r="D134" s="33"/>
      <c r="E134" s="33"/>
      <c r="F134" s="85"/>
      <c r="G134" s="37"/>
      <c r="H134" s="313">
        <v>49</v>
      </c>
      <c r="I134" s="293"/>
      <c r="J134" s="313">
        <v>26.24</v>
      </c>
      <c r="K134" s="313">
        <v>23.62</v>
      </c>
    </row>
    <row r="135" spans="2:11">
      <c r="B135" s="33" t="s">
        <v>450</v>
      </c>
      <c r="C135" s="34" t="s">
        <v>451</v>
      </c>
      <c r="D135" s="33"/>
      <c r="E135" s="33"/>
      <c r="F135" s="85"/>
      <c r="G135" s="37"/>
      <c r="H135" s="313">
        <v>98</v>
      </c>
      <c r="I135" s="293"/>
      <c r="J135" s="313">
        <v>50.38</v>
      </c>
      <c r="K135" s="313">
        <v>45.34</v>
      </c>
    </row>
    <row r="136" spans="2:11">
      <c r="B136" s="33" t="s">
        <v>453</v>
      </c>
      <c r="C136" s="34" t="s">
        <v>454</v>
      </c>
      <c r="D136" s="33"/>
      <c r="E136" s="33"/>
      <c r="F136" s="85"/>
      <c r="G136" s="37"/>
      <c r="H136" s="313">
        <v>21</v>
      </c>
      <c r="I136" s="293"/>
      <c r="J136" s="313">
        <v>11.01</v>
      </c>
      <c r="K136" s="313">
        <v>9.91</v>
      </c>
    </row>
    <row r="137" spans="1:11">
      <c r="A137" s="2"/>
      <c r="B137" s="2"/>
      <c r="C137" s="2"/>
      <c r="D137" s="2"/>
      <c r="E137" s="2"/>
      <c r="F137" s="2"/>
      <c r="G137" s="8"/>
      <c r="H137" s="285"/>
      <c r="I137" s="285"/>
      <c r="J137" s="283"/>
      <c r="K137" s="283"/>
    </row>
    <row r="138" spans="2:11" customHeight="1">
      <c r="B138" s="20" t="s">
        <v>2024</v>
      </c>
      <c r="C138" s="309"/>
      <c r="D138" s="21"/>
      <c r="E138" s="21"/>
      <c r="F138" s="21"/>
      <c r="G138" s="21"/>
      <c r="H138" s="21"/>
      <c r="I138" s="21"/>
      <c r="J138" s="21"/>
      <c r="K138" s="47"/>
    </row>
    <row r="139" spans="2:11">
      <c r="B139" s="33" t="s">
        <v>457</v>
      </c>
      <c r="C139" s="34" t="s">
        <v>458</v>
      </c>
      <c r="D139" s="33"/>
      <c r="E139" s="33"/>
      <c r="F139" s="85"/>
      <c r="G139" s="37"/>
      <c r="H139" s="313">
        <v>172</v>
      </c>
      <c r="I139" s="293"/>
      <c r="J139" s="313">
        <v>92.94</v>
      </c>
      <c r="K139" s="313">
        <v>83.65</v>
      </c>
    </row>
    <row r="140" spans="1:11">
      <c r="A140" s="2"/>
      <c r="B140" s="2"/>
      <c r="C140" s="2"/>
      <c r="D140" s="2"/>
      <c r="E140" s="2"/>
      <c r="F140" s="2"/>
      <c r="G140" s="8"/>
      <c r="H140" s="285"/>
      <c r="I140" s="285"/>
      <c r="J140" s="283"/>
      <c r="K140" s="283"/>
    </row>
    <row r="141" spans="2:11" customHeight="1">
      <c r="B141" s="20" t="s">
        <v>2025</v>
      </c>
      <c r="C141" s="309"/>
      <c r="D141" s="21"/>
      <c r="E141" s="21"/>
      <c r="F141" s="21"/>
      <c r="G141" s="21"/>
      <c r="H141" s="21"/>
      <c r="I141" s="21"/>
      <c r="J141" s="21"/>
      <c r="K141" s="47"/>
    </row>
    <row r="142" spans="2:11">
      <c r="B142" s="33" t="s">
        <v>479</v>
      </c>
      <c r="C142" s="34" t="s">
        <v>480</v>
      </c>
      <c r="D142" s="33"/>
      <c r="E142" s="33"/>
      <c r="F142" s="85"/>
      <c r="G142" s="37"/>
      <c r="H142" s="313">
        <v>154</v>
      </c>
      <c r="I142" s="293"/>
      <c r="J142" s="313">
        <v>87.45</v>
      </c>
      <c r="K142" s="313">
        <v>78.71</v>
      </c>
    </row>
    <row r="143" spans="2:11">
      <c r="B143" s="33" t="s">
        <v>476</v>
      </c>
      <c r="C143" s="34" t="s">
        <v>2026</v>
      </c>
      <c r="D143" s="33"/>
      <c r="E143" s="33"/>
      <c r="F143" s="85"/>
      <c r="G143" s="37"/>
      <c r="H143" s="313">
        <v>234</v>
      </c>
      <c r="I143" s="293"/>
      <c r="J143" s="313">
        <v>132.92</v>
      </c>
      <c r="K143" s="313">
        <v>119.63</v>
      </c>
    </row>
    <row r="144" spans="2:11">
      <c r="B144" s="33" t="s">
        <v>473</v>
      </c>
      <c r="C144" s="34" t="s">
        <v>2027</v>
      </c>
      <c r="D144" s="33"/>
      <c r="E144" s="33"/>
      <c r="F144" s="85"/>
      <c r="G144" s="37"/>
      <c r="H144" s="313">
        <v>307</v>
      </c>
      <c r="I144" s="293"/>
      <c r="J144" s="313">
        <v>174.3</v>
      </c>
      <c r="K144" s="313">
        <v>156.87</v>
      </c>
    </row>
    <row r="145" spans="2:11">
      <c r="B145" s="33" t="s">
        <v>470</v>
      </c>
      <c r="C145" s="34" t="s">
        <v>2028</v>
      </c>
      <c r="D145" s="33"/>
      <c r="E145" s="33"/>
      <c r="F145" s="85"/>
      <c r="G145" s="37"/>
      <c r="H145" s="313">
        <v>369</v>
      </c>
      <c r="I145" s="293"/>
      <c r="J145" s="313">
        <v>208.95</v>
      </c>
      <c r="K145" s="313">
        <v>188.06</v>
      </c>
    </row>
    <row r="146" spans="2:11">
      <c r="B146" s="33" t="s">
        <v>464</v>
      </c>
      <c r="C146" s="34" t="s">
        <v>465</v>
      </c>
      <c r="D146" s="33"/>
      <c r="E146" s="33"/>
      <c r="F146" s="85"/>
      <c r="G146" s="37"/>
      <c r="H146" s="313">
        <v>615</v>
      </c>
      <c r="I146" s="293"/>
      <c r="J146" s="313">
        <v>339.32</v>
      </c>
      <c r="K146" s="313">
        <v>305.39</v>
      </c>
    </row>
    <row r="147" spans="1:11">
      <c r="A147" s="2"/>
      <c r="B147" s="2"/>
      <c r="C147" s="2"/>
      <c r="D147" s="2"/>
      <c r="E147" s="2"/>
      <c r="F147" s="2"/>
      <c r="G147" s="8"/>
      <c r="H147" s="285"/>
      <c r="I147" s="285"/>
      <c r="J147" s="283"/>
      <c r="K147" s="283"/>
    </row>
    <row r="148" spans="2:11" customHeight="1">
      <c r="B148" s="20" t="s">
        <v>2029</v>
      </c>
      <c r="C148" s="309"/>
      <c r="D148" s="21"/>
      <c r="E148" s="21"/>
      <c r="F148" s="21"/>
      <c r="G148" s="21"/>
      <c r="H148" s="21"/>
      <c r="I148" s="21"/>
      <c r="J148" s="21"/>
      <c r="K148" s="47"/>
    </row>
    <row r="149" spans="2:11">
      <c r="B149" s="33" t="s">
        <v>488</v>
      </c>
      <c r="C149" s="34" t="s">
        <v>2030</v>
      </c>
      <c r="D149" s="33"/>
      <c r="E149" s="33"/>
      <c r="F149" s="85"/>
      <c r="G149" s="37"/>
      <c r="H149" s="313">
        <v>31</v>
      </c>
      <c r="I149" s="293"/>
      <c r="J149" s="313">
        <v>15.74</v>
      </c>
      <c r="K149" s="313">
        <v>14.17</v>
      </c>
    </row>
    <row r="150" spans="2:11">
      <c r="B150" s="33" t="s">
        <v>483</v>
      </c>
      <c r="C150" s="34" t="s">
        <v>484</v>
      </c>
      <c r="D150" s="33"/>
      <c r="E150" s="33"/>
      <c r="F150" s="85"/>
      <c r="G150" s="37"/>
      <c r="H150" s="313">
        <v>12</v>
      </c>
      <c r="I150" s="293"/>
      <c r="J150" s="313">
        <v>5.45</v>
      </c>
      <c r="K150" s="313">
        <v>4.91</v>
      </c>
    </row>
    <row r="151" spans="2:11">
      <c r="B151" s="33" t="s">
        <v>486</v>
      </c>
      <c r="C151" s="34" t="s">
        <v>487</v>
      </c>
      <c r="D151" s="33"/>
      <c r="E151" s="33"/>
      <c r="F151" s="85"/>
      <c r="G151" s="37"/>
      <c r="H151" s="313">
        <v>18</v>
      </c>
      <c r="I151" s="293"/>
      <c r="J151" s="313">
        <v>6.29</v>
      </c>
      <c r="K151" s="313">
        <v>5.66</v>
      </c>
    </row>
    <row r="152" spans="1:11">
      <c r="A152" s="2"/>
      <c r="B152" s="2"/>
      <c r="C152" s="2"/>
      <c r="D152" s="2"/>
      <c r="E152" s="2"/>
      <c r="F152" s="2"/>
      <c r="G152" s="8"/>
      <c r="H152" s="285"/>
      <c r="I152" s="285"/>
      <c r="J152" s="283"/>
      <c r="K152" s="283"/>
    </row>
    <row r="153" spans="2:11" ht="24" customHeight="1">
      <c r="B153" s="16"/>
      <c r="C153" s="17" t="s">
        <v>491</v>
      </c>
      <c r="D153" s="18"/>
      <c r="E153" s="18"/>
      <c r="F153" s="18"/>
      <c r="G153" s="284"/>
      <c r="H153" s="284"/>
      <c r="I153" s="284"/>
      <c r="J153" s="284"/>
      <c r="K153" s="286"/>
    </row>
    <row r="154" spans="2:11" customHeight="1">
      <c r="B154" s="20" t="s">
        <v>2031</v>
      </c>
      <c r="C154" s="309"/>
      <c r="D154" s="21"/>
      <c r="E154" s="21"/>
      <c r="F154" s="21"/>
      <c r="G154" s="21"/>
      <c r="H154" s="21"/>
      <c r="I154" s="21"/>
      <c r="J154" s="21"/>
      <c r="K154" s="47"/>
    </row>
    <row r="155" spans="2:11">
      <c r="B155" s="33" t="s">
        <v>2032</v>
      </c>
      <c r="C155" s="34" t="s">
        <v>500</v>
      </c>
      <c r="D155" s="33"/>
      <c r="E155" s="33"/>
      <c r="F155" s="85"/>
      <c r="G155" s="37"/>
      <c r="H155" s="313">
        <v>74</v>
      </c>
      <c r="I155" s="293"/>
      <c r="J155" s="313">
        <v>37.78</v>
      </c>
      <c r="K155" s="313">
        <v>34</v>
      </c>
    </row>
    <row r="156" spans="2:11">
      <c r="B156" s="33" t="s">
        <v>2033</v>
      </c>
      <c r="C156" s="34" t="s">
        <v>498</v>
      </c>
      <c r="D156" s="33"/>
      <c r="E156" s="33"/>
      <c r="F156" s="85"/>
      <c r="G156" s="37"/>
      <c r="H156" s="313">
        <v>104</v>
      </c>
      <c r="I156" s="293"/>
      <c r="J156" s="313">
        <v>53.54</v>
      </c>
      <c r="K156" s="313">
        <v>48.19</v>
      </c>
    </row>
    <row r="157" spans="2:11">
      <c r="B157" s="33" t="s">
        <v>2034</v>
      </c>
      <c r="C157" s="34" t="s">
        <v>497</v>
      </c>
      <c r="D157" s="33"/>
      <c r="E157" s="33"/>
      <c r="F157" s="85"/>
      <c r="G157" s="37"/>
      <c r="H157" s="313">
        <v>117</v>
      </c>
      <c r="I157" s="293"/>
      <c r="J157" s="313">
        <v>59.8</v>
      </c>
      <c r="K157" s="313">
        <v>53.82</v>
      </c>
    </row>
    <row r="158" spans="2:11">
      <c r="B158" s="33" t="s">
        <v>2035</v>
      </c>
      <c r="C158" s="34" t="s">
        <v>495</v>
      </c>
      <c r="D158" s="33"/>
      <c r="E158" s="33"/>
      <c r="F158" s="85"/>
      <c r="G158" s="37"/>
      <c r="H158" s="313">
        <v>123</v>
      </c>
      <c r="I158" s="293"/>
      <c r="J158" s="313">
        <v>62.95</v>
      </c>
      <c r="K158" s="313">
        <v>56.66</v>
      </c>
    </row>
    <row r="159" spans="2:11">
      <c r="B159" s="33" t="s">
        <v>2036</v>
      </c>
      <c r="C159" s="34" t="s">
        <v>493</v>
      </c>
      <c r="D159" s="33"/>
      <c r="E159" s="33"/>
      <c r="F159" s="85"/>
      <c r="G159" s="37"/>
      <c r="H159" s="313">
        <v>147</v>
      </c>
      <c r="I159" s="293"/>
      <c r="J159" s="313">
        <v>75.62</v>
      </c>
      <c r="K159" s="313">
        <v>68.06</v>
      </c>
    </row>
    <row r="160" spans="2:11">
      <c r="B160" s="33" t="s">
        <v>504</v>
      </c>
      <c r="C160" s="34" t="s">
        <v>2037</v>
      </c>
      <c r="D160" s="33"/>
      <c r="E160" s="33"/>
      <c r="F160" s="85"/>
      <c r="G160" s="37"/>
      <c r="H160" s="313">
        <v>12</v>
      </c>
      <c r="I160" s="293"/>
      <c r="J160" s="313">
        <v>3.44</v>
      </c>
      <c r="K160" s="313">
        <v>3.1</v>
      </c>
    </row>
    <row r="161" spans="2:11">
      <c r="B161" s="33" t="s">
        <v>502</v>
      </c>
      <c r="C161" s="34" t="s">
        <v>2038</v>
      </c>
      <c r="D161" s="33"/>
      <c r="E161" s="33"/>
      <c r="F161" s="85"/>
      <c r="G161" s="37"/>
      <c r="H161" s="313">
        <v>49</v>
      </c>
      <c r="I161" s="293"/>
      <c r="J161" s="313">
        <v>16.83</v>
      </c>
      <c r="K161" s="313">
        <v>15.15</v>
      </c>
    </row>
    <row r="162" spans="1:11">
      <c r="A162" s="2"/>
      <c r="B162" s="2"/>
      <c r="C162" s="2"/>
      <c r="D162" s="2"/>
      <c r="E162" s="2"/>
      <c r="F162" s="2"/>
      <c r="G162" s="8"/>
      <c r="H162" s="285"/>
      <c r="I162" s="285"/>
      <c r="J162" s="283"/>
      <c r="K162" s="283"/>
    </row>
    <row r="163" spans="2:11" customHeight="1">
      <c r="B163" s="20" t="s">
        <v>2039</v>
      </c>
      <c r="C163" s="309"/>
      <c r="D163" s="21"/>
      <c r="E163" s="21"/>
      <c r="F163" s="21"/>
      <c r="G163" s="21"/>
      <c r="H163" s="21"/>
      <c r="I163" s="21"/>
      <c r="J163" s="21"/>
      <c r="K163" s="47"/>
    </row>
    <row r="164" spans="2:11">
      <c r="B164" s="33" t="s">
        <v>511</v>
      </c>
      <c r="C164" s="34" t="s">
        <v>512</v>
      </c>
      <c r="D164" s="33"/>
      <c r="E164" s="33"/>
      <c r="F164" s="85"/>
      <c r="G164" s="37"/>
      <c r="H164" s="313">
        <v>49</v>
      </c>
      <c r="I164" s="293"/>
      <c r="J164" s="313">
        <v>23.09</v>
      </c>
      <c r="K164" s="313">
        <v>20.78</v>
      </c>
    </row>
    <row r="165" spans="2:11">
      <c r="B165" s="33" t="s">
        <v>509</v>
      </c>
      <c r="C165" s="34" t="s">
        <v>510</v>
      </c>
      <c r="D165" s="33"/>
      <c r="E165" s="33"/>
      <c r="F165" s="85"/>
      <c r="G165" s="37"/>
      <c r="H165" s="313">
        <v>61</v>
      </c>
      <c r="I165" s="293"/>
      <c r="J165" s="313">
        <v>32.91</v>
      </c>
      <c r="K165" s="313">
        <v>29.62</v>
      </c>
    </row>
    <row r="166" spans="2:11">
      <c r="B166" s="33" t="s">
        <v>507</v>
      </c>
      <c r="C166" s="34" t="s">
        <v>508</v>
      </c>
      <c r="D166" s="33"/>
      <c r="E166" s="33"/>
      <c r="F166" s="85"/>
      <c r="G166" s="37"/>
      <c r="H166" s="313">
        <v>80</v>
      </c>
      <c r="I166" s="293"/>
      <c r="J166" s="313">
        <v>45.03</v>
      </c>
      <c r="K166" s="313">
        <v>40.53</v>
      </c>
    </row>
    <row r="167" spans="2:11">
      <c r="B167" s="33" t="s">
        <v>513</v>
      </c>
      <c r="C167" s="34" t="s">
        <v>2040</v>
      </c>
      <c r="D167" s="33"/>
      <c r="E167" s="33"/>
      <c r="F167" s="85"/>
      <c r="G167" s="37"/>
      <c r="H167" s="313">
        <v>18</v>
      </c>
      <c r="I167" s="293"/>
      <c r="J167" s="313">
        <v>7.86</v>
      </c>
      <c r="K167" s="313">
        <v>7.07</v>
      </c>
    </row>
    <row r="168" spans="1:11">
      <c r="A168" s="2"/>
      <c r="B168" s="2"/>
      <c r="C168" s="2"/>
      <c r="D168" s="2"/>
      <c r="E168" s="2"/>
      <c r="F168" s="2"/>
      <c r="G168" s="8"/>
      <c r="H168" s="285"/>
      <c r="I168" s="285"/>
      <c r="J168" s="283"/>
      <c r="K168" s="283"/>
    </row>
    <row r="169" spans="2:11" customHeight="1">
      <c r="B169" s="20" t="s">
        <v>2041</v>
      </c>
      <c r="C169" s="309"/>
      <c r="D169" s="21"/>
      <c r="E169" s="21"/>
      <c r="F169" s="21"/>
      <c r="G169" s="21"/>
      <c r="H169" s="21"/>
      <c r="I169" s="21"/>
      <c r="J169" s="21"/>
      <c r="K169" s="47"/>
    </row>
    <row r="170" spans="2:11">
      <c r="B170" s="33" t="s">
        <v>2042</v>
      </c>
      <c r="C170" s="34"/>
      <c r="D170" s="33"/>
      <c r="E170" s="33"/>
      <c r="F170" s="85"/>
      <c r="G170" s="37"/>
      <c r="H170" s="313"/>
      <c r="I170" s="293"/>
      <c r="J170" s="313"/>
      <c r="K170" s="313"/>
    </row>
    <row r="171" spans="2:11">
      <c r="B171" s="33" t="s">
        <v>2043</v>
      </c>
      <c r="C171" s="34"/>
      <c r="D171" s="33"/>
      <c r="E171" s="33"/>
      <c r="F171" s="85"/>
      <c r="G171" s="37"/>
      <c r="H171" s="313"/>
      <c r="I171" s="293"/>
      <c r="J171" s="313"/>
      <c r="K171" s="313"/>
    </row>
    <row r="172" spans="2:11">
      <c r="B172" s="33" t="s">
        <v>517</v>
      </c>
      <c r="C172" s="34" t="s">
        <v>518</v>
      </c>
      <c r="D172" s="33"/>
      <c r="E172" s="33"/>
      <c r="F172" s="85"/>
      <c r="G172" s="37"/>
      <c r="H172" s="313">
        <v>25</v>
      </c>
      <c r="I172" s="293"/>
      <c r="J172" s="313">
        <v>11.54</v>
      </c>
      <c r="K172" s="313">
        <v>10.39</v>
      </c>
    </row>
    <row r="173" spans="2:11">
      <c r="B173" s="33" t="s">
        <v>534</v>
      </c>
      <c r="C173" s="34" t="s">
        <v>535</v>
      </c>
      <c r="D173" s="33"/>
      <c r="E173" s="33"/>
      <c r="F173" s="85"/>
      <c r="G173" s="37"/>
      <c r="H173" s="313">
        <v>5</v>
      </c>
      <c r="I173" s="293"/>
      <c r="J173" s="313">
        <v>2.04</v>
      </c>
      <c r="K173" s="313">
        <v>1.84</v>
      </c>
    </row>
    <row r="174" spans="2:11">
      <c r="B174" s="33" t="s">
        <v>538</v>
      </c>
      <c r="C174" s="34" t="s">
        <v>539</v>
      </c>
      <c r="D174" s="33"/>
      <c r="E174" s="33"/>
      <c r="F174" s="85"/>
      <c r="G174" s="37"/>
      <c r="H174" s="313">
        <v>11</v>
      </c>
      <c r="I174" s="293"/>
      <c r="J174" s="313">
        <v>4.5</v>
      </c>
      <c r="K174" s="313">
        <v>4.05</v>
      </c>
    </row>
    <row r="175" spans="2:11">
      <c r="B175" s="33" t="s">
        <v>520</v>
      </c>
      <c r="C175" s="34" t="s">
        <v>521</v>
      </c>
      <c r="D175" s="33"/>
      <c r="E175" s="33"/>
      <c r="F175" s="85"/>
      <c r="G175" s="37"/>
      <c r="H175" s="313">
        <v>31</v>
      </c>
      <c r="I175" s="293"/>
      <c r="J175" s="313">
        <v>11.54</v>
      </c>
      <c r="K175" s="313">
        <v>10.39</v>
      </c>
    </row>
    <row r="176" spans="2:11">
      <c r="B176" s="33" t="s">
        <v>523</v>
      </c>
      <c r="C176" s="34" t="s">
        <v>524</v>
      </c>
      <c r="D176" s="33"/>
      <c r="E176" s="33"/>
      <c r="F176" s="85"/>
      <c r="G176" s="37"/>
      <c r="H176" s="313">
        <v>37</v>
      </c>
      <c r="I176" s="293"/>
      <c r="J176" s="313">
        <v>12.59</v>
      </c>
      <c r="K176" s="313">
        <v>11.33</v>
      </c>
    </row>
    <row r="177" spans="2:11">
      <c r="B177" s="33" t="s">
        <v>543</v>
      </c>
      <c r="C177" s="34" t="s">
        <v>2044</v>
      </c>
      <c r="D177" s="33"/>
      <c r="E177" s="33"/>
      <c r="F177" s="85"/>
      <c r="G177" s="37"/>
      <c r="H177" s="313">
        <v>9</v>
      </c>
      <c r="I177" s="293"/>
      <c r="J177" s="313">
        <v>3.94</v>
      </c>
      <c r="K177" s="313">
        <v>3.55</v>
      </c>
    </row>
    <row r="178" spans="2:11">
      <c r="B178" s="33" t="s">
        <v>546</v>
      </c>
      <c r="C178" s="34" t="s">
        <v>2045</v>
      </c>
      <c r="D178" s="33"/>
      <c r="E178" s="33"/>
      <c r="F178" s="85"/>
      <c r="G178" s="37"/>
      <c r="H178" s="313">
        <v>9</v>
      </c>
      <c r="I178" s="293"/>
      <c r="J178" s="313">
        <v>3.94</v>
      </c>
      <c r="K178" s="313">
        <v>3.55</v>
      </c>
    </row>
    <row r="179" spans="2:11">
      <c r="B179" s="33" t="s">
        <v>2046</v>
      </c>
      <c r="C179" s="34" t="s">
        <v>2047</v>
      </c>
      <c r="D179" s="33"/>
      <c r="E179" s="33"/>
      <c r="F179" s="85"/>
      <c r="G179" s="37"/>
      <c r="H179" s="313">
        <v>16</v>
      </c>
      <c r="I179" s="293"/>
      <c r="J179" s="313">
        <v>6.83</v>
      </c>
      <c r="K179" s="313">
        <v>6.15</v>
      </c>
    </row>
    <row r="180" spans="2:11">
      <c r="B180" s="33" t="s">
        <v>561</v>
      </c>
      <c r="C180" s="34" t="s">
        <v>2048</v>
      </c>
      <c r="D180" s="33"/>
      <c r="E180" s="33"/>
      <c r="F180" s="85"/>
      <c r="G180" s="37"/>
      <c r="H180" s="313">
        <v>23</v>
      </c>
      <c r="I180" s="293"/>
      <c r="J180" s="313">
        <v>9.98</v>
      </c>
      <c r="K180" s="313">
        <v>8.98</v>
      </c>
    </row>
    <row r="181" spans="2:11">
      <c r="B181" s="33" t="s">
        <v>558</v>
      </c>
      <c r="C181" s="34" t="s">
        <v>2049</v>
      </c>
      <c r="D181" s="33"/>
      <c r="E181" s="33"/>
      <c r="F181" s="85"/>
      <c r="G181" s="37"/>
      <c r="H181" s="313">
        <v>26</v>
      </c>
      <c r="I181" s="293"/>
      <c r="J181" s="313">
        <v>11.03</v>
      </c>
      <c r="K181" s="313">
        <v>9.93</v>
      </c>
    </row>
    <row r="182" spans="2:11">
      <c r="B182" s="33" t="s">
        <v>549</v>
      </c>
      <c r="C182" s="34" t="s">
        <v>2050</v>
      </c>
      <c r="D182" s="33"/>
      <c r="E182" s="33"/>
      <c r="F182" s="85"/>
      <c r="G182" s="37"/>
      <c r="H182" s="313">
        <v>17</v>
      </c>
      <c r="I182" s="293"/>
      <c r="J182" s="313">
        <v>7.35</v>
      </c>
      <c r="K182" s="313">
        <v>6.62</v>
      </c>
    </row>
    <row r="183" spans="2:11">
      <c r="B183" s="33" t="s">
        <v>552</v>
      </c>
      <c r="C183" s="34" t="s">
        <v>2051</v>
      </c>
      <c r="D183" s="33"/>
      <c r="E183" s="33"/>
      <c r="F183" s="85"/>
      <c r="G183" s="37"/>
      <c r="H183" s="313">
        <v>20</v>
      </c>
      <c r="I183" s="293"/>
      <c r="J183" s="313">
        <v>8.4</v>
      </c>
      <c r="K183" s="313">
        <v>7.56</v>
      </c>
    </row>
    <row r="184" spans="2:11">
      <c r="B184" s="33" t="s">
        <v>555</v>
      </c>
      <c r="C184" s="34" t="s">
        <v>2052</v>
      </c>
      <c r="D184" s="33"/>
      <c r="E184" s="33"/>
      <c r="F184" s="85"/>
      <c r="G184" s="37"/>
      <c r="H184" s="313">
        <v>16</v>
      </c>
      <c r="I184" s="293"/>
      <c r="J184" s="313">
        <v>6.83</v>
      </c>
      <c r="K184" s="313">
        <v>6.15</v>
      </c>
    </row>
    <row r="185" spans="2:11">
      <c r="B185" s="33" t="s">
        <v>2053</v>
      </c>
      <c r="C185" s="34" t="s">
        <v>2054</v>
      </c>
      <c r="D185" s="33"/>
      <c r="E185" s="33"/>
      <c r="F185" s="85"/>
      <c r="G185" s="37"/>
      <c r="H185" s="313">
        <v>8</v>
      </c>
      <c r="I185" s="293"/>
      <c r="J185" s="313">
        <v>3.41</v>
      </c>
      <c r="K185" s="313">
        <v>3.07</v>
      </c>
    </row>
    <row r="186" spans="2:11">
      <c r="B186" s="33" t="s">
        <v>2055</v>
      </c>
      <c r="C186" s="34" t="s">
        <v>2056</v>
      </c>
      <c r="D186" s="33"/>
      <c r="E186" s="33"/>
      <c r="F186" s="85"/>
      <c r="G186" s="37"/>
      <c r="H186" s="313">
        <v>8</v>
      </c>
      <c r="I186" s="293"/>
      <c r="J186" s="313">
        <v>3.41</v>
      </c>
      <c r="K186" s="313">
        <v>3.07</v>
      </c>
    </row>
    <row r="187" spans="2:11">
      <c r="B187" s="33" t="s">
        <v>2057</v>
      </c>
      <c r="C187" s="34" t="s">
        <v>2058</v>
      </c>
      <c r="D187" s="33"/>
      <c r="E187" s="33"/>
      <c r="F187" s="85"/>
      <c r="G187" s="37"/>
      <c r="H187" s="313">
        <v>17</v>
      </c>
      <c r="I187" s="293"/>
      <c r="J187" s="313">
        <v>7.35</v>
      </c>
      <c r="K187" s="313">
        <v>6.62</v>
      </c>
    </row>
    <row r="188" spans="2:11">
      <c r="B188" s="33" t="s">
        <v>2059</v>
      </c>
      <c r="C188" s="34" t="s">
        <v>526</v>
      </c>
      <c r="D188" s="33"/>
      <c r="E188" s="33"/>
      <c r="F188" s="85"/>
      <c r="G188" s="37"/>
      <c r="H188" s="313">
        <v>14</v>
      </c>
      <c r="I188" s="293"/>
      <c r="J188" s="313">
        <v>5.88</v>
      </c>
      <c r="K188" s="313">
        <v>5.29</v>
      </c>
    </row>
    <row r="189" spans="2:11">
      <c r="B189" s="33" t="s">
        <v>2060</v>
      </c>
      <c r="C189" s="34" t="s">
        <v>528</v>
      </c>
      <c r="D189" s="33"/>
      <c r="E189" s="33"/>
      <c r="F189" s="85"/>
      <c r="G189" s="37"/>
      <c r="H189" s="313">
        <v>31</v>
      </c>
      <c r="I189" s="293"/>
      <c r="J189" s="313">
        <v>10.75</v>
      </c>
      <c r="K189" s="313">
        <v>9.68</v>
      </c>
    </row>
    <row r="190" spans="2:11">
      <c r="B190" s="33" t="s">
        <v>2061</v>
      </c>
      <c r="C190" s="34" t="s">
        <v>530</v>
      </c>
      <c r="D190" s="33"/>
      <c r="E190" s="33"/>
      <c r="F190" s="85"/>
      <c r="G190" s="37"/>
      <c r="H190" s="313">
        <v>29</v>
      </c>
      <c r="I190" s="293"/>
      <c r="J190" s="313">
        <v>11.11</v>
      </c>
      <c r="K190" s="313">
        <v>10</v>
      </c>
    </row>
    <row r="191" spans="2:11">
      <c r="B191" s="33" t="s">
        <v>2062</v>
      </c>
      <c r="C191" s="34" t="s">
        <v>532</v>
      </c>
      <c r="D191" s="33"/>
      <c r="E191" s="33"/>
      <c r="F191" s="85"/>
      <c r="G191" s="37"/>
      <c r="H191" s="313">
        <v>27</v>
      </c>
      <c r="I191" s="293"/>
      <c r="J191" s="313">
        <v>11.11</v>
      </c>
      <c r="K191" s="313">
        <v>10</v>
      </c>
    </row>
    <row r="192" spans="1:11">
      <c r="A192" s="2"/>
      <c r="B192" s="2"/>
      <c r="C192" s="2"/>
      <c r="D192" s="2"/>
      <c r="E192" s="2"/>
      <c r="F192" s="2"/>
      <c r="G192" s="8"/>
      <c r="H192" s="285"/>
      <c r="I192" s="285"/>
      <c r="J192" s="283"/>
      <c r="K192" s="283"/>
    </row>
    <row r="193" spans="2:11" customHeight="1">
      <c r="B193" s="20" t="s">
        <v>2063</v>
      </c>
      <c r="C193" s="309"/>
      <c r="D193" s="21"/>
      <c r="E193" s="21"/>
      <c r="F193" s="21"/>
      <c r="G193" s="21"/>
      <c r="H193" s="21"/>
      <c r="I193" s="21"/>
      <c r="J193" s="21"/>
      <c r="K193" s="47"/>
    </row>
    <row r="194" spans="2:11">
      <c r="B194" s="33" t="s">
        <v>574</v>
      </c>
      <c r="C194" s="34" t="s">
        <v>575</v>
      </c>
      <c r="D194" s="33"/>
      <c r="E194" s="33"/>
      <c r="F194" s="85"/>
      <c r="G194" s="37"/>
      <c r="H194" s="313">
        <v>37</v>
      </c>
      <c r="I194" s="293"/>
      <c r="J194" s="313">
        <v>13.11</v>
      </c>
      <c r="K194" s="313">
        <v>11.8</v>
      </c>
    </row>
    <row r="195" spans="2:11">
      <c r="B195" s="33" t="s">
        <v>571</v>
      </c>
      <c r="C195" s="34" t="s">
        <v>572</v>
      </c>
      <c r="D195" s="33"/>
      <c r="E195" s="33"/>
      <c r="F195" s="85"/>
      <c r="G195" s="37"/>
      <c r="H195" s="313">
        <v>31</v>
      </c>
      <c r="I195" s="293"/>
      <c r="J195" s="313">
        <v>11.85</v>
      </c>
      <c r="K195" s="313">
        <v>10.67</v>
      </c>
    </row>
    <row r="196" spans="2:11">
      <c r="B196" s="33" t="s">
        <v>579</v>
      </c>
      <c r="C196" s="34" t="s">
        <v>2064</v>
      </c>
      <c r="D196" s="33"/>
      <c r="E196" s="33"/>
      <c r="F196" s="85"/>
      <c r="G196" s="37"/>
      <c r="H196" s="313">
        <v>17</v>
      </c>
      <c r="I196" s="293"/>
      <c r="J196" s="313">
        <v>7.35</v>
      </c>
      <c r="K196" s="313">
        <v>6.62</v>
      </c>
    </row>
    <row r="197" spans="2:11">
      <c r="B197" s="33" t="s">
        <v>577</v>
      </c>
      <c r="C197" s="34" t="s">
        <v>578</v>
      </c>
      <c r="D197" s="33"/>
      <c r="E197" s="33"/>
      <c r="F197" s="85"/>
      <c r="G197" s="37"/>
      <c r="H197" s="313">
        <v>37</v>
      </c>
      <c r="I197" s="293"/>
      <c r="J197" s="313">
        <v>18.89</v>
      </c>
      <c r="K197" s="313">
        <v>17</v>
      </c>
    </row>
    <row r="198" spans="1:11">
      <c r="A198" s="2"/>
      <c r="B198" s="2"/>
      <c r="C198" s="2"/>
      <c r="D198" s="2"/>
      <c r="E198" s="2"/>
      <c r="F198" s="2"/>
      <c r="G198" s="8"/>
      <c r="H198" s="285"/>
      <c r="I198" s="285"/>
      <c r="J198" s="283"/>
      <c r="K198" s="283"/>
    </row>
    <row r="199" spans="2:11" customHeight="1">
      <c r="B199" s="20" t="s">
        <v>2065</v>
      </c>
      <c r="C199" s="309"/>
      <c r="D199" s="21"/>
      <c r="E199" s="21"/>
      <c r="F199" s="21"/>
      <c r="G199" s="21"/>
      <c r="H199" s="21"/>
      <c r="I199" s="21"/>
      <c r="J199" s="21"/>
      <c r="K199" s="47"/>
    </row>
    <row r="200" spans="2:11">
      <c r="B200" s="33" t="s">
        <v>777</v>
      </c>
      <c r="C200" s="34" t="s">
        <v>2066</v>
      </c>
      <c r="D200" s="33"/>
      <c r="E200" s="33"/>
      <c r="F200" s="85"/>
      <c r="G200" s="37"/>
      <c r="H200" s="313">
        <v>10</v>
      </c>
      <c r="I200" s="293"/>
      <c r="J200" s="313">
        <v>5.78</v>
      </c>
      <c r="K200" s="313">
        <v>5.2</v>
      </c>
    </row>
    <row r="201" spans="2:11">
      <c r="B201" s="33" t="s">
        <v>640</v>
      </c>
      <c r="C201" s="34" t="s">
        <v>2067</v>
      </c>
      <c r="D201" s="33"/>
      <c r="E201" s="33"/>
      <c r="F201" s="85"/>
      <c r="G201" s="37"/>
      <c r="H201" s="313">
        <v>25</v>
      </c>
      <c r="I201" s="293"/>
      <c r="J201" s="313">
        <v>11.55</v>
      </c>
      <c r="K201" s="313">
        <v>10.4</v>
      </c>
    </row>
    <row r="202" spans="2:11">
      <c r="B202" s="33" t="s">
        <v>607</v>
      </c>
      <c r="C202" s="34" t="s">
        <v>608</v>
      </c>
      <c r="D202" s="33"/>
      <c r="E202" s="33"/>
      <c r="F202" s="85"/>
      <c r="G202" s="37"/>
      <c r="H202" s="313">
        <v>10</v>
      </c>
      <c r="I202" s="293"/>
      <c r="J202" s="313">
        <v>3.95</v>
      </c>
      <c r="K202" s="313">
        <v>3.56</v>
      </c>
    </row>
    <row r="203" spans="2:11">
      <c r="B203" s="33" t="s">
        <v>622</v>
      </c>
      <c r="C203" s="34" t="s">
        <v>2068</v>
      </c>
      <c r="D203" s="33"/>
      <c r="E203" s="33"/>
      <c r="F203" s="85"/>
      <c r="G203" s="37"/>
      <c r="H203" s="313">
        <v>25</v>
      </c>
      <c r="I203" s="293"/>
      <c r="J203" s="313">
        <v>10.5</v>
      </c>
      <c r="K203" s="313">
        <v>9.45</v>
      </c>
    </row>
    <row r="204" spans="2:11">
      <c r="B204" s="33" t="s">
        <v>604</v>
      </c>
      <c r="C204" s="34" t="s">
        <v>605</v>
      </c>
      <c r="D204" s="33"/>
      <c r="E204" s="33"/>
      <c r="F204" s="85"/>
      <c r="G204" s="37"/>
      <c r="H204" s="313">
        <v>25</v>
      </c>
      <c r="I204" s="293"/>
      <c r="J204" s="313">
        <v>9.96</v>
      </c>
      <c r="K204" s="313">
        <v>8.96</v>
      </c>
    </row>
    <row r="205" spans="2:11">
      <c r="B205" s="33" t="s">
        <v>601</v>
      </c>
      <c r="C205" s="34" t="s">
        <v>602</v>
      </c>
      <c r="D205" s="33"/>
      <c r="E205" s="33"/>
      <c r="F205" s="85"/>
      <c r="G205" s="37"/>
      <c r="H205" s="313">
        <v>37</v>
      </c>
      <c r="I205" s="293"/>
      <c r="J205" s="313">
        <v>13.63</v>
      </c>
      <c r="K205" s="313">
        <v>12.27</v>
      </c>
    </row>
    <row r="206" spans="2:11">
      <c r="B206" s="33" t="s">
        <v>598</v>
      </c>
      <c r="C206" s="34" t="s">
        <v>599</v>
      </c>
      <c r="D206" s="33"/>
      <c r="E206" s="33"/>
      <c r="F206" s="85"/>
      <c r="G206" s="37"/>
      <c r="H206" s="313">
        <v>25</v>
      </c>
      <c r="I206" s="293"/>
      <c r="J206" s="313">
        <v>10.46</v>
      </c>
      <c r="K206" s="313">
        <v>9.41</v>
      </c>
    </row>
    <row r="207" spans="2:11">
      <c r="B207" s="33" t="s">
        <v>595</v>
      </c>
      <c r="C207" s="34" t="s">
        <v>596</v>
      </c>
      <c r="D207" s="33"/>
      <c r="E207" s="33"/>
      <c r="F207" s="85"/>
      <c r="G207" s="37"/>
      <c r="H207" s="313">
        <v>20</v>
      </c>
      <c r="I207" s="293"/>
      <c r="J207" s="313">
        <v>8.35</v>
      </c>
      <c r="K207" s="313">
        <v>7.52</v>
      </c>
    </row>
    <row r="208" spans="2:11">
      <c r="B208" s="33" t="s">
        <v>592</v>
      </c>
      <c r="C208" s="34" t="s">
        <v>593</v>
      </c>
      <c r="D208" s="33"/>
      <c r="E208" s="33"/>
      <c r="F208" s="85"/>
      <c r="G208" s="37"/>
      <c r="H208" s="313">
        <v>17</v>
      </c>
      <c r="I208" s="293"/>
      <c r="J208" s="313">
        <v>7.23</v>
      </c>
      <c r="K208" s="313">
        <v>6.51</v>
      </c>
    </row>
    <row r="209" spans="2:11">
      <c r="B209" s="33" t="s">
        <v>583</v>
      </c>
      <c r="C209" s="34" t="s">
        <v>584</v>
      </c>
      <c r="D209" s="33"/>
      <c r="E209" s="33"/>
      <c r="F209" s="85"/>
      <c r="G209" s="37"/>
      <c r="H209" s="313">
        <v>74</v>
      </c>
      <c r="I209" s="293"/>
      <c r="J209" s="313">
        <v>34.11</v>
      </c>
      <c r="K209" s="313">
        <v>30.7</v>
      </c>
    </row>
    <row r="210" spans="2:11">
      <c r="B210" s="33" t="s">
        <v>586</v>
      </c>
      <c r="C210" s="34" t="s">
        <v>587</v>
      </c>
      <c r="D210" s="33"/>
      <c r="E210" s="33"/>
      <c r="F210" s="85"/>
      <c r="G210" s="37"/>
      <c r="H210" s="313">
        <v>37</v>
      </c>
      <c r="I210" s="293"/>
      <c r="J210" s="313">
        <v>15.21</v>
      </c>
      <c r="K210" s="313">
        <v>13.69</v>
      </c>
    </row>
    <row r="211" spans="2:11">
      <c r="B211" s="33" t="s">
        <v>625</v>
      </c>
      <c r="C211" s="34" t="s">
        <v>2069</v>
      </c>
      <c r="D211" s="33"/>
      <c r="E211" s="33"/>
      <c r="F211" s="85"/>
      <c r="G211" s="37"/>
      <c r="H211" s="313">
        <v>20</v>
      </c>
      <c r="I211" s="293"/>
      <c r="J211" s="313">
        <v>8.4</v>
      </c>
      <c r="K211" s="313">
        <v>7.56</v>
      </c>
    </row>
    <row r="212" spans="2:11">
      <c r="B212" s="33" t="s">
        <v>589</v>
      </c>
      <c r="C212" s="34" t="s">
        <v>590</v>
      </c>
      <c r="D212" s="33"/>
      <c r="E212" s="33"/>
      <c r="F212" s="85"/>
      <c r="G212" s="37"/>
      <c r="H212" s="313">
        <v>15</v>
      </c>
      <c r="I212" s="293"/>
      <c r="J212" s="313">
        <v>6.08</v>
      </c>
      <c r="K212" s="313">
        <v>5.47</v>
      </c>
    </row>
    <row r="213" spans="2:11">
      <c r="B213" s="33" t="s">
        <v>628</v>
      </c>
      <c r="C213" s="34" t="s">
        <v>2070</v>
      </c>
      <c r="D213" s="33"/>
      <c r="E213" s="33"/>
      <c r="F213" s="85"/>
      <c r="G213" s="37"/>
      <c r="H213" s="313">
        <v>12</v>
      </c>
      <c r="I213" s="293"/>
      <c r="J213" s="313">
        <v>7.35</v>
      </c>
      <c r="K213" s="313">
        <v>6.62</v>
      </c>
    </row>
    <row r="214" spans="2:11">
      <c r="B214" s="33" t="s">
        <v>631</v>
      </c>
      <c r="C214" s="34" t="s">
        <v>2071</v>
      </c>
      <c r="D214" s="33"/>
      <c r="E214" s="33"/>
      <c r="F214" s="85"/>
      <c r="G214" s="37"/>
      <c r="H214" s="313">
        <v>20</v>
      </c>
      <c r="I214" s="293"/>
      <c r="J214" s="313">
        <v>8.4</v>
      </c>
      <c r="K214" s="313">
        <v>7.56</v>
      </c>
    </row>
    <row r="215" spans="2:11">
      <c r="B215" s="33" t="s">
        <v>634</v>
      </c>
      <c r="C215" s="34" t="s">
        <v>2072</v>
      </c>
      <c r="D215" s="33"/>
      <c r="E215" s="33"/>
      <c r="F215" s="85"/>
      <c r="G215" s="37"/>
      <c r="H215" s="313">
        <v>49</v>
      </c>
      <c r="I215" s="293"/>
      <c r="J215" s="313">
        <v>27.83</v>
      </c>
      <c r="K215" s="313">
        <v>25.05</v>
      </c>
    </row>
    <row r="216" spans="2:11">
      <c r="B216" s="33" t="s">
        <v>610</v>
      </c>
      <c r="C216" s="34" t="s">
        <v>611</v>
      </c>
      <c r="D216" s="33"/>
      <c r="E216" s="33"/>
      <c r="F216" s="85"/>
      <c r="G216" s="37"/>
      <c r="H216" s="313">
        <v>5</v>
      </c>
      <c r="I216" s="293"/>
      <c r="J216" s="313">
        <v>2.04</v>
      </c>
      <c r="K216" s="313">
        <v>1.84</v>
      </c>
    </row>
    <row r="217" spans="2:11">
      <c r="B217" s="33" t="s">
        <v>613</v>
      </c>
      <c r="C217" s="34" t="s">
        <v>614</v>
      </c>
      <c r="D217" s="33"/>
      <c r="E217" s="33"/>
      <c r="F217" s="85"/>
      <c r="G217" s="37"/>
      <c r="H217" s="313">
        <v>5</v>
      </c>
      <c r="I217" s="293"/>
      <c r="J217" s="313">
        <v>2.04</v>
      </c>
      <c r="K217" s="313">
        <v>1.84</v>
      </c>
    </row>
    <row r="218" spans="2:11">
      <c r="B218" s="33" t="s">
        <v>616</v>
      </c>
      <c r="C218" s="34" t="s">
        <v>617</v>
      </c>
      <c r="D218" s="33"/>
      <c r="E218" s="33"/>
      <c r="F218" s="85"/>
      <c r="G218" s="37"/>
      <c r="H218" s="313">
        <v>5</v>
      </c>
      <c r="I218" s="293"/>
      <c r="J218" s="313">
        <v>2.04</v>
      </c>
      <c r="K218" s="313">
        <v>1.84</v>
      </c>
    </row>
    <row r="219" spans="2:11">
      <c r="B219" s="33" t="s">
        <v>637</v>
      </c>
      <c r="C219" s="34" t="s">
        <v>2073</v>
      </c>
      <c r="D219" s="33"/>
      <c r="E219" s="33"/>
      <c r="F219" s="85"/>
      <c r="G219" s="37"/>
      <c r="H219" s="313">
        <v>10</v>
      </c>
      <c r="I219" s="293"/>
      <c r="J219" s="313">
        <v>10.5</v>
      </c>
      <c r="K219" s="313">
        <v>9.45</v>
      </c>
    </row>
    <row r="220" spans="2:11">
      <c r="B220" s="33" t="s">
        <v>619</v>
      </c>
      <c r="C220" s="34" t="s">
        <v>620</v>
      </c>
      <c r="D220" s="33"/>
      <c r="E220" s="33"/>
      <c r="F220" s="85"/>
      <c r="G220" s="37"/>
      <c r="H220" s="313">
        <v>11</v>
      </c>
      <c r="I220" s="293"/>
      <c r="J220" s="313">
        <v>4.73</v>
      </c>
      <c r="K220" s="313">
        <v>4.26</v>
      </c>
    </row>
    <row r="221" spans="1:11">
      <c r="A221" s="2"/>
      <c r="B221" s="2"/>
      <c r="C221" s="2"/>
      <c r="D221" s="2"/>
      <c r="E221" s="2"/>
      <c r="F221" s="2"/>
      <c r="G221" s="8"/>
      <c r="H221" s="285"/>
      <c r="I221" s="285"/>
      <c r="J221" s="283"/>
      <c r="K221" s="283"/>
    </row>
    <row r="222" spans="2:11" customHeight="1">
      <c r="B222" s="20" t="s">
        <v>2074</v>
      </c>
      <c r="C222" s="309"/>
      <c r="D222" s="21"/>
      <c r="E222" s="21"/>
      <c r="F222" s="21"/>
      <c r="G222" s="21"/>
      <c r="H222" s="21"/>
      <c r="I222" s="21"/>
      <c r="J222" s="21"/>
      <c r="K222" s="47"/>
    </row>
    <row r="223" spans="2:11">
      <c r="B223" s="33" t="s">
        <v>2075</v>
      </c>
      <c r="C223" s="34"/>
      <c r="D223" s="33"/>
      <c r="E223" s="33"/>
      <c r="F223" s="85"/>
      <c r="G223" s="37"/>
      <c r="H223" s="313"/>
      <c r="I223" s="293"/>
      <c r="J223" s="313"/>
      <c r="K223" s="313"/>
    </row>
    <row r="224" spans="2:11">
      <c r="B224" s="33" t="s">
        <v>2076</v>
      </c>
      <c r="C224" s="34"/>
      <c r="D224" s="33"/>
      <c r="E224" s="33"/>
      <c r="F224" s="85"/>
      <c r="G224" s="37"/>
      <c r="H224" s="313"/>
      <c r="I224" s="293"/>
      <c r="J224" s="313"/>
      <c r="K224" s="313"/>
    </row>
    <row r="225" spans="2:11">
      <c r="B225" s="33" t="s">
        <v>644</v>
      </c>
      <c r="C225" s="34" t="s">
        <v>645</v>
      </c>
      <c r="D225" s="33"/>
      <c r="E225" s="33"/>
      <c r="F225" s="85"/>
      <c r="G225" s="37"/>
      <c r="H225" s="313">
        <v>12</v>
      </c>
      <c r="I225" s="293"/>
      <c r="J225" s="313">
        <v>5.17</v>
      </c>
      <c r="K225" s="313">
        <v>4.65</v>
      </c>
    </row>
    <row r="226" spans="2:11">
      <c r="B226" s="33" t="s">
        <v>647</v>
      </c>
      <c r="C226" s="34" t="s">
        <v>648</v>
      </c>
      <c r="D226" s="33"/>
      <c r="E226" s="33"/>
      <c r="F226" s="85"/>
      <c r="G226" s="37"/>
      <c r="H226" s="313">
        <v>12</v>
      </c>
      <c r="I226" s="293"/>
      <c r="J226" s="313">
        <v>5.01</v>
      </c>
      <c r="K226" s="313">
        <v>4.51</v>
      </c>
    </row>
    <row r="227" spans="2:11">
      <c r="B227" s="33" t="s">
        <v>650</v>
      </c>
      <c r="C227" s="34" t="s">
        <v>651</v>
      </c>
      <c r="D227" s="33"/>
      <c r="E227" s="33"/>
      <c r="F227" s="85"/>
      <c r="G227" s="37"/>
      <c r="H227" s="313">
        <v>5</v>
      </c>
      <c r="I227" s="293"/>
      <c r="J227" s="313">
        <v>2.12</v>
      </c>
      <c r="K227" s="313">
        <v>1.91</v>
      </c>
    </row>
    <row r="228" spans="2:11">
      <c r="B228" s="33" t="s">
        <v>653</v>
      </c>
      <c r="C228" s="34" t="s">
        <v>654</v>
      </c>
      <c r="D228" s="33"/>
      <c r="E228" s="33"/>
      <c r="F228" s="85"/>
      <c r="G228" s="37"/>
      <c r="H228" s="313">
        <v>4</v>
      </c>
      <c r="I228" s="293"/>
      <c r="J228" s="313">
        <v>1.42</v>
      </c>
      <c r="K228" s="313">
        <v>1.28</v>
      </c>
    </row>
    <row r="229" spans="2:11">
      <c r="B229" s="33" t="s">
        <v>656</v>
      </c>
      <c r="C229" s="34" t="s">
        <v>657</v>
      </c>
      <c r="D229" s="33"/>
      <c r="E229" s="33"/>
      <c r="F229" s="85"/>
      <c r="G229" s="37"/>
      <c r="H229" s="313">
        <v>9</v>
      </c>
      <c r="I229" s="293"/>
      <c r="J229" s="313">
        <v>3.39</v>
      </c>
      <c r="K229" s="313">
        <v>3.05</v>
      </c>
    </row>
    <row r="230" spans="2:11">
      <c r="B230" s="33" t="s">
        <v>659</v>
      </c>
      <c r="C230" s="34" t="s">
        <v>660</v>
      </c>
      <c r="D230" s="33"/>
      <c r="E230" s="33"/>
      <c r="F230" s="85"/>
      <c r="G230" s="37"/>
      <c r="H230" s="313">
        <v>10</v>
      </c>
      <c r="I230" s="293"/>
      <c r="J230" s="313">
        <v>4.24</v>
      </c>
      <c r="K230" s="313">
        <v>3.82</v>
      </c>
    </row>
    <row r="231" spans="2:11">
      <c r="B231" s="33" t="s">
        <v>662</v>
      </c>
      <c r="C231" s="34" t="s">
        <v>663</v>
      </c>
      <c r="D231" s="33"/>
      <c r="E231" s="33"/>
      <c r="F231" s="85"/>
      <c r="G231" s="37"/>
      <c r="H231" s="313">
        <v>10</v>
      </c>
      <c r="I231" s="293"/>
      <c r="J231" s="313">
        <v>4.27</v>
      </c>
      <c r="K231" s="313">
        <v>3.84</v>
      </c>
    </row>
    <row r="232" spans="2:11">
      <c r="B232" s="33" t="s">
        <v>665</v>
      </c>
      <c r="C232" s="34" t="s">
        <v>663</v>
      </c>
      <c r="D232" s="33"/>
      <c r="E232" s="33"/>
      <c r="F232" s="85"/>
      <c r="G232" s="37"/>
      <c r="H232" s="313">
        <v>12</v>
      </c>
      <c r="I232" s="293"/>
      <c r="J232" s="313">
        <v>5.53</v>
      </c>
      <c r="K232" s="313">
        <v>4.98</v>
      </c>
    </row>
    <row r="233" spans="2:11">
      <c r="B233" s="33" t="s">
        <v>667</v>
      </c>
      <c r="C233" s="34" t="s">
        <v>668</v>
      </c>
      <c r="D233" s="33"/>
      <c r="E233" s="33"/>
      <c r="F233" s="85"/>
      <c r="G233" s="37"/>
      <c r="H233" s="313">
        <v>5</v>
      </c>
      <c r="I233" s="293"/>
      <c r="J233" s="313">
        <v>2.28</v>
      </c>
      <c r="K233" s="313">
        <v>2.05</v>
      </c>
    </row>
    <row r="234" spans="2:11">
      <c r="B234" s="33" t="s">
        <v>670</v>
      </c>
      <c r="C234" s="34" t="s">
        <v>671</v>
      </c>
      <c r="D234" s="33"/>
      <c r="E234" s="33"/>
      <c r="F234" s="85"/>
      <c r="G234" s="37"/>
      <c r="H234" s="313">
        <v>5</v>
      </c>
      <c r="I234" s="293"/>
      <c r="J234" s="313">
        <v>2.28</v>
      </c>
      <c r="K234" s="313">
        <v>2.05</v>
      </c>
    </row>
    <row r="235" spans="2:11">
      <c r="B235" s="33" t="s">
        <v>673</v>
      </c>
      <c r="C235" s="34" t="s">
        <v>674</v>
      </c>
      <c r="D235" s="33"/>
      <c r="E235" s="33"/>
      <c r="F235" s="85"/>
      <c r="G235" s="37"/>
      <c r="H235" s="313">
        <v>1</v>
      </c>
      <c r="I235" s="293"/>
      <c r="J235" s="313">
        <v>0.51</v>
      </c>
      <c r="K235" s="313">
        <v>0.46</v>
      </c>
    </row>
    <row r="236" spans="2:11">
      <c r="B236" s="33" t="s">
        <v>676</v>
      </c>
      <c r="C236" s="34" t="s">
        <v>677</v>
      </c>
      <c r="D236" s="33"/>
      <c r="E236" s="33"/>
      <c r="F236" s="85"/>
      <c r="G236" s="37"/>
      <c r="H236" s="313">
        <v>10</v>
      </c>
      <c r="I236" s="293"/>
      <c r="J236" s="313">
        <v>4.17</v>
      </c>
      <c r="K236" s="313">
        <v>3.75</v>
      </c>
    </row>
    <row r="237" spans="2:11">
      <c r="B237" s="33" t="s">
        <v>679</v>
      </c>
      <c r="C237" s="34" t="s">
        <v>680</v>
      </c>
      <c r="D237" s="33"/>
      <c r="E237" s="33"/>
      <c r="F237" s="85"/>
      <c r="G237" s="37"/>
      <c r="H237" s="313">
        <v>49</v>
      </c>
      <c r="I237" s="293"/>
      <c r="J237" s="313">
        <v>20.76</v>
      </c>
      <c r="K237" s="313">
        <v>18.68</v>
      </c>
    </row>
    <row r="238" spans="2:11">
      <c r="B238" s="33" t="s">
        <v>682</v>
      </c>
      <c r="C238" s="34" t="s">
        <v>683</v>
      </c>
      <c r="D238" s="33"/>
      <c r="E238" s="33"/>
      <c r="F238" s="85"/>
      <c r="G238" s="37"/>
      <c r="H238" s="313">
        <v>20</v>
      </c>
      <c r="I238" s="293"/>
      <c r="J238" s="313">
        <v>8.37</v>
      </c>
      <c r="K238" s="313">
        <v>7.53</v>
      </c>
    </row>
    <row r="239" spans="2:11">
      <c r="B239" s="33" t="s">
        <v>685</v>
      </c>
      <c r="C239" s="34" t="s">
        <v>686</v>
      </c>
      <c r="D239" s="33"/>
      <c r="E239" s="33"/>
      <c r="F239" s="85"/>
      <c r="G239" s="37"/>
      <c r="H239" s="313">
        <v>11</v>
      </c>
      <c r="I239" s="293"/>
      <c r="J239" s="313">
        <v>4.7</v>
      </c>
      <c r="K239" s="313">
        <v>4.23</v>
      </c>
    </row>
    <row r="240" spans="2:11">
      <c r="B240" s="33" t="s">
        <v>688</v>
      </c>
      <c r="C240" s="34" t="s">
        <v>689</v>
      </c>
      <c r="D240" s="33"/>
      <c r="E240" s="33"/>
      <c r="F240" s="85"/>
      <c r="G240" s="37"/>
      <c r="H240" s="313">
        <v>9</v>
      </c>
      <c r="I240" s="293"/>
      <c r="J240" s="313">
        <v>3.66</v>
      </c>
      <c r="K240" s="313">
        <v>3.29</v>
      </c>
    </row>
    <row r="241" spans="2:11">
      <c r="B241" s="33" t="s">
        <v>692</v>
      </c>
      <c r="C241" s="34" t="s">
        <v>693</v>
      </c>
      <c r="D241" s="33"/>
      <c r="E241" s="33"/>
      <c r="F241" s="85"/>
      <c r="G241" s="37"/>
      <c r="H241" s="313">
        <v>12</v>
      </c>
      <c r="I241" s="293"/>
      <c r="J241" s="313">
        <v>4.92</v>
      </c>
      <c r="K241" s="313">
        <v>4.43</v>
      </c>
    </row>
    <row r="242" spans="2:11">
      <c r="B242" s="33" t="s">
        <v>696</v>
      </c>
      <c r="C242" s="34" t="s">
        <v>697</v>
      </c>
      <c r="D242" s="33"/>
      <c r="E242" s="33"/>
      <c r="F242" s="85"/>
      <c r="G242" s="37"/>
      <c r="H242" s="313">
        <v>18</v>
      </c>
      <c r="I242" s="293"/>
      <c r="J242" s="313">
        <v>7.65</v>
      </c>
      <c r="K242" s="313">
        <v>6.89</v>
      </c>
    </row>
    <row r="243" spans="2:11">
      <c r="B243" s="33" t="s">
        <v>700</v>
      </c>
      <c r="C243" s="34" t="s">
        <v>701</v>
      </c>
      <c r="D243" s="33"/>
      <c r="E243" s="33"/>
      <c r="F243" s="85"/>
      <c r="G243" s="37"/>
      <c r="H243" s="313">
        <v>27</v>
      </c>
      <c r="I243" s="293"/>
      <c r="J243" s="313">
        <v>11.54</v>
      </c>
      <c r="K243" s="313">
        <v>10.39</v>
      </c>
    </row>
    <row r="244" spans="2:11">
      <c r="B244" s="33" t="s">
        <v>704</v>
      </c>
      <c r="C244" s="34" t="s">
        <v>705</v>
      </c>
      <c r="D244" s="33"/>
      <c r="E244" s="33"/>
      <c r="F244" s="85"/>
      <c r="G244" s="37"/>
      <c r="H244" s="313">
        <v>25</v>
      </c>
      <c r="I244" s="293"/>
      <c r="J244" s="313">
        <v>10.38</v>
      </c>
      <c r="K244" s="313">
        <v>9.34</v>
      </c>
    </row>
    <row r="245" spans="2:11">
      <c r="B245" s="33" t="s">
        <v>707</v>
      </c>
      <c r="C245" s="34" t="s">
        <v>708</v>
      </c>
      <c r="D245" s="33"/>
      <c r="E245" s="33"/>
      <c r="F245" s="85"/>
      <c r="G245" s="37"/>
      <c r="H245" s="313">
        <v>6</v>
      </c>
      <c r="I245" s="293"/>
      <c r="J245" s="313">
        <v>2.51</v>
      </c>
      <c r="K245" s="313">
        <v>2.26</v>
      </c>
    </row>
    <row r="246" spans="2:11">
      <c r="B246" s="33" t="s">
        <v>711</v>
      </c>
      <c r="C246" s="34" t="s">
        <v>712</v>
      </c>
      <c r="D246" s="33"/>
      <c r="E246" s="33"/>
      <c r="F246" s="85"/>
      <c r="G246" s="37"/>
      <c r="H246" s="313">
        <v>7</v>
      </c>
      <c r="I246" s="293"/>
      <c r="J246" s="313">
        <v>2.82</v>
      </c>
      <c r="K246" s="313">
        <v>2.54</v>
      </c>
    </row>
    <row r="247" spans="2:11">
      <c r="B247" s="33" t="s">
        <v>714</v>
      </c>
      <c r="C247" s="34" t="s">
        <v>715</v>
      </c>
      <c r="D247" s="33"/>
      <c r="E247" s="33"/>
      <c r="F247" s="85"/>
      <c r="G247" s="37"/>
      <c r="H247" s="313">
        <v>9</v>
      </c>
      <c r="I247" s="293"/>
      <c r="J247" s="313">
        <v>3.66</v>
      </c>
      <c r="K247" s="313">
        <v>3.29</v>
      </c>
    </row>
    <row r="248" spans="2:11">
      <c r="B248" s="33" t="s">
        <v>717</v>
      </c>
      <c r="C248" s="34" t="s">
        <v>718</v>
      </c>
      <c r="D248" s="33"/>
      <c r="E248" s="33"/>
      <c r="F248" s="85"/>
      <c r="G248" s="37"/>
      <c r="H248" s="313">
        <v>7</v>
      </c>
      <c r="I248" s="293"/>
      <c r="J248" s="313">
        <v>3.14</v>
      </c>
      <c r="K248" s="313">
        <v>2.83</v>
      </c>
    </row>
    <row r="249" spans="2:11">
      <c r="B249" s="33" t="s">
        <v>726</v>
      </c>
      <c r="C249" s="34" t="s">
        <v>2077</v>
      </c>
      <c r="D249" s="33"/>
      <c r="E249" s="33"/>
      <c r="F249" s="85"/>
      <c r="G249" s="37"/>
      <c r="H249" s="313">
        <v>18</v>
      </c>
      <c r="I249" s="293"/>
      <c r="J249" s="313">
        <v>8.93</v>
      </c>
      <c r="K249" s="313">
        <v>8.04</v>
      </c>
    </row>
    <row r="250" spans="2:11">
      <c r="B250" s="33" t="s">
        <v>723</v>
      </c>
      <c r="C250" s="34" t="s">
        <v>2078</v>
      </c>
      <c r="D250" s="33"/>
      <c r="E250" s="33"/>
      <c r="F250" s="85"/>
      <c r="G250" s="37"/>
      <c r="H250" s="313">
        <v>11</v>
      </c>
      <c r="I250" s="293"/>
      <c r="J250" s="313">
        <v>5.78</v>
      </c>
      <c r="K250" s="313">
        <v>5.2</v>
      </c>
    </row>
    <row r="251" spans="2:11">
      <c r="B251" s="33" t="s">
        <v>720</v>
      </c>
      <c r="C251" s="34" t="s">
        <v>2079</v>
      </c>
      <c r="D251" s="33"/>
      <c r="E251" s="33"/>
      <c r="F251" s="85"/>
      <c r="G251" s="37"/>
      <c r="H251" s="313">
        <v>7</v>
      </c>
      <c r="I251" s="293"/>
      <c r="J251" s="313">
        <v>3.94</v>
      </c>
      <c r="K251" s="313">
        <v>3.55</v>
      </c>
    </row>
    <row r="252" spans="2:11">
      <c r="B252" s="33" t="s">
        <v>729</v>
      </c>
      <c r="C252" s="34" t="s">
        <v>2080</v>
      </c>
      <c r="D252" s="33"/>
      <c r="E252" s="33"/>
      <c r="F252" s="85"/>
      <c r="G252" s="37"/>
      <c r="H252" s="313">
        <v>7</v>
      </c>
      <c r="I252" s="293"/>
      <c r="J252" s="313">
        <v>2.89</v>
      </c>
      <c r="K252" s="313">
        <v>2.6</v>
      </c>
    </row>
    <row r="253" spans="2:11">
      <c r="B253" s="33" t="s">
        <v>735</v>
      </c>
      <c r="C253" s="34" t="s">
        <v>2081</v>
      </c>
      <c r="D253" s="33"/>
      <c r="E253" s="33"/>
      <c r="F253" s="85"/>
      <c r="G253" s="37"/>
      <c r="H253" s="313">
        <v>9</v>
      </c>
      <c r="I253" s="293"/>
      <c r="J253" s="313">
        <v>3.94</v>
      </c>
      <c r="K253" s="313">
        <v>3.55</v>
      </c>
    </row>
    <row r="254" spans="2:11">
      <c r="B254" s="33" t="s">
        <v>738</v>
      </c>
      <c r="C254" s="34" t="s">
        <v>2082</v>
      </c>
      <c r="D254" s="33"/>
      <c r="E254" s="33"/>
      <c r="F254" s="85"/>
      <c r="G254" s="37"/>
      <c r="H254" s="313">
        <v>12</v>
      </c>
      <c r="I254" s="293"/>
      <c r="J254" s="313">
        <v>5.25</v>
      </c>
      <c r="K254" s="313">
        <v>4.73</v>
      </c>
    </row>
    <row r="255" spans="2:11">
      <c r="B255" s="33" t="s">
        <v>732</v>
      </c>
      <c r="C255" s="34" t="s">
        <v>2083</v>
      </c>
      <c r="D255" s="33"/>
      <c r="E255" s="33"/>
      <c r="F255" s="85"/>
      <c r="G255" s="37"/>
      <c r="H255" s="313">
        <v>6</v>
      </c>
      <c r="I255" s="293"/>
      <c r="J255" s="313">
        <v>2.63</v>
      </c>
      <c r="K255" s="313">
        <v>2.37</v>
      </c>
    </row>
    <row r="256" spans="2:11">
      <c r="B256" s="33" t="s">
        <v>741</v>
      </c>
      <c r="C256" s="34" t="s">
        <v>2084</v>
      </c>
      <c r="D256" s="33"/>
      <c r="E256" s="33"/>
      <c r="F256" s="85"/>
      <c r="G256" s="37"/>
      <c r="H256" s="313">
        <v>5</v>
      </c>
      <c r="I256" s="293"/>
      <c r="J256" s="313">
        <v>2.26</v>
      </c>
      <c r="K256" s="313">
        <v>2.03</v>
      </c>
    </row>
    <row r="257" spans="2:11">
      <c r="B257" s="33" t="s">
        <v>744</v>
      </c>
      <c r="C257" s="34" t="s">
        <v>2085</v>
      </c>
      <c r="D257" s="33"/>
      <c r="E257" s="33"/>
      <c r="F257" s="85"/>
      <c r="G257" s="37"/>
      <c r="H257" s="313">
        <v>3</v>
      </c>
      <c r="I257" s="293"/>
      <c r="J257" s="313">
        <v>1.47</v>
      </c>
      <c r="K257" s="313">
        <v>1.32</v>
      </c>
    </row>
    <row r="258" spans="2:11">
      <c r="B258" s="33" t="s">
        <v>747</v>
      </c>
      <c r="C258" s="34" t="s">
        <v>2086</v>
      </c>
      <c r="D258" s="33"/>
      <c r="E258" s="33"/>
      <c r="F258" s="85"/>
      <c r="G258" s="37"/>
      <c r="H258" s="313">
        <v>3</v>
      </c>
      <c r="I258" s="293"/>
      <c r="J258" s="313">
        <v>1.47</v>
      </c>
      <c r="K258" s="313">
        <v>1.32</v>
      </c>
    </row>
    <row r="259" spans="2:11">
      <c r="B259" s="33" t="s">
        <v>750</v>
      </c>
      <c r="C259" s="34" t="s">
        <v>2087</v>
      </c>
      <c r="D259" s="33"/>
      <c r="E259" s="33"/>
      <c r="F259" s="85"/>
      <c r="G259" s="37"/>
      <c r="H259" s="313">
        <v>3</v>
      </c>
      <c r="I259" s="293"/>
      <c r="J259" s="313">
        <v>1.47</v>
      </c>
      <c r="K259" s="313">
        <v>1.32</v>
      </c>
    </row>
    <row r="260" spans="2:11">
      <c r="B260" s="33" t="s">
        <v>753</v>
      </c>
      <c r="C260" s="34" t="s">
        <v>2088</v>
      </c>
      <c r="D260" s="33"/>
      <c r="E260" s="33"/>
      <c r="F260" s="85"/>
      <c r="G260" s="37"/>
      <c r="H260" s="313">
        <v>5</v>
      </c>
      <c r="I260" s="293"/>
      <c r="J260" s="313">
        <v>2</v>
      </c>
      <c r="K260" s="313">
        <v>1.8</v>
      </c>
    </row>
    <row r="261" spans="2:11">
      <c r="B261" s="33" t="s">
        <v>756</v>
      </c>
      <c r="C261" s="34" t="s">
        <v>2089</v>
      </c>
      <c r="D261" s="33"/>
      <c r="E261" s="33"/>
      <c r="F261" s="85"/>
      <c r="G261" s="37"/>
      <c r="H261" s="313">
        <v>5</v>
      </c>
      <c r="I261" s="293"/>
      <c r="J261" s="313">
        <v>2</v>
      </c>
      <c r="K261" s="313">
        <v>1.8</v>
      </c>
    </row>
    <row r="262" spans="2:11">
      <c r="B262" s="33" t="s">
        <v>759</v>
      </c>
      <c r="C262" s="34" t="s">
        <v>2090</v>
      </c>
      <c r="D262" s="33"/>
      <c r="E262" s="33"/>
      <c r="F262" s="85"/>
      <c r="G262" s="37"/>
      <c r="H262" s="313">
        <v>3</v>
      </c>
      <c r="I262" s="293"/>
      <c r="J262" s="313">
        <v>1.47</v>
      </c>
      <c r="K262" s="313">
        <v>1.32</v>
      </c>
    </row>
    <row r="263" spans="2:11">
      <c r="B263" s="33" t="s">
        <v>762</v>
      </c>
      <c r="C263" s="34" t="s">
        <v>2091</v>
      </c>
      <c r="D263" s="33"/>
      <c r="E263" s="33"/>
      <c r="F263" s="85"/>
      <c r="G263" s="37"/>
      <c r="H263" s="313">
        <v>3</v>
      </c>
      <c r="I263" s="293"/>
      <c r="J263" s="313">
        <v>1.47</v>
      </c>
      <c r="K263" s="313">
        <v>1.32</v>
      </c>
    </row>
    <row r="264" spans="2:11">
      <c r="B264" s="33" t="s">
        <v>765</v>
      </c>
      <c r="C264" s="34" t="s">
        <v>2092</v>
      </c>
      <c r="D264" s="33"/>
      <c r="E264" s="33"/>
      <c r="F264" s="85"/>
      <c r="G264" s="37"/>
      <c r="H264" s="313">
        <v>5</v>
      </c>
      <c r="I264" s="293"/>
      <c r="J264" s="313">
        <v>2.26</v>
      </c>
      <c r="K264" s="313">
        <v>2.03</v>
      </c>
    </row>
    <row r="265" spans="2:11">
      <c r="B265" s="33" t="s">
        <v>768</v>
      </c>
      <c r="C265" s="34" t="s">
        <v>2093</v>
      </c>
      <c r="D265" s="33"/>
      <c r="E265" s="33"/>
      <c r="F265" s="85"/>
      <c r="G265" s="37"/>
      <c r="H265" s="313">
        <v>5</v>
      </c>
      <c r="I265" s="293"/>
      <c r="J265" s="313">
        <v>2</v>
      </c>
      <c r="K265" s="313">
        <v>1.8</v>
      </c>
    </row>
    <row r="266" spans="2:11">
      <c r="B266" s="33" t="s">
        <v>771</v>
      </c>
      <c r="C266" s="34" t="s">
        <v>2094</v>
      </c>
      <c r="D266" s="33"/>
      <c r="E266" s="33"/>
      <c r="F266" s="85"/>
      <c r="G266" s="37"/>
      <c r="H266" s="313">
        <v>9</v>
      </c>
      <c r="I266" s="293"/>
      <c r="J266" s="313">
        <v>3.68</v>
      </c>
      <c r="K266" s="313">
        <v>3.31</v>
      </c>
    </row>
    <row r="267" spans="2:11">
      <c r="B267" s="33" t="s">
        <v>774</v>
      </c>
      <c r="C267" s="34" t="s">
        <v>2095</v>
      </c>
      <c r="D267" s="33"/>
      <c r="E267" s="33"/>
      <c r="F267" s="85"/>
      <c r="G267" s="37"/>
      <c r="H267" s="313">
        <v>4</v>
      </c>
      <c r="I267" s="293"/>
      <c r="J267" s="313">
        <v>1.58</v>
      </c>
      <c r="K267" s="313">
        <v>1.42</v>
      </c>
    </row>
    <row r="268" spans="2:11">
      <c r="B268" s="33" t="s">
        <v>780</v>
      </c>
      <c r="C268" s="34" t="s">
        <v>2096</v>
      </c>
      <c r="D268" s="33"/>
      <c r="E268" s="33"/>
      <c r="F268" s="85"/>
      <c r="G268" s="37"/>
      <c r="H268" s="313">
        <v>10</v>
      </c>
      <c r="I268" s="293"/>
      <c r="J268" s="313">
        <v>4.2</v>
      </c>
      <c r="K268" s="313">
        <v>3.78</v>
      </c>
    </row>
    <row r="269" spans="2:11">
      <c r="B269" s="33" t="s">
        <v>783</v>
      </c>
      <c r="C269" s="34" t="s">
        <v>2097</v>
      </c>
      <c r="D269" s="33"/>
      <c r="E269" s="33"/>
      <c r="F269" s="85"/>
      <c r="G269" s="37"/>
      <c r="H269" s="313">
        <v>9</v>
      </c>
      <c r="I269" s="293"/>
      <c r="J269" s="313">
        <v>4.2</v>
      </c>
      <c r="K269" s="313">
        <v>3.78</v>
      </c>
    </row>
    <row r="270" spans="2:11">
      <c r="B270" s="33" t="s">
        <v>786</v>
      </c>
      <c r="C270" s="34" t="s">
        <v>2098</v>
      </c>
      <c r="D270" s="33"/>
      <c r="E270" s="33"/>
      <c r="F270" s="85"/>
      <c r="G270" s="37"/>
      <c r="H270" s="313">
        <v>7</v>
      </c>
      <c r="I270" s="293"/>
      <c r="J270" s="313">
        <v>3.94</v>
      </c>
      <c r="K270" s="313">
        <v>3.55</v>
      </c>
    </row>
    <row r="271" spans="2:11">
      <c r="B271" s="33" t="s">
        <v>789</v>
      </c>
      <c r="C271" s="34" t="s">
        <v>2099</v>
      </c>
      <c r="D271" s="33"/>
      <c r="E271" s="33"/>
      <c r="F271" s="85"/>
      <c r="G271" s="37"/>
      <c r="H271" s="313">
        <v>7</v>
      </c>
      <c r="I271" s="293"/>
      <c r="J271" s="313">
        <v>3.15</v>
      </c>
      <c r="K271" s="313">
        <v>2.84</v>
      </c>
    </row>
    <row r="272" spans="2:11">
      <c r="B272" s="33" t="s">
        <v>792</v>
      </c>
      <c r="C272" s="34" t="s">
        <v>2100</v>
      </c>
      <c r="D272" s="33"/>
      <c r="E272" s="33"/>
      <c r="F272" s="85"/>
      <c r="G272" s="37"/>
      <c r="H272" s="313">
        <v>6</v>
      </c>
      <c r="I272" s="293"/>
      <c r="J272" s="313">
        <v>3.15</v>
      </c>
      <c r="K272" s="313">
        <v>2.84</v>
      </c>
    </row>
    <row r="273" spans="2:11">
      <c r="B273" s="33" t="s">
        <v>795</v>
      </c>
      <c r="C273" s="34" t="s">
        <v>2101</v>
      </c>
      <c r="D273" s="33"/>
      <c r="E273" s="33"/>
      <c r="F273" s="85"/>
      <c r="G273" s="37"/>
      <c r="H273" s="313">
        <v>9</v>
      </c>
      <c r="I273" s="293"/>
      <c r="J273" s="313">
        <v>2.89</v>
      </c>
      <c r="K273" s="313">
        <v>2.6</v>
      </c>
    </row>
    <row r="274" spans="2:11">
      <c r="B274" s="33" t="s">
        <v>798</v>
      </c>
      <c r="C274" s="34" t="s">
        <v>2102</v>
      </c>
      <c r="D274" s="33"/>
      <c r="E274" s="33"/>
      <c r="F274" s="85"/>
      <c r="G274" s="37"/>
      <c r="H274" s="313">
        <v>9</v>
      </c>
      <c r="I274" s="293"/>
      <c r="J274" s="313">
        <v>2.89</v>
      </c>
      <c r="K274" s="313">
        <v>2.6</v>
      </c>
    </row>
    <row r="275" spans="2:11">
      <c r="B275" s="33" t="s">
        <v>801</v>
      </c>
      <c r="C275" s="34" t="s">
        <v>2103</v>
      </c>
      <c r="D275" s="33"/>
      <c r="E275" s="33"/>
      <c r="F275" s="85"/>
      <c r="G275" s="37"/>
      <c r="H275" s="313">
        <v>10</v>
      </c>
      <c r="I275" s="293"/>
      <c r="J275" s="313">
        <v>3.41</v>
      </c>
      <c r="K275" s="313">
        <v>3.07</v>
      </c>
    </row>
    <row r="276" spans="2:11">
      <c r="B276" s="33" t="s">
        <v>804</v>
      </c>
      <c r="C276" s="34" t="s">
        <v>2104</v>
      </c>
      <c r="D276" s="33"/>
      <c r="E276" s="33"/>
      <c r="F276" s="85"/>
      <c r="G276" s="37"/>
      <c r="H276" s="313">
        <v>10</v>
      </c>
      <c r="I276" s="293"/>
      <c r="J276" s="313">
        <v>4.2</v>
      </c>
      <c r="K276" s="313">
        <v>3.78</v>
      </c>
    </row>
    <row r="277" spans="2:11">
      <c r="B277" s="33" t="s">
        <v>807</v>
      </c>
      <c r="C277" s="34" t="s">
        <v>2105</v>
      </c>
      <c r="D277" s="33"/>
      <c r="E277" s="33"/>
      <c r="F277" s="85"/>
      <c r="G277" s="37"/>
      <c r="H277" s="313">
        <v>10</v>
      </c>
      <c r="I277" s="293"/>
      <c r="J277" s="313">
        <v>4.2</v>
      </c>
      <c r="K277" s="313">
        <v>3.78</v>
      </c>
    </row>
    <row r="278" spans="2:11">
      <c r="B278" s="33" t="s">
        <v>810</v>
      </c>
      <c r="C278" s="34" t="s">
        <v>2106</v>
      </c>
      <c r="D278" s="33"/>
      <c r="E278" s="33"/>
      <c r="F278" s="85"/>
      <c r="G278" s="37"/>
      <c r="H278" s="313">
        <v>10</v>
      </c>
      <c r="I278" s="293"/>
      <c r="J278" s="313">
        <v>4.2</v>
      </c>
      <c r="K278" s="313">
        <v>3.78</v>
      </c>
    </row>
    <row r="279" spans="2:11">
      <c r="B279" s="33" t="s">
        <v>813</v>
      </c>
      <c r="C279" s="34" t="s">
        <v>2107</v>
      </c>
      <c r="D279" s="33"/>
      <c r="E279" s="33"/>
      <c r="F279" s="85"/>
      <c r="G279" s="37"/>
      <c r="H279" s="313">
        <v>10</v>
      </c>
      <c r="I279" s="293"/>
      <c r="J279" s="313">
        <v>4.2</v>
      </c>
      <c r="K279" s="313">
        <v>3.78</v>
      </c>
    </row>
    <row r="280" spans="2:11">
      <c r="B280" s="33" t="s">
        <v>816</v>
      </c>
      <c r="C280" s="34" t="s">
        <v>2108</v>
      </c>
      <c r="D280" s="33"/>
      <c r="E280" s="33"/>
      <c r="F280" s="85"/>
      <c r="G280" s="37"/>
      <c r="H280" s="313">
        <v>10</v>
      </c>
      <c r="I280" s="293"/>
      <c r="J280" s="313">
        <v>4.2</v>
      </c>
      <c r="K280" s="313">
        <v>3.78</v>
      </c>
    </row>
    <row r="281" spans="2:11">
      <c r="B281" s="33" t="s">
        <v>819</v>
      </c>
      <c r="C281" s="34" t="s">
        <v>2109</v>
      </c>
      <c r="D281" s="33"/>
      <c r="E281" s="33"/>
      <c r="F281" s="85"/>
      <c r="G281" s="37"/>
      <c r="H281" s="313">
        <v>10</v>
      </c>
      <c r="I281" s="293"/>
      <c r="J281" s="313">
        <v>4.2</v>
      </c>
      <c r="K281" s="313">
        <v>3.78</v>
      </c>
    </row>
    <row r="282" spans="2:11">
      <c r="B282" s="33" t="s">
        <v>822</v>
      </c>
      <c r="C282" s="34" t="s">
        <v>2110</v>
      </c>
      <c r="D282" s="33"/>
      <c r="E282" s="33"/>
      <c r="F282" s="85"/>
      <c r="G282" s="37"/>
      <c r="H282" s="313">
        <v>4</v>
      </c>
      <c r="I282" s="293"/>
      <c r="J282" s="313">
        <v>4.2</v>
      </c>
      <c r="K282" s="313">
        <v>3.78</v>
      </c>
    </row>
    <row r="283" spans="2:11">
      <c r="B283" s="33" t="s">
        <v>825</v>
      </c>
      <c r="C283" s="34" t="s">
        <v>2111</v>
      </c>
      <c r="D283" s="33"/>
      <c r="E283" s="33"/>
      <c r="F283" s="85"/>
      <c r="G283" s="37"/>
      <c r="H283" s="313">
        <v>6</v>
      </c>
      <c r="I283" s="293"/>
      <c r="J283" s="313">
        <v>1.73</v>
      </c>
      <c r="K283" s="313">
        <v>1.56</v>
      </c>
    </row>
    <row r="284" spans="2:11">
      <c r="B284" s="33" t="s">
        <v>828</v>
      </c>
      <c r="C284" s="34" t="s">
        <v>2112</v>
      </c>
      <c r="D284" s="33"/>
      <c r="E284" s="33"/>
      <c r="F284" s="85"/>
      <c r="G284" s="37"/>
      <c r="H284" s="313">
        <v>15</v>
      </c>
      <c r="I284" s="293"/>
      <c r="J284" s="313">
        <v>2.89</v>
      </c>
      <c r="K284" s="313">
        <v>2.6</v>
      </c>
    </row>
    <row r="285" spans="2:11">
      <c r="B285" s="33" t="s">
        <v>831</v>
      </c>
      <c r="C285" s="34" t="s">
        <v>2113</v>
      </c>
      <c r="D285" s="33"/>
      <c r="E285" s="33"/>
      <c r="F285" s="85"/>
      <c r="G285" s="37"/>
      <c r="H285" s="313">
        <v>7</v>
      </c>
      <c r="I285" s="293"/>
      <c r="J285" s="313">
        <v>6.3</v>
      </c>
      <c r="K285" s="313">
        <v>5.67</v>
      </c>
    </row>
    <row r="286" spans="2:11">
      <c r="B286" s="33" t="s">
        <v>834</v>
      </c>
      <c r="C286" s="34" t="s">
        <v>2114</v>
      </c>
      <c r="D286" s="33"/>
      <c r="E286" s="33"/>
      <c r="F286" s="85"/>
      <c r="G286" s="37"/>
      <c r="H286" s="313">
        <v>10</v>
      </c>
      <c r="I286" s="293"/>
      <c r="J286" s="313">
        <v>3.15</v>
      </c>
      <c r="K286" s="313">
        <v>2.84</v>
      </c>
    </row>
    <row r="287" spans="2:11">
      <c r="B287" s="33" t="s">
        <v>837</v>
      </c>
      <c r="C287" s="34" t="s">
        <v>2115</v>
      </c>
      <c r="D287" s="33"/>
      <c r="E287" s="33"/>
      <c r="F287" s="85"/>
      <c r="G287" s="37"/>
      <c r="H287" s="313">
        <v>10</v>
      </c>
      <c r="I287" s="293"/>
      <c r="J287" s="313">
        <v>4.2</v>
      </c>
      <c r="K287" s="313">
        <v>3.78</v>
      </c>
    </row>
    <row r="288" spans="2:11">
      <c r="B288" s="33" t="s">
        <v>840</v>
      </c>
      <c r="C288" s="34" t="s">
        <v>2116</v>
      </c>
      <c r="D288" s="33"/>
      <c r="E288" s="33"/>
      <c r="F288" s="85"/>
      <c r="G288" s="37"/>
      <c r="H288" s="313">
        <v>14</v>
      </c>
      <c r="I288" s="293"/>
      <c r="J288" s="313">
        <v>4.2</v>
      </c>
      <c r="K288" s="313">
        <v>3.78</v>
      </c>
    </row>
    <row r="289" spans="2:11">
      <c r="B289" s="33" t="s">
        <v>843</v>
      </c>
      <c r="C289" s="34" t="s">
        <v>2117</v>
      </c>
      <c r="D289" s="33"/>
      <c r="E289" s="33"/>
      <c r="F289" s="85"/>
      <c r="G289" s="37"/>
      <c r="H289" s="313">
        <v>14</v>
      </c>
      <c r="I289" s="293"/>
      <c r="J289" s="313">
        <v>5.78</v>
      </c>
      <c r="K289" s="313">
        <v>5.2</v>
      </c>
    </row>
    <row r="290" spans="1:11">
      <c r="A290" s="2"/>
      <c r="B290" s="2"/>
      <c r="C290" s="2"/>
      <c r="D290" s="2"/>
      <c r="E290" s="2"/>
      <c r="F290" s="2"/>
      <c r="G290" s="8"/>
      <c r="H290" s="285"/>
      <c r="I290" s="285"/>
      <c r="J290" s="283"/>
      <c r="K290" s="283"/>
    </row>
    <row r="291" spans="2:11" ht="24" customHeight="1">
      <c r="B291" s="16"/>
      <c r="C291" s="17" t="s">
        <v>846</v>
      </c>
      <c r="D291" s="18"/>
      <c r="E291" s="18"/>
      <c r="F291" s="18"/>
      <c r="G291" s="284"/>
      <c r="H291" s="284"/>
      <c r="I291" s="284"/>
      <c r="J291" s="284"/>
      <c r="K291" s="286"/>
    </row>
    <row r="292" spans="2:11" customHeight="1">
      <c r="B292" s="20" t="s">
        <v>847</v>
      </c>
      <c r="C292" s="309"/>
      <c r="D292" s="21"/>
      <c r="E292" s="21"/>
      <c r="F292" s="21"/>
      <c r="G292" s="21"/>
      <c r="H292" s="21"/>
      <c r="I292" s="21"/>
      <c r="J292" s="21"/>
      <c r="K292" s="47"/>
    </row>
    <row r="293" spans="2:11">
      <c r="B293" s="33" t="s">
        <v>2118</v>
      </c>
      <c r="C293" s="34" t="s">
        <v>848</v>
      </c>
      <c r="D293" s="33"/>
      <c r="E293" s="33"/>
      <c r="F293" s="85"/>
      <c r="G293" s="37"/>
      <c r="H293" s="313">
        <v>18</v>
      </c>
      <c r="I293" s="293"/>
      <c r="J293" s="313">
        <v>5.72</v>
      </c>
      <c r="K293" s="313">
        <v>5.15</v>
      </c>
    </row>
    <row r="294" spans="2:11">
      <c r="B294" s="33" t="s">
        <v>2119</v>
      </c>
      <c r="C294" s="34" t="s">
        <v>400</v>
      </c>
      <c r="D294" s="33"/>
      <c r="E294" s="33"/>
      <c r="F294" s="85"/>
      <c r="G294" s="37"/>
      <c r="H294" s="313">
        <v>12</v>
      </c>
      <c r="I294" s="293"/>
      <c r="J294" s="313">
        <v>4.46</v>
      </c>
      <c r="K294" s="313">
        <v>4.01</v>
      </c>
    </row>
    <row r="295" spans="2:11">
      <c r="B295" s="33" t="s">
        <v>2120</v>
      </c>
      <c r="C295" s="34" t="s">
        <v>2121</v>
      </c>
      <c r="D295" s="33"/>
      <c r="E295" s="33"/>
      <c r="F295" s="85"/>
      <c r="G295" s="37"/>
      <c r="H295" s="313">
        <v>123</v>
      </c>
      <c r="I295" s="293"/>
      <c r="J295" s="313">
        <v>60.1</v>
      </c>
      <c r="K295" s="313">
        <v>54.09</v>
      </c>
    </row>
    <row r="296" spans="2:11">
      <c r="B296" s="33" t="s">
        <v>2122</v>
      </c>
      <c r="C296" s="34" t="s">
        <v>2123</v>
      </c>
      <c r="D296" s="33"/>
      <c r="E296" s="33"/>
      <c r="F296" s="85"/>
      <c r="G296" s="37"/>
      <c r="H296" s="313">
        <v>43</v>
      </c>
      <c r="I296" s="293"/>
      <c r="J296" s="313">
        <v>20.98</v>
      </c>
      <c r="K296" s="313">
        <v>18.88</v>
      </c>
    </row>
    <row r="297" spans="2:11">
      <c r="B297" s="33" t="s">
        <v>2124</v>
      </c>
      <c r="C297" s="34" t="s">
        <v>2125</v>
      </c>
      <c r="D297" s="33"/>
      <c r="E297" s="33"/>
      <c r="F297" s="85"/>
      <c r="G297" s="37"/>
      <c r="H297" s="313">
        <v>86</v>
      </c>
      <c r="I297" s="293"/>
      <c r="J297" s="313">
        <v>39.68</v>
      </c>
      <c r="K297" s="313">
        <v>35.71</v>
      </c>
    </row>
    <row r="298" spans="2:11">
      <c r="B298" s="33" t="s">
        <v>2126</v>
      </c>
      <c r="C298" s="34" t="s">
        <v>406</v>
      </c>
      <c r="D298" s="33"/>
      <c r="E298" s="33"/>
      <c r="F298" s="85"/>
      <c r="G298" s="37"/>
      <c r="H298" s="313">
        <v>726</v>
      </c>
      <c r="I298" s="293"/>
      <c r="J298" s="313">
        <v>337.1</v>
      </c>
      <c r="K298" s="313">
        <v>303.39</v>
      </c>
    </row>
    <row r="299" spans="1:11">
      <c r="A299" s="2"/>
      <c r="B299" s="2"/>
      <c r="C299" s="2"/>
      <c r="D299" s="2"/>
      <c r="E299" s="2"/>
      <c r="F299" s="2"/>
      <c r="G299" s="8"/>
      <c r="H299" s="285"/>
      <c r="I299" s="285"/>
      <c r="J299" s="283"/>
      <c r="K299" s="283"/>
    </row>
    <row r="300" spans="2:11" customHeight="1">
      <c r="B300" s="20" t="s">
        <v>852</v>
      </c>
      <c r="C300" s="309"/>
      <c r="D300" s="21"/>
      <c r="E300" s="21"/>
      <c r="F300" s="21"/>
      <c r="G300" s="21"/>
      <c r="H300" s="21"/>
      <c r="I300" s="21"/>
      <c r="J300" s="21"/>
      <c r="K300" s="47"/>
    </row>
    <row r="301" spans="2:11">
      <c r="B301" s="33" t="s">
        <v>2127</v>
      </c>
      <c r="C301" s="34" t="s">
        <v>2128</v>
      </c>
      <c r="D301" s="33"/>
      <c r="E301" s="33"/>
      <c r="F301" s="85"/>
      <c r="G301" s="37"/>
      <c r="H301" s="313">
        <v>21</v>
      </c>
      <c r="I301" s="293"/>
      <c r="J301" s="313">
        <v>10.26</v>
      </c>
      <c r="K301" s="313">
        <v>10.26</v>
      </c>
    </row>
    <row r="302" spans="2:11">
      <c r="B302" s="33" t="s">
        <v>2129</v>
      </c>
      <c r="C302" s="34" t="s">
        <v>2130</v>
      </c>
      <c r="D302" s="33"/>
      <c r="E302" s="33"/>
      <c r="F302" s="85"/>
      <c r="G302" s="37"/>
      <c r="H302" s="313">
        <v>25</v>
      </c>
      <c r="I302" s="293"/>
      <c r="J302" s="313">
        <v>11.81</v>
      </c>
      <c r="K302" s="313">
        <v>11.81</v>
      </c>
    </row>
    <row r="303" spans="2:11">
      <c r="B303" s="33" t="s">
        <v>2131</v>
      </c>
      <c r="C303" s="34" t="s">
        <v>2132</v>
      </c>
      <c r="D303" s="33"/>
      <c r="E303" s="33"/>
      <c r="F303" s="85"/>
      <c r="G303" s="37"/>
      <c r="H303" s="313">
        <v>43</v>
      </c>
      <c r="I303" s="293"/>
      <c r="J303" s="313">
        <v>20.66</v>
      </c>
      <c r="K303" s="313">
        <v>20.66</v>
      </c>
    </row>
    <row r="304" spans="2:11">
      <c r="B304" s="33" t="s">
        <v>2133</v>
      </c>
      <c r="C304" s="34" t="s">
        <v>2134</v>
      </c>
      <c r="D304" s="33"/>
      <c r="E304" s="33"/>
      <c r="F304" s="85"/>
      <c r="G304" s="37"/>
      <c r="H304" s="313">
        <v>20</v>
      </c>
      <c r="I304" s="293"/>
      <c r="J304" s="313">
        <v>10.11</v>
      </c>
      <c r="K304" s="313">
        <v>10.11</v>
      </c>
    </row>
    <row r="305" spans="2:11">
      <c r="B305" s="33" t="s">
        <v>2135</v>
      </c>
      <c r="C305" s="34" t="s">
        <v>2136</v>
      </c>
      <c r="D305" s="33"/>
      <c r="E305" s="33"/>
      <c r="F305" s="85"/>
      <c r="G305" s="37"/>
      <c r="H305" s="313">
        <v>21</v>
      </c>
      <c r="I305" s="293"/>
      <c r="J305" s="313">
        <v>10.04</v>
      </c>
      <c r="K305" s="313">
        <v>10.04</v>
      </c>
    </row>
    <row r="306" spans="2:11">
      <c r="B306" s="33" t="s">
        <v>2137</v>
      </c>
      <c r="C306" s="34" t="s">
        <v>2138</v>
      </c>
      <c r="D306" s="33"/>
      <c r="E306" s="33"/>
      <c r="F306" s="85"/>
      <c r="G306" s="37"/>
      <c r="H306" s="313">
        <v>26</v>
      </c>
      <c r="I306" s="293"/>
      <c r="J306" s="313">
        <v>12.71</v>
      </c>
      <c r="K306" s="313">
        <v>12.71</v>
      </c>
    </row>
    <row r="307" spans="2:11">
      <c r="B307" s="33" t="s">
        <v>2139</v>
      </c>
      <c r="C307" s="34" t="s">
        <v>2140</v>
      </c>
      <c r="D307" s="33"/>
      <c r="E307" s="33"/>
      <c r="F307" s="85"/>
      <c r="G307" s="37"/>
      <c r="H307" s="313">
        <v>37</v>
      </c>
      <c r="I307" s="293"/>
      <c r="J307" s="313">
        <v>17.11</v>
      </c>
      <c r="K307" s="313">
        <v>17.11</v>
      </c>
    </row>
    <row r="308" spans="2:11">
      <c r="B308" s="33" t="s">
        <v>2141</v>
      </c>
      <c r="C308" s="34" t="s">
        <v>2142</v>
      </c>
      <c r="D308" s="33"/>
      <c r="E308" s="33"/>
      <c r="F308" s="85"/>
      <c r="G308" s="37"/>
      <c r="H308" s="313">
        <v>9</v>
      </c>
      <c r="I308" s="293"/>
      <c r="J308" s="313">
        <v>4.03</v>
      </c>
      <c r="K308" s="313">
        <v>4.03</v>
      </c>
    </row>
    <row r="309" spans="2:11">
      <c r="B309" s="33" t="s">
        <v>2143</v>
      </c>
      <c r="C309" s="34" t="s">
        <v>2144</v>
      </c>
      <c r="D309" s="33"/>
      <c r="E309" s="33"/>
      <c r="F309" s="85"/>
      <c r="G309" s="37"/>
      <c r="H309" s="313">
        <v>652</v>
      </c>
      <c r="I309" s="293"/>
      <c r="J309" s="313">
        <v>318.36</v>
      </c>
      <c r="K309" s="313">
        <v>318.36</v>
      </c>
    </row>
    <row r="310" spans="2:11">
      <c r="B310" s="33" t="s">
        <v>2145</v>
      </c>
      <c r="C310" s="34" t="s">
        <v>2146</v>
      </c>
      <c r="D310" s="33"/>
      <c r="E310" s="33"/>
      <c r="F310" s="85"/>
      <c r="G310" s="37"/>
      <c r="H310" s="313">
        <v>307</v>
      </c>
      <c r="I310" s="293"/>
      <c r="J310" s="313">
        <v>150.3</v>
      </c>
      <c r="K310" s="313">
        <v>150.3</v>
      </c>
    </row>
    <row r="311" spans="2:11">
      <c r="B311" s="33" t="s">
        <v>2147</v>
      </c>
      <c r="C311" s="34" t="s">
        <v>2148</v>
      </c>
      <c r="D311" s="33"/>
      <c r="E311" s="33"/>
      <c r="F311" s="85"/>
      <c r="G311" s="37"/>
      <c r="H311" s="313">
        <v>320</v>
      </c>
      <c r="I311" s="293"/>
      <c r="J311" s="313">
        <v>160.27</v>
      </c>
      <c r="K311" s="313">
        <v>160.27</v>
      </c>
    </row>
    <row r="312" spans="2:11">
      <c r="B312" s="33" t="s">
        <v>2149</v>
      </c>
      <c r="C312" s="34" t="s">
        <v>2150</v>
      </c>
      <c r="D312" s="33"/>
      <c r="E312" s="33"/>
      <c r="F312" s="85"/>
      <c r="G312" s="37"/>
      <c r="H312" s="313">
        <v>33</v>
      </c>
      <c r="I312" s="293"/>
      <c r="J312" s="313">
        <v>17.6</v>
      </c>
      <c r="K312" s="313">
        <v>17.6</v>
      </c>
    </row>
    <row r="313" spans="2:11">
      <c r="B313" s="33" t="s">
        <v>2151</v>
      </c>
      <c r="C313" s="34" t="s">
        <v>2152</v>
      </c>
      <c r="D313" s="33"/>
      <c r="E313" s="33"/>
      <c r="F313" s="85"/>
      <c r="G313" s="37"/>
      <c r="H313" s="313">
        <v>39</v>
      </c>
      <c r="I313" s="293"/>
      <c r="J313" s="313">
        <v>23.71</v>
      </c>
      <c r="K313" s="313">
        <v>23.71</v>
      </c>
    </row>
    <row r="314" spans="2:11">
      <c r="B314" s="33" t="s">
        <v>2153</v>
      </c>
      <c r="C314" s="34" t="s">
        <v>2154</v>
      </c>
      <c r="D314" s="33"/>
      <c r="E314" s="33"/>
      <c r="F314" s="85"/>
      <c r="G314" s="37"/>
      <c r="H314" s="313">
        <v>45</v>
      </c>
      <c r="I314" s="293"/>
      <c r="J314" s="313">
        <v>29.43</v>
      </c>
      <c r="K314" s="313">
        <v>29.43</v>
      </c>
    </row>
    <row r="315" spans="2:11">
      <c r="B315" s="33" t="s">
        <v>2155</v>
      </c>
      <c r="C315" s="34" t="s">
        <v>2156</v>
      </c>
      <c r="D315" s="33"/>
      <c r="E315" s="33"/>
      <c r="F315" s="85"/>
      <c r="G315" s="37"/>
      <c r="H315" s="313">
        <v>37</v>
      </c>
      <c r="I315" s="293"/>
      <c r="J315" s="313">
        <v>17.93</v>
      </c>
      <c r="K315" s="313">
        <v>17.93</v>
      </c>
    </row>
    <row r="316" spans="2:11">
      <c r="B316" s="33" t="s">
        <v>125</v>
      </c>
      <c r="C316" s="34" t="s">
        <v>2157</v>
      </c>
      <c r="D316" s="33"/>
      <c r="E316" s="33"/>
      <c r="F316" s="85"/>
      <c r="G316" s="37"/>
      <c r="H316" s="313">
        <v>118</v>
      </c>
      <c r="I316" s="293"/>
      <c r="J316" s="313">
        <v>58.94</v>
      </c>
      <c r="K316" s="313">
        <v>58.94</v>
      </c>
    </row>
    <row r="317" spans="2:11">
      <c r="B317" s="33" t="s">
        <v>122</v>
      </c>
      <c r="C317" s="34" t="s">
        <v>2158</v>
      </c>
      <c r="D317" s="33"/>
      <c r="E317" s="33"/>
      <c r="F317" s="85"/>
      <c r="G317" s="37"/>
      <c r="H317" s="313">
        <v>130</v>
      </c>
      <c r="I317" s="293"/>
      <c r="J317" s="313">
        <v>65.45</v>
      </c>
      <c r="K317" s="313">
        <v>65.45</v>
      </c>
    </row>
    <row r="318" spans="2:11">
      <c r="B318" s="33" t="s">
        <v>96</v>
      </c>
      <c r="C318" s="34" t="s">
        <v>2159</v>
      </c>
      <c r="D318" s="33"/>
      <c r="E318" s="33"/>
      <c r="F318" s="85"/>
      <c r="G318" s="37"/>
      <c r="H318" s="313">
        <v>148</v>
      </c>
      <c r="I318" s="293"/>
      <c r="J318" s="313">
        <v>68.71</v>
      </c>
      <c r="K318" s="313">
        <v>68.71</v>
      </c>
    </row>
    <row r="319" spans="2:11">
      <c r="B319" s="33" t="s">
        <v>81</v>
      </c>
      <c r="C319" s="34" t="s">
        <v>2160</v>
      </c>
      <c r="D319" s="33"/>
      <c r="E319" s="33"/>
      <c r="F319" s="85"/>
      <c r="G319" s="37"/>
      <c r="H319" s="313">
        <v>258</v>
      </c>
      <c r="I319" s="293"/>
      <c r="J319" s="313">
        <v>130.45</v>
      </c>
      <c r="K319" s="313">
        <v>130.45</v>
      </c>
    </row>
    <row r="320" spans="2:11">
      <c r="B320" s="33" t="s">
        <v>119</v>
      </c>
      <c r="C320" s="34" t="s">
        <v>2161</v>
      </c>
      <c r="D320" s="33"/>
      <c r="E320" s="33"/>
      <c r="F320" s="85"/>
      <c r="G320" s="37"/>
      <c r="H320" s="313">
        <v>118</v>
      </c>
      <c r="I320" s="293"/>
      <c r="J320" s="313">
        <v>58.19</v>
      </c>
      <c r="K320" s="313">
        <v>58.19</v>
      </c>
    </row>
    <row r="321" spans="2:11">
      <c r="B321" s="33" t="s">
        <v>113</v>
      </c>
      <c r="C321" s="34" t="s">
        <v>2162</v>
      </c>
      <c r="D321" s="33"/>
      <c r="E321" s="33"/>
      <c r="F321" s="85"/>
      <c r="G321" s="37"/>
      <c r="H321" s="313">
        <v>160</v>
      </c>
      <c r="I321" s="293"/>
      <c r="J321" s="313">
        <v>74.8</v>
      </c>
      <c r="K321" s="313">
        <v>74.8</v>
      </c>
    </row>
    <row r="322" spans="2:11">
      <c r="B322" s="33" t="s">
        <v>93</v>
      </c>
      <c r="C322" s="34" t="s">
        <v>2163</v>
      </c>
      <c r="D322" s="33"/>
      <c r="E322" s="33"/>
      <c r="F322" s="85"/>
      <c r="G322" s="37"/>
      <c r="H322" s="313">
        <v>172</v>
      </c>
      <c r="I322" s="293"/>
      <c r="J322" s="313">
        <v>81.33</v>
      </c>
      <c r="K322" s="313">
        <v>81.33</v>
      </c>
    </row>
    <row r="323" spans="2:11">
      <c r="B323" s="33" t="s">
        <v>60</v>
      </c>
      <c r="C323" s="34" t="s">
        <v>2164</v>
      </c>
      <c r="D323" s="33"/>
      <c r="E323" s="33"/>
      <c r="F323" s="85"/>
      <c r="G323" s="37"/>
      <c r="H323" s="313">
        <v>66</v>
      </c>
      <c r="I323" s="293"/>
      <c r="J323" s="313">
        <v>28.3</v>
      </c>
      <c r="K323" s="313">
        <v>28.3</v>
      </c>
    </row>
    <row r="324" spans="2:11">
      <c r="B324" s="33" t="s">
        <v>2165</v>
      </c>
      <c r="C324" s="34" t="s">
        <v>2166</v>
      </c>
      <c r="D324" s="33"/>
      <c r="E324" s="33"/>
      <c r="F324" s="85"/>
      <c r="G324" s="37"/>
      <c r="H324" s="313">
        <v>79</v>
      </c>
      <c r="I324" s="293"/>
      <c r="J324" s="313">
        <v>30.32</v>
      </c>
      <c r="K324" s="313">
        <v>30.32</v>
      </c>
    </row>
    <row r="325" spans="2:11">
      <c r="B325" s="33" t="s">
        <v>2167</v>
      </c>
      <c r="C325" s="34" t="s">
        <v>2168</v>
      </c>
      <c r="D325" s="33"/>
      <c r="E325" s="33"/>
      <c r="F325" s="85"/>
      <c r="G325" s="37"/>
      <c r="H325" s="313">
        <v>33</v>
      </c>
      <c r="I325" s="293"/>
      <c r="J325" s="313">
        <v>14.15</v>
      </c>
      <c r="K325" s="313">
        <v>14.15</v>
      </c>
    </row>
    <row r="326" spans="2:11">
      <c r="B326" s="33" t="s">
        <v>2169</v>
      </c>
      <c r="C326" s="34" t="s">
        <v>2170</v>
      </c>
      <c r="D326" s="33"/>
      <c r="E326" s="33"/>
      <c r="F326" s="85"/>
      <c r="G326" s="37"/>
      <c r="H326" s="313">
        <v>68</v>
      </c>
      <c r="I326" s="293"/>
      <c r="J326" s="313">
        <v>32.66</v>
      </c>
      <c r="K326" s="313">
        <v>32.66</v>
      </c>
    </row>
    <row r="327" spans="2:11">
      <c r="B327" s="33" t="s">
        <v>99</v>
      </c>
      <c r="C327" s="34" t="s">
        <v>2171</v>
      </c>
      <c r="D327" s="33"/>
      <c r="E327" s="33"/>
      <c r="F327" s="85"/>
      <c r="G327" s="37"/>
      <c r="H327" s="313">
        <v>92</v>
      </c>
      <c r="I327" s="293"/>
      <c r="J327" s="313">
        <v>41.06</v>
      </c>
      <c r="K327" s="313">
        <v>41.06</v>
      </c>
    </row>
    <row r="328" spans="2:11">
      <c r="B328" s="33" t="s">
        <v>2172</v>
      </c>
      <c r="C328" s="34" t="s">
        <v>2173</v>
      </c>
      <c r="D328" s="33"/>
      <c r="E328" s="33"/>
      <c r="F328" s="85"/>
      <c r="G328" s="37"/>
      <c r="H328" s="313">
        <v>53</v>
      </c>
      <c r="I328" s="293"/>
      <c r="J328" s="313">
        <v>31.42</v>
      </c>
      <c r="K328" s="313">
        <v>31.42</v>
      </c>
    </row>
    <row r="329" spans="2:11">
      <c r="B329" s="33" t="s">
        <v>2174</v>
      </c>
      <c r="C329" s="34" t="s">
        <v>2175</v>
      </c>
      <c r="D329" s="33"/>
      <c r="E329" s="33"/>
      <c r="F329" s="85"/>
      <c r="G329" s="37"/>
      <c r="H329" s="313">
        <v>59</v>
      </c>
      <c r="I329" s="293"/>
      <c r="J329" s="313">
        <v>33.48</v>
      </c>
      <c r="K329" s="313">
        <v>33.48</v>
      </c>
    </row>
    <row r="330" spans="2:11">
      <c r="B330" s="33" t="s">
        <v>2176</v>
      </c>
      <c r="C330" s="34" t="s">
        <v>2177</v>
      </c>
      <c r="D330" s="33"/>
      <c r="E330" s="33"/>
      <c r="F330" s="85"/>
      <c r="G330" s="37"/>
      <c r="H330" s="313">
        <v>37</v>
      </c>
      <c r="I330" s="293"/>
      <c r="J330" s="313">
        <v>17.54</v>
      </c>
      <c r="K330" s="313">
        <v>17.54</v>
      </c>
    </row>
    <row r="331" spans="2:11">
      <c r="B331" s="33" t="s">
        <v>2178</v>
      </c>
      <c r="C331" s="34" t="s">
        <v>2179</v>
      </c>
      <c r="D331" s="33"/>
      <c r="E331" s="33"/>
      <c r="F331" s="85"/>
      <c r="G331" s="37"/>
      <c r="H331" s="313">
        <v>65</v>
      </c>
      <c r="I331" s="293"/>
      <c r="J331" s="313">
        <v>40.86</v>
      </c>
      <c r="K331" s="313">
        <v>40.86</v>
      </c>
    </row>
    <row r="332" spans="2:11">
      <c r="B332" s="33" t="s">
        <v>140</v>
      </c>
      <c r="C332" s="34" t="s">
        <v>2180</v>
      </c>
      <c r="D332" s="33"/>
      <c r="E332" s="33"/>
      <c r="F332" s="85"/>
      <c r="G332" s="37"/>
      <c r="H332" s="313">
        <v>80</v>
      </c>
      <c r="I332" s="293"/>
      <c r="J332" s="313">
        <v>38.18</v>
      </c>
      <c r="K332" s="313">
        <v>38.18</v>
      </c>
    </row>
    <row r="333" spans="2:11">
      <c r="B333" s="33" t="s">
        <v>137</v>
      </c>
      <c r="C333" s="34" t="s">
        <v>2181</v>
      </c>
      <c r="D333" s="33"/>
      <c r="E333" s="33"/>
      <c r="F333" s="85"/>
      <c r="G333" s="37"/>
      <c r="H333" s="313">
        <v>92</v>
      </c>
      <c r="I333" s="293"/>
      <c r="J333" s="313">
        <v>41</v>
      </c>
      <c r="K333" s="313">
        <v>41</v>
      </c>
    </row>
    <row r="334" spans="2:11">
      <c r="B334" s="33" t="s">
        <v>134</v>
      </c>
      <c r="C334" s="34" t="s">
        <v>2182</v>
      </c>
      <c r="D334" s="33"/>
      <c r="E334" s="33"/>
      <c r="F334" s="85"/>
      <c r="G334" s="37"/>
      <c r="H334" s="313">
        <v>105</v>
      </c>
      <c r="I334" s="293"/>
      <c r="J334" s="313">
        <v>43.79</v>
      </c>
      <c r="K334" s="313">
        <v>43.79</v>
      </c>
    </row>
    <row r="335" spans="2:11">
      <c r="B335" s="33" t="s">
        <v>2183</v>
      </c>
      <c r="C335" s="34" t="s">
        <v>2184</v>
      </c>
      <c r="D335" s="33"/>
      <c r="E335" s="33"/>
      <c r="F335" s="85"/>
      <c r="G335" s="37"/>
      <c r="H335" s="313">
        <v>135</v>
      </c>
      <c r="I335" s="293"/>
      <c r="J335" s="313">
        <v>65.95</v>
      </c>
      <c r="K335" s="313">
        <v>65.95</v>
      </c>
    </row>
    <row r="336" spans="2:11">
      <c r="B336" s="33" t="s">
        <v>149</v>
      </c>
      <c r="C336" s="34" t="s">
        <v>2185</v>
      </c>
      <c r="D336" s="33"/>
      <c r="E336" s="33"/>
      <c r="F336" s="85"/>
      <c r="G336" s="37"/>
      <c r="H336" s="313">
        <v>135</v>
      </c>
      <c r="I336" s="293"/>
      <c r="J336" s="313">
        <v>67.11</v>
      </c>
      <c r="K336" s="313">
        <v>67.11</v>
      </c>
    </row>
    <row r="337" spans="2:11">
      <c r="B337" s="33" t="s">
        <v>146</v>
      </c>
      <c r="C337" s="34" t="s">
        <v>2186</v>
      </c>
      <c r="D337" s="33"/>
      <c r="E337" s="33"/>
      <c r="F337" s="85"/>
      <c r="G337" s="37"/>
      <c r="H337" s="313">
        <v>148</v>
      </c>
      <c r="I337" s="293"/>
      <c r="J337" s="313">
        <v>73.15</v>
      </c>
      <c r="K337" s="313">
        <v>73.15</v>
      </c>
    </row>
    <row r="338" spans="2:11">
      <c r="B338" s="33" t="s">
        <v>167</v>
      </c>
      <c r="C338" s="34" t="s">
        <v>2187</v>
      </c>
      <c r="D338" s="33"/>
      <c r="E338" s="33"/>
      <c r="F338" s="85"/>
      <c r="G338" s="37"/>
      <c r="H338" s="313">
        <v>74</v>
      </c>
      <c r="I338" s="293"/>
      <c r="J338" s="313">
        <v>36.26</v>
      </c>
      <c r="K338" s="313">
        <v>36.26</v>
      </c>
    </row>
    <row r="339" spans="2:11">
      <c r="B339" s="33" t="s">
        <v>2188</v>
      </c>
      <c r="C339" s="34" t="s">
        <v>2189</v>
      </c>
      <c r="D339" s="33"/>
      <c r="E339" s="33"/>
      <c r="F339" s="85"/>
      <c r="G339" s="37"/>
      <c r="H339" s="313">
        <v>39</v>
      </c>
      <c r="I339" s="293"/>
      <c r="J339" s="313">
        <v>25.09</v>
      </c>
      <c r="K339" s="313">
        <v>25.09</v>
      </c>
    </row>
    <row r="340" spans="2:11">
      <c r="B340" s="33" t="s">
        <v>2190</v>
      </c>
      <c r="C340" s="34" t="s">
        <v>2191</v>
      </c>
      <c r="D340" s="33"/>
      <c r="E340" s="33"/>
      <c r="F340" s="85"/>
      <c r="G340" s="37"/>
      <c r="H340" s="313">
        <v>31</v>
      </c>
      <c r="I340" s="293"/>
      <c r="J340" s="313">
        <v>14.62</v>
      </c>
      <c r="K340" s="313">
        <v>14.62</v>
      </c>
    </row>
    <row r="341" spans="2:11">
      <c r="B341" s="33" t="s">
        <v>2192</v>
      </c>
      <c r="C341" s="34" t="s">
        <v>2193</v>
      </c>
      <c r="D341" s="33"/>
      <c r="E341" s="33"/>
      <c r="F341" s="85"/>
      <c r="G341" s="37"/>
      <c r="H341" s="313">
        <v>45</v>
      </c>
      <c r="I341" s="293"/>
      <c r="J341" s="313">
        <v>26.58</v>
      </c>
      <c r="K341" s="313">
        <v>26.58</v>
      </c>
    </row>
    <row r="342" spans="2:11">
      <c r="B342" s="33" t="s">
        <v>2194</v>
      </c>
      <c r="C342" s="34" t="s">
        <v>2195</v>
      </c>
      <c r="D342" s="33"/>
      <c r="E342" s="33"/>
      <c r="F342" s="85"/>
      <c r="G342" s="37"/>
      <c r="H342" s="313">
        <v>53</v>
      </c>
      <c r="I342" s="293"/>
      <c r="J342" s="313">
        <v>31.3</v>
      </c>
      <c r="K342" s="313">
        <v>31.3</v>
      </c>
    </row>
    <row r="343" spans="2:11">
      <c r="B343" s="33" t="s">
        <v>131</v>
      </c>
      <c r="C343" s="34" t="s">
        <v>2196</v>
      </c>
      <c r="D343" s="33"/>
      <c r="E343" s="33"/>
      <c r="F343" s="85"/>
      <c r="G343" s="37"/>
      <c r="H343" s="313">
        <v>74</v>
      </c>
      <c r="I343" s="293"/>
      <c r="J343" s="313">
        <v>33.34</v>
      </c>
      <c r="K343" s="313">
        <v>33.34</v>
      </c>
    </row>
    <row r="344" spans="2:11">
      <c r="B344" s="33" t="s">
        <v>128</v>
      </c>
      <c r="C344" s="34" t="s">
        <v>2197</v>
      </c>
      <c r="D344" s="33"/>
      <c r="E344" s="33"/>
      <c r="F344" s="85"/>
      <c r="G344" s="37"/>
      <c r="H344" s="313">
        <v>86</v>
      </c>
      <c r="I344" s="293"/>
      <c r="J344" s="313">
        <v>38.23</v>
      </c>
      <c r="K344" s="313">
        <v>38.23</v>
      </c>
    </row>
    <row r="345" spans="2:11">
      <c r="B345" s="33" t="s">
        <v>2198</v>
      </c>
      <c r="C345" s="34" t="s">
        <v>2199</v>
      </c>
      <c r="D345" s="33"/>
      <c r="E345" s="33"/>
      <c r="F345" s="85"/>
      <c r="G345" s="37"/>
      <c r="H345" s="313">
        <v>209</v>
      </c>
      <c r="I345" s="293"/>
      <c r="J345" s="313">
        <v>100.9</v>
      </c>
      <c r="K345" s="313">
        <v>100.9</v>
      </c>
    </row>
    <row r="346" spans="2:11">
      <c r="B346" s="33" t="s">
        <v>2200</v>
      </c>
      <c r="C346" s="34" t="s">
        <v>2201</v>
      </c>
      <c r="D346" s="33"/>
      <c r="E346" s="33"/>
      <c r="F346" s="85"/>
      <c r="G346" s="37"/>
      <c r="H346" s="313">
        <v>117</v>
      </c>
      <c r="I346" s="293"/>
      <c r="J346" s="313">
        <v>57.61</v>
      </c>
      <c r="K346" s="313">
        <v>57.61</v>
      </c>
    </row>
    <row r="347" spans="2:11">
      <c r="B347" s="33" t="s">
        <v>2202</v>
      </c>
      <c r="C347" s="34" t="s">
        <v>2203</v>
      </c>
      <c r="D347" s="33"/>
      <c r="E347" s="33"/>
      <c r="F347" s="85"/>
      <c r="G347" s="37"/>
      <c r="H347" s="313">
        <v>11</v>
      </c>
      <c r="I347" s="293"/>
      <c r="J347" s="313">
        <v>3.47</v>
      </c>
      <c r="K347" s="313">
        <v>3.47</v>
      </c>
    </row>
    <row r="348" spans="2:11">
      <c r="B348" s="33" t="s">
        <v>2204</v>
      </c>
      <c r="C348" s="34" t="s">
        <v>2205</v>
      </c>
      <c r="D348" s="33"/>
      <c r="E348" s="33"/>
      <c r="F348" s="85"/>
      <c r="G348" s="37"/>
      <c r="H348" s="313">
        <v>12</v>
      </c>
      <c r="I348" s="293"/>
      <c r="J348" s="313">
        <v>5.9</v>
      </c>
      <c r="K348" s="313">
        <v>5.9</v>
      </c>
    </row>
    <row r="349" spans="2:11">
      <c r="B349" s="33" t="s">
        <v>2206</v>
      </c>
      <c r="C349" s="34" t="s">
        <v>2207</v>
      </c>
      <c r="D349" s="33"/>
      <c r="E349" s="33"/>
      <c r="F349" s="85"/>
      <c r="G349" s="37"/>
      <c r="H349" s="313">
        <v>17</v>
      </c>
      <c r="I349" s="293"/>
      <c r="J349" s="313">
        <v>7.07</v>
      </c>
      <c r="K349" s="313">
        <v>7.07</v>
      </c>
    </row>
    <row r="350" spans="2:11">
      <c r="B350" s="33" t="s">
        <v>2208</v>
      </c>
      <c r="C350" s="34" t="s">
        <v>2209</v>
      </c>
      <c r="D350" s="33"/>
      <c r="E350" s="33"/>
      <c r="F350" s="85"/>
      <c r="G350" s="37"/>
      <c r="H350" s="313">
        <v>129</v>
      </c>
      <c r="I350" s="293"/>
      <c r="J350" s="313">
        <v>62.6</v>
      </c>
      <c r="K350" s="313">
        <v>62.6</v>
      </c>
    </row>
    <row r="351" spans="2:11">
      <c r="B351" s="33" t="s">
        <v>2210</v>
      </c>
      <c r="C351" s="34" t="s">
        <v>2211</v>
      </c>
      <c r="D351" s="33"/>
      <c r="E351" s="33"/>
      <c r="F351" s="85"/>
      <c r="G351" s="37"/>
      <c r="H351" s="313">
        <v>192</v>
      </c>
      <c r="I351" s="293"/>
      <c r="J351" s="313">
        <v>92.72</v>
      </c>
      <c r="K351" s="313">
        <v>92.72</v>
      </c>
    </row>
    <row r="352" spans="2:11">
      <c r="B352" s="33" t="s">
        <v>2212</v>
      </c>
      <c r="C352" s="34" t="s">
        <v>2213</v>
      </c>
      <c r="D352" s="33"/>
      <c r="E352" s="33"/>
      <c r="F352" s="85"/>
      <c r="G352" s="37"/>
      <c r="H352" s="313">
        <v>160</v>
      </c>
      <c r="I352" s="293"/>
      <c r="J352" s="313">
        <v>76.78</v>
      </c>
      <c r="K352" s="313">
        <v>76.78</v>
      </c>
    </row>
    <row r="353" spans="2:11">
      <c r="B353" s="33" t="s">
        <v>2214</v>
      </c>
      <c r="C353" s="34" t="s">
        <v>2215</v>
      </c>
      <c r="D353" s="33"/>
      <c r="E353" s="33"/>
      <c r="F353" s="85"/>
      <c r="G353" s="37"/>
      <c r="H353" s="313">
        <v>123</v>
      </c>
      <c r="I353" s="293"/>
      <c r="J353" s="313">
        <v>59.06</v>
      </c>
      <c r="K353" s="313">
        <v>59.06</v>
      </c>
    </row>
    <row r="354" spans="2:11">
      <c r="B354" s="33" t="s">
        <v>2216</v>
      </c>
      <c r="C354" s="34" t="s">
        <v>2217</v>
      </c>
      <c r="D354" s="33"/>
      <c r="E354" s="33"/>
      <c r="F354" s="85"/>
      <c r="G354" s="37"/>
      <c r="H354" s="313">
        <v>713</v>
      </c>
      <c r="I354" s="293"/>
      <c r="J354" s="313">
        <v>307.13</v>
      </c>
      <c r="K354" s="313">
        <v>307.13</v>
      </c>
    </row>
    <row r="355" spans="2:11">
      <c r="B355" s="33" t="s">
        <v>2218</v>
      </c>
      <c r="C355" s="34" t="s">
        <v>2219</v>
      </c>
      <c r="D355" s="33"/>
      <c r="E355" s="33"/>
      <c r="F355" s="85"/>
      <c r="G355" s="37"/>
      <c r="H355" s="313">
        <v>160</v>
      </c>
      <c r="I355" s="293"/>
      <c r="J355" s="313">
        <v>78.47</v>
      </c>
      <c r="K355" s="313">
        <v>78.47</v>
      </c>
    </row>
    <row r="356" spans="2:11">
      <c r="B356" s="33" t="s">
        <v>2220</v>
      </c>
      <c r="C356" s="34" t="s">
        <v>2221</v>
      </c>
      <c r="D356" s="33"/>
      <c r="E356" s="33"/>
      <c r="F356" s="85"/>
      <c r="G356" s="37"/>
      <c r="H356" s="313">
        <v>369</v>
      </c>
      <c r="I356" s="293"/>
      <c r="J356" s="313">
        <v>177.18</v>
      </c>
      <c r="K356" s="313">
        <v>177.18</v>
      </c>
    </row>
    <row r="357" spans="2:11">
      <c r="B357" s="33" t="s">
        <v>2222</v>
      </c>
      <c r="C357" s="34" t="s">
        <v>2223</v>
      </c>
      <c r="D357" s="33"/>
      <c r="E357" s="33"/>
      <c r="F357" s="85"/>
      <c r="G357" s="37"/>
      <c r="H357" s="313">
        <v>197</v>
      </c>
      <c r="I357" s="293"/>
      <c r="J357" s="313">
        <v>98.81</v>
      </c>
      <c r="K357" s="313">
        <v>98.81</v>
      </c>
    </row>
    <row r="358" spans="2:11">
      <c r="B358" s="33" t="s">
        <v>2224</v>
      </c>
      <c r="C358" s="34" t="s">
        <v>853</v>
      </c>
      <c r="D358" s="33"/>
      <c r="E358" s="33"/>
      <c r="F358" s="85"/>
      <c r="G358" s="37"/>
      <c r="H358" s="313">
        <v>43</v>
      </c>
      <c r="I358" s="293"/>
      <c r="J358" s="313">
        <v>17.48</v>
      </c>
      <c r="K358" s="313">
        <v>15.73</v>
      </c>
    </row>
    <row r="359" spans="2:11">
      <c r="B359" s="33" t="s">
        <v>443</v>
      </c>
      <c r="C359" s="34" t="s">
        <v>2225</v>
      </c>
      <c r="D359" s="33"/>
      <c r="E359" s="33"/>
      <c r="F359" s="85"/>
      <c r="G359" s="37"/>
      <c r="H359" s="313">
        <v>105</v>
      </c>
      <c r="I359" s="293"/>
      <c r="J359" s="313">
        <v>52.02</v>
      </c>
      <c r="K359" s="313">
        <v>52.02</v>
      </c>
    </row>
    <row r="360" spans="2:11">
      <c r="B360" s="33" t="s">
        <v>431</v>
      </c>
      <c r="C360" s="34" t="s">
        <v>2226</v>
      </c>
      <c r="D360" s="33"/>
      <c r="E360" s="33"/>
      <c r="F360" s="85"/>
      <c r="G360" s="37"/>
      <c r="H360" s="313">
        <v>307</v>
      </c>
      <c r="I360" s="293"/>
      <c r="J360" s="313">
        <v>154.22</v>
      </c>
      <c r="K360" s="313">
        <v>154.22</v>
      </c>
    </row>
    <row r="361" spans="2:11">
      <c r="B361" s="33" t="s">
        <v>467</v>
      </c>
      <c r="C361" s="34" t="s">
        <v>2227</v>
      </c>
      <c r="D361" s="33"/>
      <c r="E361" s="33"/>
      <c r="F361" s="85"/>
      <c r="G361" s="37"/>
      <c r="H361" s="313">
        <v>578</v>
      </c>
      <c r="I361" s="293"/>
      <c r="J361" s="313">
        <v>291.65</v>
      </c>
      <c r="K361" s="313">
        <v>291.65</v>
      </c>
    </row>
    <row r="362" spans="2:11">
      <c r="B362" s="33" t="s">
        <v>461</v>
      </c>
      <c r="C362" s="34" t="s">
        <v>2228</v>
      </c>
      <c r="D362" s="33"/>
      <c r="E362" s="33"/>
      <c r="F362" s="85"/>
      <c r="G362" s="37"/>
      <c r="H362" s="313">
        <v>1107</v>
      </c>
      <c r="I362" s="293"/>
      <c r="J362" s="313">
        <v>537.35</v>
      </c>
      <c r="K362" s="313">
        <v>537.35</v>
      </c>
    </row>
    <row r="363" spans="2:11">
      <c r="B363" s="33" t="s">
        <v>428</v>
      </c>
      <c r="C363" s="34" t="s">
        <v>2229</v>
      </c>
      <c r="D363" s="33"/>
      <c r="E363" s="33"/>
      <c r="F363" s="85"/>
      <c r="G363" s="37"/>
      <c r="H363" s="313">
        <v>369</v>
      </c>
      <c r="I363" s="293"/>
      <c r="J363" s="313">
        <v>174.27</v>
      </c>
      <c r="K363" s="313">
        <v>174.27</v>
      </c>
    </row>
    <row r="364" spans="2:11">
      <c r="B364" s="33" t="s">
        <v>422</v>
      </c>
      <c r="C364" s="34" t="s">
        <v>2230</v>
      </c>
      <c r="D364" s="33"/>
      <c r="E364" s="33"/>
      <c r="F364" s="85"/>
      <c r="G364" s="37"/>
      <c r="H364" s="313">
        <v>541</v>
      </c>
      <c r="I364" s="293"/>
      <c r="J364" s="313">
        <v>262.71</v>
      </c>
      <c r="K364" s="313">
        <v>262.71</v>
      </c>
    </row>
    <row r="365" spans="2:11">
      <c r="B365" s="33" t="s">
        <v>2231</v>
      </c>
      <c r="C365" s="34" t="s">
        <v>2232</v>
      </c>
      <c r="D365" s="33"/>
      <c r="E365" s="33"/>
      <c r="F365" s="85"/>
      <c r="G365" s="37"/>
      <c r="H365" s="313">
        <v>1186</v>
      </c>
      <c r="I365" s="293"/>
      <c r="J365" s="313">
        <v>569.94</v>
      </c>
      <c r="K365" s="313">
        <v>569.94</v>
      </c>
    </row>
    <row r="366" spans="2:11">
      <c r="B366" s="33" t="s">
        <v>410</v>
      </c>
      <c r="C366" s="34" t="s">
        <v>2233</v>
      </c>
      <c r="D366" s="33"/>
      <c r="E366" s="33"/>
      <c r="F366" s="85"/>
      <c r="G366" s="37"/>
      <c r="H366" s="313">
        <v>984</v>
      </c>
      <c r="I366" s="293"/>
      <c r="J366" s="313">
        <v>416.97</v>
      </c>
      <c r="K366" s="313">
        <v>416.97</v>
      </c>
    </row>
    <row r="367" spans="2:11">
      <c r="B367" s="33" t="s">
        <v>413</v>
      </c>
      <c r="C367" s="34" t="s">
        <v>2234</v>
      </c>
      <c r="D367" s="33"/>
      <c r="E367" s="33"/>
      <c r="F367" s="85"/>
      <c r="G367" s="37"/>
      <c r="H367" s="313">
        <v>1107</v>
      </c>
      <c r="I367" s="293"/>
      <c r="J367" s="313">
        <v>488.84</v>
      </c>
      <c r="K367" s="313">
        <v>488.84</v>
      </c>
    </row>
    <row r="368" spans="2:11">
      <c r="B368" s="33" t="s">
        <v>2235</v>
      </c>
      <c r="C368" s="34" t="s">
        <v>2236</v>
      </c>
      <c r="D368" s="33"/>
      <c r="E368" s="33"/>
      <c r="F368" s="85"/>
      <c r="G368" s="37"/>
      <c r="H368" s="313">
        <v>246</v>
      </c>
      <c r="I368" s="293"/>
      <c r="J368" s="313">
        <v>118.12</v>
      </c>
      <c r="K368" s="313">
        <v>118.12</v>
      </c>
    </row>
    <row r="369" spans="2:11">
      <c r="B369" s="33" t="s">
        <v>2237</v>
      </c>
      <c r="C369" s="34" t="s">
        <v>2238</v>
      </c>
      <c r="D369" s="33"/>
      <c r="E369" s="33"/>
      <c r="F369" s="85"/>
      <c r="G369" s="37"/>
      <c r="H369" s="313">
        <v>307</v>
      </c>
      <c r="I369" s="293"/>
      <c r="J369" s="313">
        <v>147.65</v>
      </c>
      <c r="K369" s="313">
        <v>147.65</v>
      </c>
    </row>
    <row r="370" spans="2:11">
      <c r="B370" s="33" t="s">
        <v>2239</v>
      </c>
      <c r="C370" s="34" t="s">
        <v>2240</v>
      </c>
      <c r="D370" s="33"/>
      <c r="E370" s="33"/>
      <c r="F370" s="85"/>
      <c r="G370" s="37"/>
      <c r="H370" s="313">
        <v>553</v>
      </c>
      <c r="I370" s="293"/>
      <c r="J370" s="313">
        <v>265.78</v>
      </c>
      <c r="K370" s="313">
        <v>265.78</v>
      </c>
    </row>
    <row r="371" spans="2:11">
      <c r="B371" s="33" t="s">
        <v>2241</v>
      </c>
      <c r="C371" s="34" t="s">
        <v>2242</v>
      </c>
      <c r="D371" s="33"/>
      <c r="E371" s="33"/>
      <c r="F371" s="85"/>
      <c r="G371" s="37"/>
      <c r="H371" s="313">
        <v>614</v>
      </c>
      <c r="I371" s="293"/>
      <c r="J371" s="313">
        <v>295.31</v>
      </c>
      <c r="K371" s="313">
        <v>295.31</v>
      </c>
    </row>
    <row r="372" spans="2:11">
      <c r="B372" s="33" t="s">
        <v>2243</v>
      </c>
      <c r="C372" s="34" t="s">
        <v>2244</v>
      </c>
      <c r="D372" s="33"/>
      <c r="E372" s="33"/>
      <c r="F372" s="85"/>
      <c r="G372" s="37"/>
      <c r="H372" s="313">
        <v>737</v>
      </c>
      <c r="I372" s="293"/>
      <c r="J372" s="313">
        <v>354.37</v>
      </c>
      <c r="K372" s="313">
        <v>354.37</v>
      </c>
    </row>
    <row r="373" spans="2:11">
      <c r="B373" s="33" t="s">
        <v>69</v>
      </c>
      <c r="C373" s="34" t="s">
        <v>2245</v>
      </c>
      <c r="D373" s="33"/>
      <c r="E373" s="33"/>
      <c r="F373" s="85"/>
      <c r="G373" s="37"/>
      <c r="H373" s="313">
        <v>55</v>
      </c>
      <c r="I373" s="293"/>
      <c r="J373" s="313">
        <v>28.28</v>
      </c>
      <c r="K373" s="313">
        <v>28.28</v>
      </c>
    </row>
    <row r="374" spans="2:11">
      <c r="B374" s="33" t="s">
        <v>66</v>
      </c>
      <c r="C374" s="34" t="s">
        <v>2246</v>
      </c>
      <c r="D374" s="33"/>
      <c r="E374" s="33"/>
      <c r="F374" s="85"/>
      <c r="G374" s="37"/>
      <c r="H374" s="313">
        <v>61</v>
      </c>
      <c r="I374" s="293"/>
      <c r="J374" s="313">
        <v>30.12</v>
      </c>
      <c r="K374" s="313">
        <v>30.12</v>
      </c>
    </row>
    <row r="375" spans="2:11">
      <c r="B375" s="33" t="s">
        <v>162</v>
      </c>
      <c r="C375" s="34" t="s">
        <v>2247</v>
      </c>
      <c r="D375" s="33"/>
      <c r="E375" s="33"/>
      <c r="F375" s="85"/>
      <c r="G375" s="37"/>
      <c r="H375" s="313">
        <v>65</v>
      </c>
      <c r="I375" s="293"/>
      <c r="J375" s="313">
        <v>29.44</v>
      </c>
      <c r="K375" s="313">
        <v>29.44</v>
      </c>
    </row>
    <row r="376" spans="2:11">
      <c r="B376" s="33" t="s">
        <v>63</v>
      </c>
      <c r="C376" s="34" t="s">
        <v>2248</v>
      </c>
      <c r="D376" s="33"/>
      <c r="E376" s="33"/>
      <c r="F376" s="85"/>
      <c r="G376" s="37"/>
      <c r="H376" s="313">
        <v>68</v>
      </c>
      <c r="I376" s="293"/>
      <c r="J376" s="313">
        <v>34.02</v>
      </c>
      <c r="K376" s="313">
        <v>34.02</v>
      </c>
    </row>
    <row r="377" spans="2:11">
      <c r="B377" s="33" t="s">
        <v>2249</v>
      </c>
      <c r="C377" s="34" t="s">
        <v>2250</v>
      </c>
      <c r="D377" s="33"/>
      <c r="E377" s="33"/>
      <c r="F377" s="85"/>
      <c r="G377" s="37"/>
      <c r="H377" s="313">
        <v>63</v>
      </c>
      <c r="I377" s="293"/>
      <c r="J377" s="313">
        <v>30.11</v>
      </c>
      <c r="K377" s="313">
        <v>30.11</v>
      </c>
    </row>
    <row r="378" spans="2:11">
      <c r="B378" s="33" t="s">
        <v>345</v>
      </c>
      <c r="C378" s="34" t="s">
        <v>2251</v>
      </c>
      <c r="D378" s="33"/>
      <c r="E378" s="33"/>
      <c r="F378" s="85"/>
      <c r="G378" s="37"/>
      <c r="H378" s="313">
        <v>20</v>
      </c>
      <c r="I378" s="293"/>
      <c r="J378" s="313">
        <v>11</v>
      </c>
      <c r="K378" s="313">
        <v>11</v>
      </c>
    </row>
    <row r="379" spans="2:11">
      <c r="B379" s="33" t="s">
        <v>342</v>
      </c>
      <c r="C379" s="34" t="s">
        <v>2252</v>
      </c>
      <c r="D379" s="33"/>
      <c r="E379" s="33"/>
      <c r="F379" s="85"/>
      <c r="G379" s="37"/>
      <c r="H379" s="313">
        <v>17</v>
      </c>
      <c r="I379" s="293"/>
      <c r="J379" s="313">
        <v>8.58</v>
      </c>
      <c r="K379" s="313">
        <v>8.58</v>
      </c>
    </row>
    <row r="380" spans="1:11">
      <c r="A380" s="2"/>
      <c r="B380" s="2"/>
      <c r="C380" s="2"/>
      <c r="D380" s="2"/>
      <c r="E380" s="2"/>
      <c r="F380" s="2"/>
      <c r="G380" s="8"/>
      <c r="H380" s="285"/>
      <c r="I380" s="285"/>
      <c r="J380" s="283"/>
      <c r="K380" s="283"/>
    </row>
    <row r="381" spans="1:11">
      <c r="A381" s="2"/>
      <c r="B381" s="2"/>
      <c r="C381" s="2"/>
      <c r="D381" s="2"/>
      <c r="E381" s="2"/>
      <c r="F381" s="2"/>
      <c r="G381" s="8"/>
      <c r="H381" s="285"/>
      <c r="I381" s="285"/>
      <c r="J381" s="283"/>
      <c r="K381" s="283"/>
    </row>
  </sheetData>
  <mergeCells count="23">
    <mergeCell ref="B4:C4"/>
    <mergeCell ref="B15:C15"/>
    <mergeCell ref="B30:C30"/>
    <mergeCell ref="B35:C35"/>
    <mergeCell ref="B41:C41"/>
    <mergeCell ref="B45:C45"/>
    <mergeCell ref="B53:C53"/>
    <mergeCell ref="B65:C65"/>
    <mergeCell ref="B78:C78"/>
    <mergeCell ref="B107:C107"/>
    <mergeCell ref="B125:C125"/>
    <mergeCell ref="B133:C133"/>
    <mergeCell ref="B138:C138"/>
    <mergeCell ref="B141:C141"/>
    <mergeCell ref="B148:C148"/>
    <mergeCell ref="B154:C154"/>
    <mergeCell ref="B163:C163"/>
    <mergeCell ref="B169:C169"/>
    <mergeCell ref="B193:C193"/>
    <mergeCell ref="B199:C199"/>
    <mergeCell ref="B222:C222"/>
    <mergeCell ref="B292:C292"/>
    <mergeCell ref="B300:C300"/>
  </mergeCells>
  <pageMargins left="0.7" right="0.7" top="0.75" bottom="0.75" header="0.3" footer="0.3"/>
  <pageSetup orientation="portrait"/>
  <headerFooter scaleWithDoc="1" alignWithMargins="0" differentFirst="0" differentOddEven="0"/>
  <drawing r:id="rId2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L370"/>
  <sheetViews>
    <sheetView topLeftCell="A1" zoomScale="110" view="normal" workbookViewId="0">
      <pane ySplit="2" topLeftCell="A3" activePane="bottomLeft" state="frozen"/>
      <selection pane="bottomLeft" activeCell="J11" sqref="J11"/>
    </sheetView>
  </sheetViews>
  <sheetFormatPr defaultColWidth="9.140625" defaultRowHeight="15"/>
  <cols>
    <col min="1" max="1" width="2.7109375" style="235" customWidth="1"/>
    <col min="2" max="2" width="11.7109375" style="235" customWidth="1"/>
    <col min="3" max="3" width="84.7109375" style="235" customWidth="1"/>
    <col min="4" max="4" width="20.7109375" style="235" customWidth="1"/>
    <col min="5" max="7" width="12.7109375" style="235" customWidth="1"/>
    <col min="8" max="16384" width="9.140625" style="235" customWidth="1"/>
  </cols>
  <sheetData>
    <row r="1" spans="2:3" ht="60" customHeight="1">
      <c r="B1" s="233" t="s">
        <v>0</v>
      </c>
      <c r="C1" s="234"/>
    </row>
    <row r="2" spans="2:7" s="236" customFormat="1" ht="42" customHeight="1">
      <c r="B2" s="300" t="s">
        <v>2</v>
      </c>
      <c r="C2" s="300" t="s">
        <v>3</v>
      </c>
      <c r="D2" s="300" t="s">
        <v>4</v>
      </c>
      <c r="E2" s="301" t="s">
        <v>9</v>
      </c>
      <c r="F2" s="301" t="s">
        <v>8</v>
      </c>
      <c r="G2" s="301" t="s">
        <v>1916</v>
      </c>
    </row>
    <row r="3" spans="2:7" s="236" customFormat="1" ht="24" customHeight="1">
      <c r="B3" s="299"/>
      <c r="C3" s="216" t="s">
        <v>886</v>
      </c>
      <c r="D3" s="211"/>
      <c r="E3" s="211"/>
      <c r="F3" s="120"/>
      <c r="G3" s="120"/>
    </row>
    <row r="4" spans="2:7" s="238" customFormat="1" customHeight="1">
      <c r="B4" s="20" t="s">
        <v>887</v>
      </c>
      <c r="C4" s="309"/>
      <c r="D4" s="21"/>
      <c r="E4" s="21"/>
      <c r="F4" s="21"/>
      <c r="G4" s="237"/>
    </row>
    <row r="5" spans="2:8" s="238" customFormat="1" customHeight="1">
      <c r="B5" s="314" t="s">
        <v>909</v>
      </c>
      <c r="C5" s="240" t="s">
        <v>910</v>
      </c>
      <c r="D5" s="266" t="s">
        <v>890</v>
      </c>
      <c r="E5" s="315">
        <v>53.99</v>
      </c>
      <c r="F5" s="315">
        <v>18.15</v>
      </c>
      <c r="G5" s="315">
        <v>16.34</v>
      </c>
      <c r="H5" s="304"/>
    </row>
    <row r="6" spans="2:8">
      <c r="B6" s="314" t="s">
        <v>903</v>
      </c>
      <c r="C6" s="240" t="s">
        <v>904</v>
      </c>
      <c r="D6" s="266"/>
      <c r="E6" s="315">
        <v>94.99</v>
      </c>
      <c r="F6" s="315">
        <v>49.43</v>
      </c>
      <c r="G6" s="315">
        <v>44.49</v>
      </c>
      <c r="H6" s="304"/>
    </row>
    <row r="7" spans="2:8">
      <c r="B7" s="314" t="s">
        <v>897</v>
      </c>
      <c r="C7" s="240" t="s">
        <v>898</v>
      </c>
      <c r="D7" s="266"/>
      <c r="E7" s="315">
        <v>161.99</v>
      </c>
      <c r="F7" s="315">
        <v>64.26</v>
      </c>
      <c r="G7" s="315">
        <v>57.84</v>
      </c>
      <c r="H7" s="304"/>
    </row>
    <row r="8" spans="2:8">
      <c r="B8" s="314" t="s">
        <v>894</v>
      </c>
      <c r="C8" s="240" t="s">
        <v>895</v>
      </c>
      <c r="D8" s="266"/>
      <c r="E8" s="315">
        <v>175.99</v>
      </c>
      <c r="F8" s="315">
        <v>78.82</v>
      </c>
      <c r="G8" s="315">
        <v>70.93</v>
      </c>
      <c r="H8" s="304"/>
    </row>
    <row r="9" spans="2:8">
      <c r="B9" s="314" t="s">
        <v>891</v>
      </c>
      <c r="C9" s="240" t="s">
        <v>892</v>
      </c>
      <c r="D9" s="266"/>
      <c r="E9" s="315">
        <v>216.99</v>
      </c>
      <c r="F9" s="315">
        <v>84.88</v>
      </c>
      <c r="G9" s="315">
        <v>76.39</v>
      </c>
      <c r="H9" s="304"/>
    </row>
    <row r="10" spans="2:8">
      <c r="B10" s="314" t="s">
        <v>888</v>
      </c>
      <c r="C10" s="240" t="s">
        <v>889</v>
      </c>
      <c r="D10" s="266"/>
      <c r="E10" s="315">
        <v>310.99</v>
      </c>
      <c r="F10" s="315">
        <v>121.25</v>
      </c>
      <c r="G10" s="315">
        <v>109.13</v>
      </c>
      <c r="H10" s="304"/>
    </row>
    <row r="11" spans="2:8">
      <c r="B11" s="314" t="s">
        <v>906</v>
      </c>
      <c r="C11" s="240" t="s">
        <v>2253</v>
      </c>
      <c r="D11" s="266"/>
      <c r="E11" s="315">
        <v>88.99</v>
      </c>
      <c r="F11" s="315">
        <v>19.02</v>
      </c>
      <c r="G11" s="315">
        <v>17.12</v>
      </c>
      <c r="H11" s="304"/>
    </row>
    <row r="12" spans="2:8">
      <c r="B12" s="314" t="s">
        <v>900</v>
      </c>
      <c r="C12" s="240" t="s">
        <v>901</v>
      </c>
      <c r="D12" s="266"/>
      <c r="E12" s="315">
        <v>107.99</v>
      </c>
      <c r="F12" s="315">
        <v>52.78</v>
      </c>
      <c r="G12" s="315">
        <v>47.5</v>
      </c>
      <c r="H12" s="304"/>
    </row>
    <row r="14" spans="2:7" customHeight="1">
      <c r="B14" s="20" t="s">
        <v>2254</v>
      </c>
      <c r="C14" s="309"/>
      <c r="D14" s="21"/>
      <c r="E14" s="21"/>
      <c r="F14" s="21"/>
      <c r="G14" s="237"/>
    </row>
    <row r="15" spans="2:8">
      <c r="B15" s="314" t="s">
        <v>913</v>
      </c>
      <c r="C15" s="240" t="s">
        <v>914</v>
      </c>
      <c r="D15" s="266"/>
      <c r="E15" s="315">
        <v>40.99</v>
      </c>
      <c r="F15" s="315">
        <v>9.6</v>
      </c>
      <c r="G15" s="315">
        <v>8.64</v>
      </c>
      <c r="H15" s="304"/>
    </row>
    <row r="16" spans="2:8">
      <c r="B16" s="314" t="s">
        <v>916</v>
      </c>
      <c r="C16" s="240" t="s">
        <v>917</v>
      </c>
      <c r="D16" s="266"/>
      <c r="E16" s="315">
        <v>34.99</v>
      </c>
      <c r="F16" s="315">
        <v>8.11</v>
      </c>
      <c r="G16" s="315">
        <v>7.3</v>
      </c>
      <c r="H16" s="304"/>
    </row>
    <row r="17" spans="2:8">
      <c r="B17" s="314" t="s">
        <v>919</v>
      </c>
      <c r="C17" s="240" t="s">
        <v>920</v>
      </c>
      <c r="D17" s="266"/>
      <c r="E17" s="315">
        <v>49.99</v>
      </c>
      <c r="F17" s="315">
        <v>11.66</v>
      </c>
      <c r="G17" s="315">
        <v>10.49</v>
      </c>
      <c r="H17" s="304"/>
    </row>
    <row r="18" spans="2:8">
      <c r="B18" s="314" t="s">
        <v>922</v>
      </c>
      <c r="C18" s="240" t="s">
        <v>923</v>
      </c>
      <c r="D18" s="266"/>
      <c r="E18" s="315">
        <v>39.99</v>
      </c>
      <c r="F18" s="315">
        <v>9.25</v>
      </c>
      <c r="G18" s="315">
        <v>8.33</v>
      </c>
      <c r="H18" s="304"/>
    </row>
    <row r="19" spans="2:8">
      <c r="B19" s="314" t="s">
        <v>925</v>
      </c>
      <c r="C19" s="240" t="s">
        <v>926</v>
      </c>
      <c r="D19" s="266"/>
      <c r="E19" s="315">
        <v>110.99</v>
      </c>
      <c r="F19" s="315">
        <v>25.86</v>
      </c>
      <c r="G19" s="315">
        <v>23.27</v>
      </c>
      <c r="H19" s="304"/>
    </row>
    <row r="20" spans="2:8">
      <c r="B20" s="314" t="s">
        <v>928</v>
      </c>
      <c r="C20" s="240" t="s">
        <v>929</v>
      </c>
      <c r="D20" s="266"/>
      <c r="E20" s="315">
        <v>300.99</v>
      </c>
      <c r="F20" s="315">
        <v>70.64</v>
      </c>
      <c r="G20" s="315">
        <v>63.58</v>
      </c>
      <c r="H20" s="304"/>
    </row>
    <row r="21" spans="2:8">
      <c r="B21" s="314" t="s">
        <v>931</v>
      </c>
      <c r="C21" s="240" t="s">
        <v>932</v>
      </c>
      <c r="D21" s="266"/>
      <c r="E21" s="315">
        <v>152.99</v>
      </c>
      <c r="F21" s="315">
        <v>35.64</v>
      </c>
      <c r="G21" s="315">
        <v>32.08</v>
      </c>
      <c r="H21" s="304"/>
    </row>
    <row r="22" spans="2:8">
      <c r="B22" s="314" t="s">
        <v>934</v>
      </c>
      <c r="C22" s="240" t="s">
        <v>935</v>
      </c>
      <c r="D22" s="266"/>
      <c r="E22" s="315">
        <v>77.99</v>
      </c>
      <c r="F22" s="315">
        <v>18.26</v>
      </c>
      <c r="G22" s="315">
        <v>16.43</v>
      </c>
      <c r="H22" s="304"/>
    </row>
    <row r="23" spans="2:8">
      <c r="B23" s="314" t="s">
        <v>937</v>
      </c>
      <c r="C23" s="240" t="s">
        <v>938</v>
      </c>
      <c r="D23" s="266"/>
      <c r="E23" s="315">
        <v>80.99</v>
      </c>
      <c r="F23" s="315">
        <v>18.95</v>
      </c>
      <c r="G23" s="315">
        <v>17.06</v>
      </c>
      <c r="H23" s="304"/>
    </row>
    <row r="24" spans="2:8">
      <c r="B24" s="314" t="s">
        <v>940</v>
      </c>
      <c r="C24" s="240" t="s">
        <v>941</v>
      </c>
      <c r="D24" s="266"/>
      <c r="E24" s="315">
        <v>140.99</v>
      </c>
      <c r="F24" s="315">
        <v>32.86</v>
      </c>
      <c r="G24" s="315">
        <v>29.57</v>
      </c>
      <c r="H24" s="304"/>
    </row>
    <row r="25" spans="2:8">
      <c r="B25" s="314" t="s">
        <v>943</v>
      </c>
      <c r="C25" s="240" t="s">
        <v>944</v>
      </c>
      <c r="D25" s="266"/>
      <c r="E25" s="315">
        <v>140.99</v>
      </c>
      <c r="F25" s="315">
        <v>32.76</v>
      </c>
      <c r="G25" s="315">
        <v>29.48</v>
      </c>
      <c r="H25" s="304"/>
    </row>
    <row r="26" spans="2:8">
      <c r="B26" s="314" t="s">
        <v>946</v>
      </c>
      <c r="C26" s="240" t="s">
        <v>947</v>
      </c>
      <c r="D26" s="266"/>
      <c r="E26" s="315">
        <v>140.99</v>
      </c>
      <c r="F26" s="315">
        <v>32.86</v>
      </c>
      <c r="G26" s="315">
        <v>29.57</v>
      </c>
      <c r="H26" s="304"/>
    </row>
    <row r="27" spans="2:8">
      <c r="B27" s="314" t="s">
        <v>949</v>
      </c>
      <c r="C27" s="240" t="s">
        <v>950</v>
      </c>
      <c r="D27" s="266"/>
      <c r="E27" s="315">
        <v>140.99</v>
      </c>
      <c r="F27" s="315">
        <v>32.76</v>
      </c>
      <c r="G27" s="315">
        <v>29.48</v>
      </c>
      <c r="H27" s="304"/>
    </row>
    <row r="28" spans="2:8">
      <c r="B28" s="314" t="s">
        <v>952</v>
      </c>
      <c r="C28" s="240" t="s">
        <v>953</v>
      </c>
      <c r="D28" s="266"/>
      <c r="E28" s="315">
        <v>106.99</v>
      </c>
      <c r="F28" s="315">
        <v>24.9</v>
      </c>
      <c r="G28" s="315">
        <v>22.41</v>
      </c>
      <c r="H28" s="304"/>
    </row>
    <row r="29" spans="2:8">
      <c r="B29" s="314" t="s">
        <v>955</v>
      </c>
      <c r="C29" s="240" t="s">
        <v>956</v>
      </c>
      <c r="D29" s="266"/>
      <c r="E29" s="315">
        <v>98.99</v>
      </c>
      <c r="F29" s="315">
        <v>22.74</v>
      </c>
      <c r="G29" s="315">
        <v>20.46</v>
      </c>
      <c r="H29" s="304"/>
    </row>
    <row r="30" spans="2:8">
      <c r="B30" s="314" t="s">
        <v>958</v>
      </c>
      <c r="C30" s="240" t="s">
        <v>959</v>
      </c>
      <c r="D30" s="266"/>
      <c r="E30" s="315">
        <v>31.99</v>
      </c>
      <c r="F30" s="315">
        <v>7.44</v>
      </c>
      <c r="G30" s="315">
        <v>6.69</v>
      </c>
      <c r="H30" s="304"/>
    </row>
    <row r="31" spans="2:8">
      <c r="B31" s="314" t="s">
        <v>961</v>
      </c>
      <c r="C31" s="240" t="s">
        <v>962</v>
      </c>
      <c r="D31" s="266"/>
      <c r="E31" s="315">
        <v>36.99</v>
      </c>
      <c r="F31" s="315">
        <v>8.97</v>
      </c>
      <c r="G31" s="315">
        <v>8.07</v>
      </c>
      <c r="H31" s="304"/>
    </row>
    <row r="32" spans="2:8">
      <c r="B32" s="314" t="s">
        <v>964</v>
      </c>
      <c r="C32" s="240" t="s">
        <v>965</v>
      </c>
      <c r="D32" s="266"/>
      <c r="E32" s="315">
        <v>141.99</v>
      </c>
      <c r="F32" s="315">
        <v>33.11</v>
      </c>
      <c r="G32" s="315">
        <v>29.8</v>
      </c>
      <c r="H32" s="304"/>
    </row>
    <row r="33" spans="2:8">
      <c r="B33" s="314" t="s">
        <v>967</v>
      </c>
      <c r="C33" s="240" t="s">
        <v>968</v>
      </c>
      <c r="D33" s="266"/>
      <c r="E33" s="315">
        <v>39.99</v>
      </c>
      <c r="F33" s="315">
        <v>9.25</v>
      </c>
      <c r="G33" s="315">
        <v>8.33</v>
      </c>
      <c r="H33" s="304"/>
    </row>
    <row r="34" spans="2:8">
      <c r="B34" s="314" t="s">
        <v>970</v>
      </c>
      <c r="C34" s="240" t="s">
        <v>971</v>
      </c>
      <c r="D34" s="266"/>
      <c r="E34" s="315">
        <v>54.99</v>
      </c>
      <c r="F34" s="315">
        <v>12.82</v>
      </c>
      <c r="G34" s="315">
        <v>11.53</v>
      </c>
      <c r="H34" s="304"/>
    </row>
    <row r="35" spans="2:8">
      <c r="B35" s="314" t="s">
        <v>973</v>
      </c>
      <c r="C35" s="240" t="s">
        <v>974</v>
      </c>
      <c r="D35" s="266"/>
      <c r="E35" s="315">
        <v>30.99</v>
      </c>
      <c r="F35" s="315">
        <v>7.12</v>
      </c>
      <c r="G35" s="315">
        <v>6.41</v>
      </c>
      <c r="H35" s="304"/>
    </row>
    <row r="36" spans="2:8">
      <c r="B36" s="314" t="s">
        <v>976</v>
      </c>
      <c r="C36" s="240" t="s">
        <v>977</v>
      </c>
      <c r="D36" s="266"/>
      <c r="E36" s="315">
        <v>63.99</v>
      </c>
      <c r="F36" s="315">
        <v>14.74</v>
      </c>
      <c r="G36" s="315">
        <v>13.27</v>
      </c>
      <c r="H36" s="304"/>
    </row>
    <row r="37" spans="2:8">
      <c r="B37" s="314" t="s">
        <v>979</v>
      </c>
      <c r="C37" s="240" t="s">
        <v>980</v>
      </c>
      <c r="D37" s="266"/>
      <c r="E37" s="315">
        <v>295.99</v>
      </c>
      <c r="F37" s="315">
        <v>69.26</v>
      </c>
      <c r="G37" s="315">
        <v>62.33</v>
      </c>
      <c r="H37" s="304"/>
    </row>
    <row r="38" spans="2:8">
      <c r="B38" s="314" t="s">
        <v>982</v>
      </c>
      <c r="C38" s="240" t="s">
        <v>983</v>
      </c>
      <c r="D38" s="266"/>
      <c r="E38" s="315">
        <v>53.99</v>
      </c>
      <c r="F38" s="315">
        <v>12.56</v>
      </c>
      <c r="G38" s="315">
        <v>11.31</v>
      </c>
      <c r="H38" s="304"/>
    </row>
    <row r="39" spans="2:8">
      <c r="B39" s="314" t="s">
        <v>985</v>
      </c>
      <c r="C39" s="240" t="s">
        <v>986</v>
      </c>
      <c r="D39" s="266"/>
      <c r="E39" s="315">
        <v>133.99</v>
      </c>
      <c r="F39" s="315">
        <v>31.31</v>
      </c>
      <c r="G39" s="315">
        <v>28.18</v>
      </c>
      <c r="H39" s="304"/>
    </row>
    <row r="40" spans="2:8">
      <c r="B40" s="314" t="s">
        <v>988</v>
      </c>
      <c r="C40" s="240" t="s">
        <v>989</v>
      </c>
      <c r="D40" s="266"/>
      <c r="E40" s="315">
        <v>74.99</v>
      </c>
      <c r="F40" s="315">
        <v>17.34</v>
      </c>
      <c r="G40" s="315">
        <v>15.6</v>
      </c>
      <c r="H40" s="304"/>
    </row>
    <row r="41" spans="2:8">
      <c r="B41" s="314" t="s">
        <v>991</v>
      </c>
      <c r="C41" s="240" t="s">
        <v>2255</v>
      </c>
      <c r="D41" s="266"/>
      <c r="E41" s="315">
        <v>226.99</v>
      </c>
      <c r="F41" s="315">
        <v>53.14</v>
      </c>
      <c r="G41" s="315">
        <v>47.83</v>
      </c>
      <c r="H41" s="304"/>
    </row>
    <row r="42" spans="2:8">
      <c r="B42" s="314" t="s">
        <v>994</v>
      </c>
      <c r="C42" s="240" t="s">
        <v>995</v>
      </c>
      <c r="D42" s="266"/>
      <c r="E42" s="315">
        <v>135.99</v>
      </c>
      <c r="F42" s="315">
        <v>32.09</v>
      </c>
      <c r="G42" s="315">
        <v>28.88</v>
      </c>
      <c r="H42" s="304"/>
    </row>
    <row r="43" spans="2:8">
      <c r="B43" s="314" t="s">
        <v>997</v>
      </c>
      <c r="C43" s="240" t="s">
        <v>998</v>
      </c>
      <c r="D43" s="266"/>
      <c r="E43" s="315">
        <v>109.99</v>
      </c>
      <c r="F43" s="315">
        <v>25.71</v>
      </c>
      <c r="G43" s="315">
        <v>23.14</v>
      </c>
      <c r="H43" s="304"/>
    </row>
    <row r="44" spans="2:8">
      <c r="B44" s="314" t="s">
        <v>1000</v>
      </c>
      <c r="C44" s="240" t="s">
        <v>1001</v>
      </c>
      <c r="D44" s="266"/>
      <c r="E44" s="315">
        <v>62.99</v>
      </c>
      <c r="F44" s="315">
        <v>14.59</v>
      </c>
      <c r="G44" s="315">
        <v>13.13</v>
      </c>
      <c r="H44" s="304"/>
    </row>
    <row r="45" spans="2:8">
      <c r="B45" s="314" t="s">
        <v>1003</v>
      </c>
      <c r="C45" s="240" t="s">
        <v>1004</v>
      </c>
      <c r="D45" s="266"/>
      <c r="E45" s="315">
        <v>166.99</v>
      </c>
      <c r="F45" s="315">
        <v>39.31</v>
      </c>
      <c r="G45" s="315">
        <v>35.38</v>
      </c>
      <c r="H45" s="304"/>
    </row>
    <row r="46" spans="2:8">
      <c r="B46" s="314" t="s">
        <v>1006</v>
      </c>
      <c r="C46" s="240" t="s">
        <v>1007</v>
      </c>
      <c r="D46" s="266"/>
      <c r="E46" s="315">
        <v>74.99</v>
      </c>
      <c r="F46" s="315">
        <v>17.33</v>
      </c>
      <c r="G46" s="315">
        <v>15.59</v>
      </c>
      <c r="H46" s="304"/>
    </row>
    <row r="47" spans="2:8">
      <c r="B47" s="314" t="s">
        <v>1009</v>
      </c>
      <c r="C47" s="240" t="s">
        <v>1010</v>
      </c>
      <c r="D47" s="266"/>
      <c r="E47" s="315">
        <v>53.99</v>
      </c>
      <c r="F47" s="315">
        <v>12.56</v>
      </c>
      <c r="G47" s="315">
        <v>11.31</v>
      </c>
      <c r="H47" s="304"/>
    </row>
    <row r="48" spans="2:8">
      <c r="B48" s="314" t="s">
        <v>1012</v>
      </c>
      <c r="C48" s="240" t="s">
        <v>1013</v>
      </c>
      <c r="D48" s="266"/>
      <c r="E48" s="315">
        <v>39.99</v>
      </c>
      <c r="F48" s="315">
        <v>9.25</v>
      </c>
      <c r="G48" s="315">
        <v>8.33</v>
      </c>
      <c r="H48" s="304"/>
    </row>
    <row r="49" spans="2:8">
      <c r="B49" s="314" t="s">
        <v>1015</v>
      </c>
      <c r="C49" s="240" t="s">
        <v>1016</v>
      </c>
      <c r="D49" s="266"/>
      <c r="E49" s="315">
        <v>39.99</v>
      </c>
      <c r="F49" s="315">
        <v>9.32</v>
      </c>
      <c r="G49" s="315">
        <v>8.39</v>
      </c>
      <c r="H49" s="304"/>
    </row>
    <row r="50" spans="2:8">
      <c r="B50" s="314" t="s">
        <v>1018</v>
      </c>
      <c r="C50" s="240" t="s">
        <v>947</v>
      </c>
      <c r="D50" s="266"/>
      <c r="E50" s="315">
        <v>157.99</v>
      </c>
      <c r="F50" s="315">
        <v>36.97</v>
      </c>
      <c r="G50" s="315">
        <v>33.27</v>
      </c>
      <c r="H50" s="304"/>
    </row>
    <row r="51" spans="2:8">
      <c r="B51" s="314" t="s">
        <v>1020</v>
      </c>
      <c r="C51" s="240" t="s">
        <v>1021</v>
      </c>
      <c r="D51" s="266"/>
      <c r="E51" s="315">
        <v>60.99</v>
      </c>
      <c r="F51" s="315">
        <v>14.16</v>
      </c>
      <c r="G51" s="315">
        <v>12.74</v>
      </c>
      <c r="H51" s="304"/>
    </row>
    <row r="52" spans="2:8">
      <c r="B52" s="314" t="s">
        <v>1023</v>
      </c>
      <c r="C52" s="240" t="s">
        <v>1024</v>
      </c>
      <c r="D52" s="266"/>
      <c r="E52" s="315">
        <v>74.99</v>
      </c>
      <c r="F52" s="315">
        <v>17.33</v>
      </c>
      <c r="G52" s="315">
        <v>15.59</v>
      </c>
      <c r="H52" s="304"/>
    </row>
    <row r="53" spans="2:8">
      <c r="B53" s="314" t="s">
        <v>1026</v>
      </c>
      <c r="C53" s="240" t="s">
        <v>947</v>
      </c>
      <c r="D53" s="266"/>
      <c r="E53" s="315">
        <v>206.99</v>
      </c>
      <c r="F53" s="315">
        <v>48.25</v>
      </c>
      <c r="G53" s="315">
        <v>43.42</v>
      </c>
      <c r="H53" s="304"/>
    </row>
    <row r="54" spans="2:8">
      <c r="B54" s="314" t="s">
        <v>1028</v>
      </c>
      <c r="C54" s="240" t="s">
        <v>1029</v>
      </c>
      <c r="D54" s="266"/>
      <c r="E54" s="315">
        <v>39.99</v>
      </c>
      <c r="F54" s="315">
        <v>9.06</v>
      </c>
      <c r="G54" s="315">
        <v>8.16</v>
      </c>
      <c r="H54" s="304"/>
    </row>
    <row r="55" spans="2:8">
      <c r="B55" s="314" t="s">
        <v>1031</v>
      </c>
      <c r="C55" s="240" t="s">
        <v>1032</v>
      </c>
      <c r="D55" s="266"/>
      <c r="E55" s="315">
        <v>135.99</v>
      </c>
      <c r="F55" s="315">
        <v>31.83</v>
      </c>
      <c r="G55" s="315">
        <v>28.65</v>
      </c>
      <c r="H55" s="304"/>
    </row>
    <row r="56" spans="2:8">
      <c r="B56" s="314" t="s">
        <v>1034</v>
      </c>
      <c r="C56" s="240" t="s">
        <v>1035</v>
      </c>
      <c r="D56" s="266"/>
      <c r="E56" s="315">
        <v>166.99</v>
      </c>
      <c r="F56" s="315">
        <v>39.31</v>
      </c>
      <c r="G56" s="315">
        <v>35.38</v>
      </c>
      <c r="H56" s="304"/>
    </row>
    <row r="57" spans="2:8">
      <c r="B57" s="314" t="s">
        <v>1037</v>
      </c>
      <c r="C57" s="240" t="s">
        <v>1038</v>
      </c>
      <c r="D57" s="266"/>
      <c r="E57" s="315">
        <v>205.99</v>
      </c>
      <c r="F57" s="315">
        <v>47.92</v>
      </c>
      <c r="G57" s="315">
        <v>43.12</v>
      </c>
      <c r="H57" s="304"/>
    </row>
    <row r="58" spans="2:8">
      <c r="B58" s="314" t="s">
        <v>1040</v>
      </c>
      <c r="C58" s="240" t="s">
        <v>1041</v>
      </c>
      <c r="D58" s="266"/>
      <c r="E58" s="315">
        <v>99.99</v>
      </c>
      <c r="F58" s="315">
        <v>23.29</v>
      </c>
      <c r="G58" s="315">
        <v>20.96</v>
      </c>
      <c r="H58" s="304"/>
    </row>
    <row r="59" spans="2:8">
      <c r="B59" s="314" t="s">
        <v>1043</v>
      </c>
      <c r="C59" s="240" t="s">
        <v>1044</v>
      </c>
      <c r="D59" s="266"/>
      <c r="E59" s="315">
        <v>39.99</v>
      </c>
      <c r="F59" s="315">
        <v>9.06</v>
      </c>
      <c r="G59" s="315">
        <v>8.16</v>
      </c>
      <c r="H59" s="304"/>
    </row>
    <row r="60" spans="2:8">
      <c r="B60" s="314" t="s">
        <v>1046</v>
      </c>
      <c r="C60" s="240" t="s">
        <v>1047</v>
      </c>
      <c r="D60" s="266"/>
      <c r="E60" s="315">
        <v>36.99</v>
      </c>
      <c r="F60" s="315">
        <v>8.79</v>
      </c>
      <c r="G60" s="315">
        <v>7.91</v>
      </c>
      <c r="H60" s="304"/>
    </row>
    <row r="61" spans="2:8">
      <c r="B61" s="314" t="s">
        <v>1049</v>
      </c>
      <c r="C61" s="240" t="s">
        <v>1050</v>
      </c>
      <c r="D61" s="266"/>
      <c r="E61" s="315">
        <v>53.99</v>
      </c>
      <c r="F61" s="315">
        <v>12.56</v>
      </c>
      <c r="G61" s="315">
        <v>11.31</v>
      </c>
      <c r="H61" s="304"/>
    </row>
    <row r="62" spans="2:8">
      <c r="B62" s="314" t="s">
        <v>1052</v>
      </c>
      <c r="C62" s="240" t="s">
        <v>1053</v>
      </c>
      <c r="D62" s="266"/>
      <c r="E62" s="315">
        <v>77.99</v>
      </c>
      <c r="F62" s="315">
        <v>18.26</v>
      </c>
      <c r="G62" s="315">
        <v>16.43</v>
      </c>
      <c r="H62" s="304"/>
    </row>
    <row r="63" spans="2:8">
      <c r="B63" s="314" t="s">
        <v>1055</v>
      </c>
      <c r="C63" s="240" t="s">
        <v>1056</v>
      </c>
      <c r="D63" s="266"/>
      <c r="E63" s="315">
        <v>157.99</v>
      </c>
      <c r="F63" s="315">
        <v>37.08</v>
      </c>
      <c r="G63" s="315">
        <v>33.37</v>
      </c>
      <c r="H63" s="304"/>
    </row>
    <row r="64" spans="2:8">
      <c r="B64" s="314" t="s">
        <v>1058</v>
      </c>
      <c r="C64" s="240" t="s">
        <v>1059</v>
      </c>
      <c r="D64" s="266"/>
      <c r="E64" s="315">
        <v>96.99</v>
      </c>
      <c r="F64" s="315">
        <v>22.67</v>
      </c>
      <c r="G64" s="315">
        <v>20.4</v>
      </c>
      <c r="H64" s="304"/>
    </row>
    <row r="65" spans="2:8">
      <c r="B65" s="314" t="s">
        <v>1060</v>
      </c>
      <c r="C65" s="240" t="s">
        <v>1061</v>
      </c>
      <c r="D65" s="266"/>
      <c r="E65" s="315">
        <v>62.99</v>
      </c>
      <c r="F65" s="315">
        <v>14.5</v>
      </c>
      <c r="G65" s="315">
        <v>13.05</v>
      </c>
      <c r="H65" s="304"/>
    </row>
    <row r="66" spans="1:12">
      <c r="A66" s="235"/>
      <c r="B66" s="235"/>
      <c r="C66" s="235"/>
      <c r="D66" s="235"/>
      <c r="E66" s="235"/>
      <c r="F66" s="235"/>
      <c r="G66" s="235"/>
      <c r="H66" s="235"/>
      <c r="I66" s="235"/>
      <c r="J66" s="235"/>
      <c r="K66" s="235"/>
      <c r="L66" s="235"/>
    </row>
    <row r="67" spans="2:7" customHeight="1">
      <c r="B67" s="20" t="s">
        <v>2256</v>
      </c>
      <c r="C67" s="309"/>
      <c r="D67" s="21"/>
      <c r="E67" s="21"/>
      <c r="F67" s="21"/>
      <c r="G67" s="237"/>
    </row>
    <row r="68" spans="2:8">
      <c r="B68" s="314" t="s">
        <v>1063</v>
      </c>
      <c r="C68" s="240" t="s">
        <v>1064</v>
      </c>
      <c r="D68" s="266"/>
      <c r="E68" s="315">
        <v>19.99</v>
      </c>
      <c r="F68" s="315">
        <v>4.9</v>
      </c>
      <c r="G68" s="315">
        <v>4.41</v>
      </c>
      <c r="H68" s="304"/>
    </row>
    <row r="69" spans="2:8">
      <c r="B69" s="314" t="s">
        <v>1066</v>
      </c>
      <c r="C69" s="240" t="s">
        <v>2257</v>
      </c>
      <c r="D69" s="266"/>
      <c r="E69" s="315">
        <v>56.99</v>
      </c>
      <c r="F69" s="315">
        <v>13.27</v>
      </c>
      <c r="G69" s="315">
        <v>11.94</v>
      </c>
      <c r="H69" s="304"/>
    </row>
    <row r="70" spans="2:8">
      <c r="B70" s="314" t="s">
        <v>1069</v>
      </c>
      <c r="C70" s="240" t="s">
        <v>1070</v>
      </c>
      <c r="D70" s="266"/>
      <c r="E70" s="315">
        <v>66.99</v>
      </c>
      <c r="F70" s="315">
        <v>15.93</v>
      </c>
      <c r="G70" s="315">
        <v>14.34</v>
      </c>
      <c r="H70" s="304"/>
    </row>
    <row r="71" spans="2:8">
      <c r="B71" s="314" t="s">
        <v>1072</v>
      </c>
      <c r="C71" s="240" t="s">
        <v>1073</v>
      </c>
      <c r="D71" s="266"/>
      <c r="E71" s="315">
        <v>152.99</v>
      </c>
      <c r="F71" s="315">
        <v>35.64</v>
      </c>
      <c r="G71" s="315">
        <v>32.08</v>
      </c>
      <c r="H71" s="304"/>
    </row>
    <row r="72" spans="2:8">
      <c r="B72" s="314" t="s">
        <v>1075</v>
      </c>
      <c r="C72" s="240" t="s">
        <v>1076</v>
      </c>
      <c r="D72" s="266"/>
      <c r="E72" s="315">
        <v>31.99</v>
      </c>
      <c r="F72" s="315">
        <v>7.45</v>
      </c>
      <c r="G72" s="315">
        <v>6.7</v>
      </c>
      <c r="H72" s="304"/>
    </row>
    <row r="73" spans="2:8">
      <c r="B73" s="314" t="s">
        <v>1077</v>
      </c>
      <c r="C73" s="240" t="s">
        <v>1078</v>
      </c>
      <c r="D73" s="266"/>
      <c r="E73" s="315">
        <v>151.99</v>
      </c>
      <c r="F73" s="315">
        <v>35.31</v>
      </c>
      <c r="G73" s="315">
        <v>31.78</v>
      </c>
      <c r="H73" s="304"/>
    </row>
    <row r="74" spans="2:8">
      <c r="B74" s="314" t="s">
        <v>1079</v>
      </c>
      <c r="C74" s="240" t="s">
        <v>1080</v>
      </c>
      <c r="D74" s="266"/>
      <c r="E74" s="315">
        <v>157.99</v>
      </c>
      <c r="F74" s="315">
        <v>37.14</v>
      </c>
      <c r="G74" s="315">
        <v>33.42</v>
      </c>
      <c r="H74" s="304"/>
    </row>
    <row r="75" spans="2:8">
      <c r="B75" s="314" t="s">
        <v>1081</v>
      </c>
      <c r="C75" s="240" t="s">
        <v>1082</v>
      </c>
      <c r="D75" s="266"/>
      <c r="E75" s="315">
        <v>34.99</v>
      </c>
      <c r="F75" s="315">
        <v>8.07</v>
      </c>
      <c r="G75" s="315">
        <v>7.27</v>
      </c>
      <c r="H75" s="304"/>
    </row>
    <row r="76" spans="2:8">
      <c r="B76" s="314" t="s">
        <v>1084</v>
      </c>
      <c r="C76" s="240" t="s">
        <v>1085</v>
      </c>
      <c r="D76" s="266"/>
      <c r="E76" s="315">
        <v>53.99</v>
      </c>
      <c r="F76" s="315">
        <v>12.61</v>
      </c>
      <c r="G76" s="315">
        <v>11.35</v>
      </c>
      <c r="H76" s="304"/>
    </row>
    <row r="77" spans="2:8">
      <c r="B77" s="314" t="s">
        <v>1087</v>
      </c>
      <c r="C77" s="240" t="s">
        <v>1088</v>
      </c>
      <c r="D77" s="266"/>
      <c r="E77" s="315">
        <v>36.99</v>
      </c>
      <c r="F77" s="315">
        <v>8.87</v>
      </c>
      <c r="G77" s="315">
        <v>7.98</v>
      </c>
      <c r="H77" s="304"/>
    </row>
    <row r="78" spans="2:8">
      <c r="B78" s="314" t="s">
        <v>1090</v>
      </c>
      <c r="C78" s="240" t="s">
        <v>1091</v>
      </c>
      <c r="D78" s="266"/>
      <c r="E78" s="315">
        <v>30.99</v>
      </c>
      <c r="F78" s="315">
        <v>7.28</v>
      </c>
      <c r="G78" s="315">
        <v>6.55</v>
      </c>
      <c r="H78" s="304"/>
    </row>
    <row r="79" spans="2:8">
      <c r="B79" s="314" t="s">
        <v>1093</v>
      </c>
      <c r="C79" s="240" t="s">
        <v>1094</v>
      </c>
      <c r="D79" s="266"/>
      <c r="E79" s="315">
        <v>106.99</v>
      </c>
      <c r="F79" s="315">
        <v>24.88</v>
      </c>
      <c r="G79" s="315">
        <v>22.39</v>
      </c>
      <c r="H79" s="304"/>
    </row>
    <row r="80" spans="2:8">
      <c r="B80" s="314" t="s">
        <v>1095</v>
      </c>
      <c r="C80" s="240" t="s">
        <v>1096</v>
      </c>
      <c r="D80" s="266"/>
      <c r="E80" s="315">
        <v>23.99</v>
      </c>
      <c r="F80" s="315">
        <v>5.83</v>
      </c>
      <c r="G80" s="315">
        <v>5.25</v>
      </c>
      <c r="H80" s="304"/>
    </row>
    <row r="81" spans="2:8">
      <c r="B81" s="314" t="s">
        <v>1098</v>
      </c>
      <c r="C81" s="240" t="s">
        <v>1099</v>
      </c>
      <c r="D81" s="266"/>
      <c r="E81" s="315">
        <v>78.99</v>
      </c>
      <c r="F81" s="315">
        <v>18.81</v>
      </c>
      <c r="G81" s="315">
        <v>16.93</v>
      </c>
      <c r="H81" s="304"/>
    </row>
    <row r="82" spans="2:8">
      <c r="B82" s="314" t="s">
        <v>1101</v>
      </c>
      <c r="C82" s="240" t="s">
        <v>1102</v>
      </c>
      <c r="D82" s="266"/>
      <c r="E82" s="315">
        <v>24.99</v>
      </c>
      <c r="F82" s="315">
        <v>5.97</v>
      </c>
      <c r="G82" s="315">
        <v>5.38</v>
      </c>
      <c r="H82" s="304"/>
    </row>
    <row r="83" spans="2:8">
      <c r="B83" s="314" t="s">
        <v>1104</v>
      </c>
      <c r="C83" s="240" t="s">
        <v>1105</v>
      </c>
      <c r="D83" s="266"/>
      <c r="E83" s="315">
        <v>39.99</v>
      </c>
      <c r="F83" s="315">
        <v>9.27</v>
      </c>
      <c r="G83" s="315">
        <v>8.35</v>
      </c>
      <c r="H83" s="304"/>
    </row>
    <row r="84" spans="2:8">
      <c r="B84" s="314" t="s">
        <v>1107</v>
      </c>
      <c r="C84" s="240" t="s">
        <v>1108</v>
      </c>
      <c r="D84" s="266"/>
      <c r="E84" s="315">
        <v>21.99</v>
      </c>
      <c r="F84" s="315">
        <v>5.17</v>
      </c>
      <c r="G84" s="315">
        <v>4.65</v>
      </c>
      <c r="H84" s="304"/>
    </row>
    <row r="85" spans="2:8">
      <c r="B85" s="314" t="s">
        <v>1110</v>
      </c>
      <c r="C85" s="240" t="s">
        <v>1111</v>
      </c>
      <c r="D85" s="266"/>
      <c r="E85" s="315">
        <v>10.99</v>
      </c>
      <c r="F85" s="315">
        <v>2.64</v>
      </c>
      <c r="G85" s="315">
        <v>2.38</v>
      </c>
      <c r="H85" s="304"/>
    </row>
    <row r="86" spans="2:8">
      <c r="B86" s="314" t="s">
        <v>1113</v>
      </c>
      <c r="C86" s="240" t="s">
        <v>1114</v>
      </c>
      <c r="D86" s="266"/>
      <c r="E86" s="315">
        <v>10.99</v>
      </c>
      <c r="F86" s="315">
        <v>2.64</v>
      </c>
      <c r="G86" s="315">
        <v>2.38</v>
      </c>
      <c r="H86" s="304"/>
    </row>
    <row r="87" spans="2:8">
      <c r="B87" s="314" t="s">
        <v>1116</v>
      </c>
      <c r="C87" s="240" t="s">
        <v>1117</v>
      </c>
      <c r="D87" s="266"/>
      <c r="E87" s="315">
        <v>17.99</v>
      </c>
      <c r="F87" s="315">
        <v>3.97</v>
      </c>
      <c r="G87" s="315">
        <v>3.57</v>
      </c>
      <c r="H87" s="304"/>
    </row>
    <row r="88" spans="2:8">
      <c r="B88" s="314" t="s">
        <v>1119</v>
      </c>
      <c r="C88" s="240" t="s">
        <v>1120</v>
      </c>
      <c r="D88" s="266"/>
      <c r="E88" s="315">
        <v>23.99</v>
      </c>
      <c r="F88" s="315">
        <v>5.78</v>
      </c>
      <c r="G88" s="315">
        <v>5.2</v>
      </c>
      <c r="H88" s="304"/>
    </row>
    <row r="89" spans="1:12">
      <c r="A89" s="235"/>
      <c r="B89" s="235"/>
      <c r="C89" s="235"/>
      <c r="D89" s="235"/>
      <c r="E89" s="235"/>
      <c r="F89" s="235"/>
      <c r="G89" s="235"/>
      <c r="H89" s="235"/>
      <c r="I89" s="235"/>
      <c r="J89" s="235"/>
      <c r="K89" s="235"/>
      <c r="L89" s="235"/>
    </row>
    <row r="90" spans="2:7" customHeight="1">
      <c r="B90" s="20" t="s">
        <v>2258</v>
      </c>
      <c r="C90" s="309"/>
      <c r="D90" s="21"/>
      <c r="E90" s="21"/>
      <c r="F90" s="21"/>
      <c r="G90" s="237"/>
    </row>
    <row r="91" spans="2:8">
      <c r="B91" s="314" t="s">
        <v>1145</v>
      </c>
      <c r="C91" s="240" t="s">
        <v>1146</v>
      </c>
      <c r="D91" s="266"/>
      <c r="E91" s="315">
        <v>111.99</v>
      </c>
      <c r="F91" s="315">
        <v>32.06</v>
      </c>
      <c r="G91" s="315">
        <v>28.85</v>
      </c>
      <c r="H91" s="304"/>
    </row>
    <row r="92" spans="2:8">
      <c r="B92" s="314" t="s">
        <v>1147</v>
      </c>
      <c r="C92" s="240" t="s">
        <v>1148</v>
      </c>
      <c r="D92" s="266"/>
      <c r="E92" s="315">
        <v>159.99</v>
      </c>
      <c r="F92" s="315">
        <v>36.76</v>
      </c>
      <c r="G92" s="315">
        <v>33.09</v>
      </c>
      <c r="H92" s="304"/>
    </row>
    <row r="93" spans="2:8">
      <c r="B93" s="314" t="s">
        <v>1171</v>
      </c>
      <c r="C93" s="240" t="s">
        <v>1172</v>
      </c>
      <c r="D93" s="266"/>
      <c r="E93" s="315">
        <v>63.99</v>
      </c>
      <c r="F93" s="315">
        <v>25.49</v>
      </c>
      <c r="G93" s="315">
        <v>22.94</v>
      </c>
      <c r="H93" s="304"/>
    </row>
    <row r="94" spans="2:8">
      <c r="B94" s="314" t="s">
        <v>1183</v>
      </c>
      <c r="C94" s="240" t="s">
        <v>1184</v>
      </c>
      <c r="D94" s="266"/>
      <c r="E94" s="315">
        <v>76.99</v>
      </c>
      <c r="F94" s="315">
        <v>17.12</v>
      </c>
      <c r="G94" s="315">
        <v>15.41</v>
      </c>
      <c r="H94" s="304"/>
    </row>
    <row r="95" spans="2:8">
      <c r="B95" s="314" t="s">
        <v>1364</v>
      </c>
      <c r="C95" s="240" t="s">
        <v>1365</v>
      </c>
      <c r="D95" s="266"/>
      <c r="E95" s="315">
        <v>27.99</v>
      </c>
      <c r="F95" s="315">
        <v>11.32</v>
      </c>
      <c r="G95" s="315">
        <v>10.19</v>
      </c>
      <c r="H95" s="304"/>
    </row>
    <row r="96" spans="2:8">
      <c r="B96" s="314" t="s">
        <v>1381</v>
      </c>
      <c r="C96" s="240" t="s">
        <v>2259</v>
      </c>
      <c r="D96" s="266"/>
      <c r="E96" s="315">
        <v>40.99</v>
      </c>
      <c r="F96" s="315">
        <v>11.32</v>
      </c>
      <c r="G96" s="315">
        <v>10.19</v>
      </c>
      <c r="H96" s="304"/>
    </row>
    <row r="97" spans="2:8">
      <c r="B97" s="314" t="s">
        <v>1383</v>
      </c>
      <c r="C97" s="240" t="s">
        <v>2260</v>
      </c>
      <c r="D97" s="266"/>
      <c r="E97" s="315">
        <v>94.99</v>
      </c>
      <c r="F97" s="315">
        <v>30.91</v>
      </c>
      <c r="G97" s="315">
        <v>27.82</v>
      </c>
      <c r="H97" s="304"/>
    </row>
    <row r="98" spans="2:8">
      <c r="B98" s="314" t="s">
        <v>1386</v>
      </c>
      <c r="C98" s="240" t="s">
        <v>2261</v>
      </c>
      <c r="D98" s="266"/>
      <c r="E98" s="315">
        <v>122.99</v>
      </c>
      <c r="F98" s="315">
        <v>33.98</v>
      </c>
      <c r="G98" s="315">
        <v>30.58</v>
      </c>
      <c r="H98" s="304"/>
    </row>
    <row r="99" spans="2:8">
      <c r="B99" s="314" t="s">
        <v>1455</v>
      </c>
      <c r="C99" s="240" t="s">
        <v>2262</v>
      </c>
      <c r="D99" s="266"/>
      <c r="E99" s="315">
        <v>62.99</v>
      </c>
      <c r="F99" s="315">
        <v>17.16</v>
      </c>
      <c r="G99" s="315">
        <v>15.44</v>
      </c>
      <c r="H99" s="304"/>
    </row>
    <row r="100" spans="2:8">
      <c r="B100" s="314" t="s">
        <v>1461</v>
      </c>
      <c r="C100" s="240" t="s">
        <v>1462</v>
      </c>
      <c r="D100" s="266"/>
      <c r="E100" s="315">
        <v>32.99</v>
      </c>
      <c r="F100" s="315">
        <v>8.52</v>
      </c>
      <c r="G100" s="315">
        <v>7.66</v>
      </c>
      <c r="H100" s="304"/>
    </row>
    <row r="101" spans="2:8">
      <c r="B101" s="314" t="s">
        <v>1464</v>
      </c>
      <c r="C101" s="240" t="s">
        <v>1465</v>
      </c>
      <c r="D101" s="266"/>
      <c r="E101" s="315">
        <v>25.99</v>
      </c>
      <c r="F101" s="315">
        <v>6.03</v>
      </c>
      <c r="G101" s="315">
        <v>5.43</v>
      </c>
      <c r="H101" s="304"/>
    </row>
    <row r="102" spans="2:8">
      <c r="B102" s="314" t="s">
        <v>1473</v>
      </c>
      <c r="C102" s="240" t="s">
        <v>2263</v>
      </c>
      <c r="D102" s="266"/>
      <c r="E102" s="315">
        <v>27.99</v>
      </c>
      <c r="F102" s="315">
        <v>7.98</v>
      </c>
      <c r="G102" s="315">
        <v>7.18</v>
      </c>
      <c r="H102" s="304"/>
    </row>
    <row r="103" spans="2:8">
      <c r="B103" s="314" t="s">
        <v>1476</v>
      </c>
      <c r="C103" s="240" t="s">
        <v>2264</v>
      </c>
      <c r="D103" s="266"/>
      <c r="E103" s="315">
        <v>30.99</v>
      </c>
      <c r="F103" s="315">
        <v>8.65</v>
      </c>
      <c r="G103" s="315">
        <v>7.78</v>
      </c>
      <c r="H103" s="304"/>
    </row>
    <row r="104" spans="2:8">
      <c r="B104" s="314" t="s">
        <v>1479</v>
      </c>
      <c r="C104" s="240" t="s">
        <v>2265</v>
      </c>
      <c r="D104" s="266"/>
      <c r="E104" s="315">
        <v>27.99</v>
      </c>
      <c r="F104" s="315">
        <v>8.79</v>
      </c>
      <c r="G104" s="315">
        <v>7.91</v>
      </c>
      <c r="H104" s="304"/>
    </row>
    <row r="105" spans="2:8">
      <c r="B105" s="314" t="s">
        <v>1482</v>
      </c>
      <c r="C105" s="240" t="s">
        <v>2266</v>
      </c>
      <c r="D105" s="266"/>
      <c r="E105" s="315">
        <v>41.99</v>
      </c>
      <c r="F105" s="315">
        <v>11.77</v>
      </c>
      <c r="G105" s="315">
        <v>10.59</v>
      </c>
      <c r="H105" s="304"/>
    </row>
    <row r="106" spans="2:8">
      <c r="B106" s="314" t="s">
        <v>1487</v>
      </c>
      <c r="C106" s="240" t="s">
        <v>2267</v>
      </c>
      <c r="D106" s="266"/>
      <c r="E106" s="315">
        <v>49.99</v>
      </c>
      <c r="F106" s="315">
        <v>13.74</v>
      </c>
      <c r="G106" s="315">
        <v>12.37</v>
      </c>
      <c r="H106" s="304"/>
    </row>
    <row r="107" spans="2:8">
      <c r="B107" s="314" t="s">
        <v>1490</v>
      </c>
      <c r="C107" s="240" t="s">
        <v>2268</v>
      </c>
      <c r="D107" s="266"/>
      <c r="E107" s="315">
        <v>33.99</v>
      </c>
      <c r="F107" s="315">
        <v>9.45</v>
      </c>
      <c r="G107" s="315">
        <v>8.51</v>
      </c>
      <c r="H107" s="304"/>
    </row>
    <row r="108" spans="2:8">
      <c r="B108" s="314" t="s">
        <v>1492</v>
      </c>
      <c r="C108" s="240" t="s">
        <v>2269</v>
      </c>
      <c r="D108" s="266"/>
      <c r="E108" s="315">
        <v>30.99</v>
      </c>
      <c r="F108" s="315">
        <v>8.75</v>
      </c>
      <c r="G108" s="315">
        <v>7.87</v>
      </c>
      <c r="H108" s="304"/>
    </row>
    <row r="109" spans="2:8">
      <c r="B109" s="314" t="s">
        <v>1494</v>
      </c>
      <c r="C109" s="240" t="s">
        <v>1495</v>
      </c>
      <c r="D109" s="266"/>
      <c r="E109" s="315">
        <v>33.99</v>
      </c>
      <c r="F109" s="315">
        <v>8.42</v>
      </c>
      <c r="G109" s="315">
        <v>7.58</v>
      </c>
      <c r="H109" s="304"/>
    </row>
    <row r="110" spans="2:8">
      <c r="B110" s="314" t="s">
        <v>1497</v>
      </c>
      <c r="C110" s="240" t="s">
        <v>1498</v>
      </c>
      <c r="D110" s="266"/>
      <c r="E110" s="315">
        <v>47.99</v>
      </c>
      <c r="F110" s="315">
        <v>8.31</v>
      </c>
      <c r="G110" s="315">
        <v>7.48</v>
      </c>
      <c r="H110" s="304"/>
    </row>
    <row r="111" spans="2:8">
      <c r="B111" s="314" t="s">
        <v>1500</v>
      </c>
      <c r="C111" s="240" t="s">
        <v>1501</v>
      </c>
      <c r="D111" s="266"/>
      <c r="E111" s="315">
        <v>55.99</v>
      </c>
      <c r="F111" s="315">
        <v>13.51</v>
      </c>
      <c r="G111" s="315">
        <v>12.16</v>
      </c>
      <c r="H111" s="304"/>
    </row>
    <row r="112" spans="2:8">
      <c r="B112" s="314" t="s">
        <v>1503</v>
      </c>
      <c r="C112" s="240" t="s">
        <v>1504</v>
      </c>
      <c r="D112" s="266"/>
      <c r="E112" s="315">
        <v>27.99</v>
      </c>
      <c r="F112" s="315">
        <v>10.15</v>
      </c>
      <c r="G112" s="315">
        <v>9.14</v>
      </c>
      <c r="H112" s="304"/>
    </row>
    <row r="113" spans="2:8">
      <c r="B113" s="314" t="s">
        <v>1512</v>
      </c>
      <c r="C113" s="240" t="s">
        <v>1513</v>
      </c>
      <c r="D113" s="266"/>
      <c r="E113" s="315">
        <v>87.99</v>
      </c>
      <c r="F113" s="315">
        <v>37.99</v>
      </c>
      <c r="G113" s="315">
        <v>34.19</v>
      </c>
      <c r="H113" s="304"/>
    </row>
    <row r="114" spans="2:8">
      <c r="B114" s="314" t="s">
        <v>1565</v>
      </c>
      <c r="C114" s="240" t="s">
        <v>1566</v>
      </c>
      <c r="D114" s="266"/>
      <c r="E114" s="315">
        <v>39.99</v>
      </c>
      <c r="F114" s="315">
        <v>15.38</v>
      </c>
      <c r="G114" s="315">
        <v>13.84</v>
      </c>
      <c r="H114" s="304"/>
    </row>
    <row r="115" spans="2:8">
      <c r="B115" s="314" t="s">
        <v>1568</v>
      </c>
      <c r="C115" s="240" t="s">
        <v>1569</v>
      </c>
      <c r="D115" s="266"/>
      <c r="E115" s="315">
        <v>47.99</v>
      </c>
      <c r="F115" s="315">
        <v>18.72</v>
      </c>
      <c r="G115" s="315">
        <v>16.85</v>
      </c>
      <c r="H115" s="304"/>
    </row>
    <row r="116" spans="2:8">
      <c r="B116" s="314" t="s">
        <v>1574</v>
      </c>
      <c r="C116" s="240" t="s">
        <v>1575</v>
      </c>
      <c r="D116" s="266"/>
      <c r="E116" s="315">
        <v>29.99</v>
      </c>
      <c r="F116" s="315">
        <v>12.68</v>
      </c>
      <c r="G116" s="315">
        <v>11.41</v>
      </c>
      <c r="H116" s="304"/>
    </row>
    <row r="117" spans="2:8">
      <c r="B117" s="314" t="s">
        <v>1577</v>
      </c>
      <c r="C117" s="240" t="s">
        <v>2270</v>
      </c>
      <c r="D117" s="266"/>
      <c r="E117" s="315">
        <v>66.99</v>
      </c>
      <c r="F117" s="315">
        <v>22.65</v>
      </c>
      <c r="G117" s="315">
        <v>20.38</v>
      </c>
      <c r="H117" s="304"/>
    </row>
    <row r="118" spans="2:8">
      <c r="B118" s="314" t="s">
        <v>1580</v>
      </c>
      <c r="C118" s="240" t="s">
        <v>2271</v>
      </c>
      <c r="D118" s="266"/>
      <c r="E118" s="315">
        <v>44.99</v>
      </c>
      <c r="F118" s="315">
        <v>12.66</v>
      </c>
      <c r="G118" s="315">
        <v>11.4</v>
      </c>
      <c r="H118" s="304"/>
    </row>
    <row r="119" spans="2:8">
      <c r="B119" s="314" t="s">
        <v>1582</v>
      </c>
      <c r="C119" s="240" t="s">
        <v>1583</v>
      </c>
      <c r="D119" s="266"/>
      <c r="E119" s="315">
        <v>74.99</v>
      </c>
      <c r="F119" s="315">
        <v>17.55</v>
      </c>
      <c r="G119" s="315">
        <v>15.8</v>
      </c>
      <c r="H119" s="304"/>
    </row>
    <row r="120" spans="2:8">
      <c r="B120" s="314" t="s">
        <v>1588</v>
      </c>
      <c r="C120" s="240" t="s">
        <v>1589</v>
      </c>
      <c r="D120" s="266"/>
      <c r="E120" s="315">
        <v>32.99</v>
      </c>
      <c r="F120" s="315">
        <v>15.25</v>
      </c>
      <c r="G120" s="315">
        <v>13.72</v>
      </c>
      <c r="H120" s="304"/>
    </row>
    <row r="121" spans="2:8">
      <c r="B121" s="314" t="s">
        <v>1603</v>
      </c>
      <c r="C121" s="240" t="s">
        <v>1604</v>
      </c>
      <c r="D121" s="266"/>
      <c r="E121" s="315">
        <v>47.99</v>
      </c>
      <c r="F121" s="315">
        <v>11.01</v>
      </c>
      <c r="G121" s="315">
        <v>9.91</v>
      </c>
      <c r="H121" s="304"/>
    </row>
    <row r="122" spans="2:8">
      <c r="B122" s="314" t="s">
        <v>1606</v>
      </c>
      <c r="C122" s="240" t="s">
        <v>1607</v>
      </c>
      <c r="D122" s="266"/>
      <c r="E122" s="315">
        <v>55.99</v>
      </c>
      <c r="F122" s="315">
        <v>13.59</v>
      </c>
      <c r="G122" s="315">
        <v>12.23</v>
      </c>
      <c r="H122" s="304"/>
    </row>
    <row r="123" spans="2:8">
      <c r="B123" s="314" t="s">
        <v>1666</v>
      </c>
      <c r="C123" s="240" t="s">
        <v>1667</v>
      </c>
      <c r="D123" s="266"/>
      <c r="E123" s="315">
        <v>39.99</v>
      </c>
      <c r="F123" s="315">
        <v>15.02</v>
      </c>
      <c r="G123" s="315">
        <v>13.51</v>
      </c>
      <c r="H123" s="304"/>
    </row>
    <row r="124" spans="2:8">
      <c r="B124" s="314" t="s">
        <v>1823</v>
      </c>
      <c r="C124" s="240" t="s">
        <v>1824</v>
      </c>
      <c r="D124" s="266"/>
      <c r="E124" s="315">
        <v>199.99</v>
      </c>
      <c r="F124" s="315">
        <v>55.13</v>
      </c>
      <c r="G124" s="315">
        <v>49.62</v>
      </c>
      <c r="H124" s="304"/>
    </row>
    <row r="125" spans="1:12">
      <c r="A125" s="235"/>
      <c r="B125" s="235"/>
      <c r="C125" s="235"/>
      <c r="D125" s="235"/>
      <c r="E125" s="235"/>
      <c r="F125" s="235"/>
      <c r="G125" s="235"/>
      <c r="H125" s="235"/>
      <c r="I125" s="235"/>
      <c r="J125" s="235"/>
      <c r="K125" s="235"/>
      <c r="L125" s="235"/>
    </row>
    <row r="126" spans="2:7" customHeight="1">
      <c r="B126" s="20" t="s">
        <v>2272</v>
      </c>
      <c r="C126" s="309"/>
      <c r="D126" s="21"/>
      <c r="E126" s="21"/>
      <c r="F126" s="21"/>
      <c r="G126" s="237"/>
    </row>
    <row r="127" spans="2:8">
      <c r="B127" s="314" t="s">
        <v>1123</v>
      </c>
      <c r="C127" s="240" t="s">
        <v>1124</v>
      </c>
      <c r="D127" s="266"/>
      <c r="E127" s="315">
        <v>134.99</v>
      </c>
      <c r="F127" s="315">
        <v>31.97</v>
      </c>
      <c r="G127" s="315">
        <v>28.77</v>
      </c>
      <c r="H127" s="304"/>
    </row>
    <row r="128" spans="2:8">
      <c r="B128" s="314" t="s">
        <v>1126</v>
      </c>
      <c r="C128" s="240" t="s">
        <v>1127</v>
      </c>
      <c r="D128" s="266"/>
      <c r="E128" s="315">
        <v>175.99</v>
      </c>
      <c r="F128" s="315">
        <v>33.18</v>
      </c>
      <c r="G128" s="315">
        <v>29.86</v>
      </c>
      <c r="H128" s="304"/>
    </row>
    <row r="129" spans="2:8">
      <c r="B129" s="314" t="s">
        <v>1129</v>
      </c>
      <c r="C129" s="240" t="s">
        <v>1130</v>
      </c>
      <c r="D129" s="266"/>
      <c r="E129" s="315">
        <v>124.99</v>
      </c>
      <c r="F129" s="315">
        <v>29.49</v>
      </c>
      <c r="G129" s="315">
        <v>26.54</v>
      </c>
      <c r="H129" s="304"/>
    </row>
    <row r="130" spans="2:8">
      <c r="B130" s="314" t="s">
        <v>1131</v>
      </c>
      <c r="C130" s="240" t="s">
        <v>1132</v>
      </c>
      <c r="D130" s="266"/>
      <c r="E130" s="315">
        <v>80.99</v>
      </c>
      <c r="F130" s="315">
        <v>16.5</v>
      </c>
      <c r="G130" s="315">
        <v>14.85</v>
      </c>
      <c r="H130" s="304"/>
    </row>
    <row r="131" spans="2:8">
      <c r="B131" s="314" t="s">
        <v>1134</v>
      </c>
      <c r="C131" s="240" t="s">
        <v>1135</v>
      </c>
      <c r="D131" s="266"/>
      <c r="E131" s="315">
        <v>19.99</v>
      </c>
      <c r="F131" s="315">
        <v>7.29</v>
      </c>
      <c r="G131" s="315">
        <v>6.56</v>
      </c>
      <c r="H131" s="304"/>
    </row>
    <row r="132" spans="2:8">
      <c r="B132" s="314" t="s">
        <v>1137</v>
      </c>
      <c r="C132" s="240" t="s">
        <v>1138</v>
      </c>
      <c r="D132" s="266"/>
      <c r="E132" s="315">
        <v>12.99</v>
      </c>
      <c r="F132" s="315">
        <v>1.43</v>
      </c>
      <c r="G132" s="315">
        <v>1.29</v>
      </c>
      <c r="H132" s="304"/>
    </row>
    <row r="133" spans="2:8">
      <c r="B133" s="314" t="s">
        <v>1139</v>
      </c>
      <c r="C133" s="240" t="s">
        <v>1140</v>
      </c>
      <c r="D133" s="266"/>
      <c r="E133" s="315">
        <v>23.99</v>
      </c>
      <c r="F133" s="315">
        <v>5.6</v>
      </c>
      <c r="G133" s="315">
        <v>5.04</v>
      </c>
      <c r="H133" s="304"/>
    </row>
    <row r="134" spans="2:8">
      <c r="B134" s="314" t="s">
        <v>1141</v>
      </c>
      <c r="C134" s="240" t="s">
        <v>1144</v>
      </c>
      <c r="D134" s="266"/>
      <c r="E134" s="315">
        <v>165.99</v>
      </c>
      <c r="F134" s="315">
        <v>38.94</v>
      </c>
      <c r="G134" s="315">
        <v>35.05</v>
      </c>
      <c r="H134" s="304"/>
    </row>
    <row r="135" spans="2:8">
      <c r="B135" s="314" t="s">
        <v>1143</v>
      </c>
      <c r="C135" s="240" t="s">
        <v>1144</v>
      </c>
      <c r="D135" s="266"/>
      <c r="E135" s="315">
        <v>62.99</v>
      </c>
      <c r="F135" s="315">
        <v>14.7</v>
      </c>
      <c r="G135" s="315">
        <v>13.23</v>
      </c>
      <c r="H135" s="304"/>
    </row>
    <row r="136" spans="2:8">
      <c r="B136" s="314" t="s">
        <v>1149</v>
      </c>
      <c r="C136" s="240" t="s">
        <v>1150</v>
      </c>
      <c r="D136" s="266"/>
      <c r="E136" s="315">
        <v>134.99</v>
      </c>
      <c r="F136" s="315">
        <v>45.05</v>
      </c>
      <c r="G136" s="315">
        <v>40.54</v>
      </c>
      <c r="H136" s="304"/>
    </row>
    <row r="137" spans="2:8">
      <c r="B137" s="314" t="s">
        <v>1151</v>
      </c>
      <c r="C137" s="240" t="s">
        <v>1152</v>
      </c>
      <c r="D137" s="266"/>
      <c r="E137" s="315">
        <v>80.99</v>
      </c>
      <c r="F137" s="315">
        <v>19.03</v>
      </c>
      <c r="G137" s="315">
        <v>17.13</v>
      </c>
      <c r="H137" s="304"/>
    </row>
    <row r="138" spans="2:8">
      <c r="B138" s="314" t="s">
        <v>1154</v>
      </c>
      <c r="C138" s="240" t="s">
        <v>1155</v>
      </c>
      <c r="D138" s="266"/>
      <c r="E138" s="315">
        <v>80.99</v>
      </c>
      <c r="F138" s="315">
        <v>23.47</v>
      </c>
      <c r="G138" s="315">
        <v>21.13</v>
      </c>
      <c r="H138" s="304"/>
    </row>
    <row r="139" spans="2:8">
      <c r="B139" s="314" t="s">
        <v>1157</v>
      </c>
      <c r="C139" s="240" t="s">
        <v>1158</v>
      </c>
      <c r="D139" s="266"/>
      <c r="E139" s="315">
        <v>152.99</v>
      </c>
      <c r="F139" s="315">
        <v>35.78</v>
      </c>
      <c r="G139" s="315">
        <v>32.2</v>
      </c>
      <c r="H139" s="304"/>
    </row>
    <row r="140" spans="2:8">
      <c r="B140" s="314" t="s">
        <v>1159</v>
      </c>
      <c r="C140" s="240" t="s">
        <v>1160</v>
      </c>
      <c r="D140" s="266"/>
      <c r="E140" s="315">
        <v>121.99</v>
      </c>
      <c r="F140" s="315">
        <v>46.45</v>
      </c>
      <c r="G140" s="315">
        <v>41.81</v>
      </c>
      <c r="H140" s="304"/>
    </row>
    <row r="141" spans="2:8">
      <c r="B141" s="314" t="s">
        <v>1161</v>
      </c>
      <c r="C141" s="240" t="s">
        <v>1162</v>
      </c>
      <c r="D141" s="266"/>
      <c r="E141" s="315">
        <v>116.99</v>
      </c>
      <c r="F141" s="315">
        <v>27.26</v>
      </c>
      <c r="G141" s="315">
        <v>24.53</v>
      </c>
      <c r="H141" s="304"/>
    </row>
    <row r="142" spans="2:8">
      <c r="B142" s="314" t="s">
        <v>1163</v>
      </c>
      <c r="C142" s="240" t="s">
        <v>1164</v>
      </c>
      <c r="D142" s="266"/>
      <c r="E142" s="315">
        <v>337.99</v>
      </c>
      <c r="F142" s="315">
        <v>85.23</v>
      </c>
      <c r="G142" s="315">
        <v>76.71</v>
      </c>
      <c r="H142" s="304"/>
    </row>
    <row r="143" spans="2:8">
      <c r="B143" s="314" t="s">
        <v>1165</v>
      </c>
      <c r="C143" s="240" t="s">
        <v>1166</v>
      </c>
      <c r="D143" s="266"/>
      <c r="E143" s="315">
        <v>201.99</v>
      </c>
      <c r="F143" s="315">
        <v>85.23</v>
      </c>
      <c r="G143" s="315">
        <v>76.71</v>
      </c>
      <c r="H143" s="304"/>
    </row>
    <row r="144" spans="1:12">
      <c r="A144" s="235"/>
      <c r="B144" s="235"/>
      <c r="C144" s="235"/>
      <c r="D144" s="235"/>
      <c r="E144" s="235"/>
      <c r="F144" s="235"/>
      <c r="G144" s="235"/>
      <c r="H144" s="235"/>
      <c r="I144" s="235"/>
      <c r="J144" s="235"/>
      <c r="K144" s="235"/>
      <c r="L144" s="235"/>
    </row>
    <row r="145" spans="2:7" customHeight="1">
      <c r="B145" s="20" t="s">
        <v>2273</v>
      </c>
      <c r="C145" s="309"/>
      <c r="D145" s="21"/>
      <c r="E145" s="21"/>
      <c r="F145" s="21"/>
      <c r="G145" s="237"/>
    </row>
    <row r="146" spans="2:8">
      <c r="B146" s="314" t="s">
        <v>1168</v>
      </c>
      <c r="C146" s="240" t="s">
        <v>2274</v>
      </c>
      <c r="D146" s="266"/>
      <c r="E146" s="315">
        <v>36.99</v>
      </c>
      <c r="F146" s="315">
        <v>8.32</v>
      </c>
      <c r="G146" s="315">
        <v>7.48</v>
      </c>
      <c r="H146" s="304"/>
    </row>
    <row r="147" spans="2:8">
      <c r="B147" s="314" t="s">
        <v>1174</v>
      </c>
      <c r="C147" s="240" t="s">
        <v>1175</v>
      </c>
      <c r="D147" s="266"/>
      <c r="E147" s="315">
        <v>40.99</v>
      </c>
      <c r="F147" s="315">
        <v>10.65</v>
      </c>
      <c r="G147" s="315">
        <v>9.58</v>
      </c>
      <c r="H147" s="304"/>
    </row>
    <row r="148" spans="2:8">
      <c r="B148" s="314" t="s">
        <v>1177</v>
      </c>
      <c r="C148" s="240" t="s">
        <v>1178</v>
      </c>
      <c r="D148" s="266"/>
      <c r="E148" s="315">
        <v>63.99</v>
      </c>
      <c r="F148" s="315">
        <v>14.12</v>
      </c>
      <c r="G148" s="315">
        <v>12.71</v>
      </c>
      <c r="H148" s="304"/>
    </row>
    <row r="149" spans="2:8">
      <c r="B149" s="314" t="s">
        <v>1180</v>
      </c>
      <c r="C149" s="240" t="s">
        <v>1181</v>
      </c>
      <c r="D149" s="266"/>
      <c r="E149" s="315">
        <v>104.99</v>
      </c>
      <c r="F149" s="315">
        <v>23.28</v>
      </c>
      <c r="G149" s="315">
        <v>20.95</v>
      </c>
      <c r="H149" s="304"/>
    </row>
    <row r="150" spans="2:8">
      <c r="B150" s="314" t="s">
        <v>1186</v>
      </c>
      <c r="C150" s="240" t="s">
        <v>1187</v>
      </c>
      <c r="D150" s="266"/>
      <c r="E150" s="315">
        <v>40.99</v>
      </c>
      <c r="F150" s="315">
        <v>14.37</v>
      </c>
      <c r="G150" s="315">
        <v>12.93</v>
      </c>
      <c r="H150" s="304"/>
    </row>
    <row r="151" spans="2:8">
      <c r="B151" s="314" t="s">
        <v>1189</v>
      </c>
      <c r="C151" s="240" t="s">
        <v>1190</v>
      </c>
      <c r="D151" s="266"/>
      <c r="E151" s="315">
        <v>33.99</v>
      </c>
      <c r="F151" s="315">
        <v>6.82</v>
      </c>
      <c r="G151" s="315">
        <v>6.14</v>
      </c>
      <c r="H151" s="304"/>
    </row>
    <row r="152" spans="2:8">
      <c r="B152" s="314" t="s">
        <v>1192</v>
      </c>
      <c r="C152" s="240" t="s">
        <v>1193</v>
      </c>
      <c r="D152" s="266"/>
      <c r="E152" s="315">
        <v>33.99</v>
      </c>
      <c r="F152" s="315">
        <v>9.09</v>
      </c>
      <c r="G152" s="315">
        <v>8.18</v>
      </c>
      <c r="H152" s="304"/>
    </row>
    <row r="153" spans="2:8">
      <c r="B153" s="314" t="s">
        <v>1195</v>
      </c>
      <c r="C153" s="240" t="s">
        <v>1196</v>
      </c>
      <c r="D153" s="266"/>
      <c r="E153" s="315">
        <v>40.99</v>
      </c>
      <c r="F153" s="315">
        <v>10.56</v>
      </c>
      <c r="G153" s="315">
        <v>9.5</v>
      </c>
      <c r="H153" s="304"/>
    </row>
    <row r="154" spans="2:8">
      <c r="B154" s="314" t="s">
        <v>1198</v>
      </c>
      <c r="C154" s="240" t="s">
        <v>2275</v>
      </c>
      <c r="D154" s="266"/>
      <c r="E154" s="315">
        <v>12.99</v>
      </c>
      <c r="F154" s="315">
        <v>1.83</v>
      </c>
      <c r="G154" s="315">
        <v>1.64</v>
      </c>
      <c r="H154" s="304"/>
    </row>
    <row r="155" spans="2:8">
      <c r="B155" s="314" t="s">
        <v>1200</v>
      </c>
      <c r="C155" s="240" t="s">
        <v>2276</v>
      </c>
      <c r="D155" s="266"/>
      <c r="E155" s="315">
        <v>40.99</v>
      </c>
      <c r="F155" s="315">
        <v>7.71</v>
      </c>
      <c r="G155" s="315">
        <v>6.94</v>
      </c>
      <c r="H155" s="304"/>
    </row>
    <row r="156" spans="2:8">
      <c r="B156" s="314" t="s">
        <v>1203</v>
      </c>
      <c r="C156" s="240" t="s">
        <v>2277</v>
      </c>
      <c r="D156" s="266"/>
      <c r="E156" s="315">
        <v>46.99</v>
      </c>
      <c r="F156" s="315">
        <v>10.31</v>
      </c>
      <c r="G156" s="315">
        <v>9.28</v>
      </c>
      <c r="H156" s="304"/>
    </row>
    <row r="157" spans="2:8">
      <c r="B157" s="314" t="s">
        <v>1206</v>
      </c>
      <c r="C157" s="240" t="s">
        <v>2278</v>
      </c>
      <c r="D157" s="266"/>
      <c r="E157" s="315">
        <v>61</v>
      </c>
      <c r="F157" s="315">
        <v>5.83</v>
      </c>
      <c r="G157" s="315">
        <v>5.83</v>
      </c>
      <c r="H157" s="304"/>
    </row>
    <row r="158" spans="2:8">
      <c r="B158" s="314" t="s">
        <v>1209</v>
      </c>
      <c r="C158" s="240" t="s">
        <v>2279</v>
      </c>
      <c r="D158" s="266"/>
      <c r="E158" s="315">
        <v>19.99</v>
      </c>
      <c r="F158" s="315">
        <v>7.26</v>
      </c>
      <c r="G158" s="315">
        <v>6.53</v>
      </c>
      <c r="H158" s="304"/>
    </row>
    <row r="159" spans="2:8">
      <c r="B159" s="314" t="s">
        <v>1212</v>
      </c>
      <c r="C159" s="240" t="s">
        <v>2280</v>
      </c>
      <c r="D159" s="266"/>
      <c r="E159" s="315">
        <v>71.99</v>
      </c>
      <c r="F159" s="315">
        <v>16.1</v>
      </c>
      <c r="G159" s="315">
        <v>14.49</v>
      </c>
      <c r="H159" s="304"/>
    </row>
    <row r="160" spans="2:8">
      <c r="B160" s="314" t="s">
        <v>1215</v>
      </c>
      <c r="C160" s="240" t="s">
        <v>1216</v>
      </c>
      <c r="D160" s="266"/>
      <c r="E160" s="315">
        <v>131.99</v>
      </c>
      <c r="F160" s="315">
        <v>29.46</v>
      </c>
      <c r="G160" s="315">
        <v>26.51</v>
      </c>
      <c r="H160" s="304"/>
    </row>
    <row r="161" spans="2:8">
      <c r="B161" s="314" t="s">
        <v>1218</v>
      </c>
      <c r="C161" s="240" t="s">
        <v>2279</v>
      </c>
      <c r="D161" s="266"/>
      <c r="E161" s="315">
        <v>24.99</v>
      </c>
      <c r="F161" s="315">
        <v>5.62</v>
      </c>
      <c r="G161" s="315">
        <v>5.06</v>
      </c>
      <c r="H161" s="304"/>
    </row>
    <row r="162" spans="2:8">
      <c r="B162" s="314" t="s">
        <v>1221</v>
      </c>
      <c r="C162" s="240" t="s">
        <v>1622</v>
      </c>
      <c r="D162" s="266"/>
      <c r="E162" s="315">
        <v>12.99</v>
      </c>
      <c r="F162" s="315">
        <v>1.72</v>
      </c>
      <c r="G162" s="315">
        <v>1.54</v>
      </c>
      <c r="H162" s="304"/>
    </row>
    <row r="163" spans="2:8">
      <c r="B163" s="314" t="s">
        <v>1224</v>
      </c>
      <c r="C163" s="240" t="s">
        <v>2281</v>
      </c>
      <c r="D163" s="266"/>
      <c r="E163" s="315">
        <v>12.99</v>
      </c>
      <c r="F163" s="315">
        <v>1.79</v>
      </c>
      <c r="G163" s="315">
        <v>1.61</v>
      </c>
      <c r="H163" s="304"/>
    </row>
    <row r="164" spans="2:8">
      <c r="B164" s="314" t="s">
        <v>1227</v>
      </c>
      <c r="C164" s="240" t="s">
        <v>2282</v>
      </c>
      <c r="D164" s="266"/>
      <c r="E164" s="315">
        <v>5.99</v>
      </c>
      <c r="F164" s="315">
        <v>1.22</v>
      </c>
      <c r="G164" s="315">
        <v>1.1</v>
      </c>
      <c r="H164" s="304"/>
    </row>
    <row r="165" spans="2:8">
      <c r="B165" s="314" t="s">
        <v>1229</v>
      </c>
      <c r="C165" s="240" t="s">
        <v>2283</v>
      </c>
      <c r="D165" s="266"/>
      <c r="E165" s="315">
        <v>53.99</v>
      </c>
      <c r="F165" s="315">
        <v>9.55</v>
      </c>
      <c r="G165" s="315">
        <v>8.59</v>
      </c>
      <c r="H165" s="304"/>
    </row>
    <row r="166" spans="2:8">
      <c r="B166" s="314" t="s">
        <v>1232</v>
      </c>
      <c r="C166" s="240" t="s">
        <v>1233</v>
      </c>
      <c r="D166" s="266"/>
      <c r="E166" s="315">
        <v>27.99</v>
      </c>
      <c r="F166" s="315">
        <v>7.87</v>
      </c>
      <c r="G166" s="315">
        <v>7.08</v>
      </c>
      <c r="H166" s="304"/>
    </row>
    <row r="167" spans="2:8">
      <c r="B167" s="314" t="s">
        <v>1235</v>
      </c>
      <c r="C167" s="240" t="s">
        <v>2284</v>
      </c>
      <c r="D167" s="266"/>
      <c r="E167" s="315">
        <v>40.99</v>
      </c>
      <c r="F167" s="315">
        <v>6.53</v>
      </c>
      <c r="G167" s="315">
        <v>5.88</v>
      </c>
      <c r="H167" s="304"/>
    </row>
    <row r="168" spans="2:8">
      <c r="B168" s="314" t="s">
        <v>1238</v>
      </c>
      <c r="C168" s="240" t="s">
        <v>1239</v>
      </c>
      <c r="D168" s="266"/>
      <c r="E168" s="315">
        <v>44.99</v>
      </c>
      <c r="F168" s="315">
        <v>9.8</v>
      </c>
      <c r="G168" s="315">
        <v>8.82</v>
      </c>
      <c r="H168" s="304"/>
    </row>
    <row r="169" spans="2:8">
      <c r="B169" s="314" t="s">
        <v>1240</v>
      </c>
      <c r="C169" s="240" t="s">
        <v>2285</v>
      </c>
      <c r="D169" s="266"/>
      <c r="E169" s="315">
        <v>27.99</v>
      </c>
      <c r="F169" s="315">
        <v>4.87</v>
      </c>
      <c r="G169" s="315">
        <v>4.39</v>
      </c>
      <c r="H169" s="304"/>
    </row>
    <row r="170" spans="2:8">
      <c r="B170" s="314" t="s">
        <v>1243</v>
      </c>
      <c r="C170" s="240" t="s">
        <v>1244</v>
      </c>
      <c r="D170" s="266"/>
      <c r="E170" s="315">
        <v>19.99</v>
      </c>
      <c r="F170" s="315">
        <v>7.07</v>
      </c>
      <c r="G170" s="315">
        <v>6.37</v>
      </c>
      <c r="H170" s="304"/>
    </row>
    <row r="171" spans="2:8">
      <c r="B171" s="314" t="s">
        <v>1246</v>
      </c>
      <c r="C171" s="240" t="s">
        <v>2286</v>
      </c>
      <c r="D171" s="266"/>
      <c r="E171" s="315">
        <v>30.99</v>
      </c>
      <c r="F171" s="315">
        <v>6.91</v>
      </c>
      <c r="G171" s="315">
        <v>6.22</v>
      </c>
      <c r="H171" s="304"/>
    </row>
    <row r="172" spans="2:8">
      <c r="B172" s="314" t="s">
        <v>1248</v>
      </c>
      <c r="C172" s="240" t="s">
        <v>2287</v>
      </c>
      <c r="D172" s="266"/>
      <c r="E172" s="315">
        <v>49.99</v>
      </c>
      <c r="F172" s="315">
        <v>11.23</v>
      </c>
      <c r="G172" s="315">
        <v>10.11</v>
      </c>
      <c r="H172" s="304"/>
    </row>
    <row r="173" spans="2:8">
      <c r="B173" s="314" t="s">
        <v>1251</v>
      </c>
      <c r="C173" s="240" t="s">
        <v>2288</v>
      </c>
      <c r="D173" s="266"/>
      <c r="E173" s="315">
        <v>34.99</v>
      </c>
      <c r="F173" s="315">
        <v>7.83</v>
      </c>
      <c r="G173" s="315">
        <v>7.05</v>
      </c>
      <c r="H173" s="304"/>
    </row>
    <row r="174" spans="2:8">
      <c r="B174" s="314" t="s">
        <v>1254</v>
      </c>
      <c r="C174" s="240" t="s">
        <v>1255</v>
      </c>
      <c r="D174" s="266"/>
      <c r="E174" s="315">
        <v>12.99</v>
      </c>
      <c r="F174" s="315">
        <v>5.17</v>
      </c>
      <c r="G174" s="315">
        <v>4.65</v>
      </c>
      <c r="H174" s="304"/>
    </row>
    <row r="175" spans="2:8">
      <c r="B175" s="314" t="s">
        <v>1257</v>
      </c>
      <c r="C175" s="240" t="s">
        <v>1258</v>
      </c>
      <c r="D175" s="266"/>
      <c r="E175" s="315">
        <v>40.99</v>
      </c>
      <c r="F175" s="315">
        <v>16.32</v>
      </c>
      <c r="G175" s="315">
        <v>14.69</v>
      </c>
      <c r="H175" s="304"/>
    </row>
    <row r="176" spans="2:8">
      <c r="B176" s="314" t="s">
        <v>1260</v>
      </c>
      <c r="C176" s="240" t="s">
        <v>1261</v>
      </c>
      <c r="D176" s="266"/>
      <c r="E176" s="315">
        <v>53.99</v>
      </c>
      <c r="F176" s="315">
        <v>24.88</v>
      </c>
      <c r="G176" s="315">
        <v>22.39</v>
      </c>
      <c r="H176" s="304"/>
    </row>
    <row r="177" spans="2:8">
      <c r="B177" s="314" t="s">
        <v>1263</v>
      </c>
      <c r="C177" s="240" t="s">
        <v>1264</v>
      </c>
      <c r="D177" s="266"/>
      <c r="E177" s="315">
        <v>251.99</v>
      </c>
      <c r="F177" s="315">
        <v>58.67</v>
      </c>
      <c r="G177" s="315">
        <v>52.81</v>
      </c>
      <c r="H177" s="304"/>
    </row>
    <row r="178" spans="2:8">
      <c r="B178" s="314" t="s">
        <v>1266</v>
      </c>
      <c r="C178" s="240" t="s">
        <v>1267</v>
      </c>
      <c r="D178" s="266"/>
      <c r="E178" s="315">
        <v>68.99</v>
      </c>
      <c r="F178" s="315">
        <v>16.04</v>
      </c>
      <c r="G178" s="315">
        <v>14.43</v>
      </c>
      <c r="H178" s="304"/>
    </row>
    <row r="179" spans="2:8">
      <c r="B179" s="314" t="s">
        <v>1269</v>
      </c>
      <c r="C179" s="240" t="s">
        <v>1270</v>
      </c>
      <c r="D179" s="266"/>
      <c r="E179" s="315">
        <v>33.99</v>
      </c>
      <c r="F179" s="315">
        <v>10.23</v>
      </c>
      <c r="G179" s="315">
        <v>9.21</v>
      </c>
      <c r="H179" s="304"/>
    </row>
    <row r="180" spans="2:8">
      <c r="B180" s="314" t="s">
        <v>1272</v>
      </c>
      <c r="C180" s="240" t="s">
        <v>1273</v>
      </c>
      <c r="D180" s="266"/>
      <c r="E180" s="315">
        <v>72.99</v>
      </c>
      <c r="F180" s="315">
        <v>17.16</v>
      </c>
      <c r="G180" s="315">
        <v>15.44</v>
      </c>
      <c r="H180" s="304"/>
    </row>
    <row r="181" spans="2:8">
      <c r="B181" s="314" t="s">
        <v>1275</v>
      </c>
      <c r="C181" s="240" t="s">
        <v>1276</v>
      </c>
      <c r="D181" s="266"/>
      <c r="E181" s="315">
        <v>95.99</v>
      </c>
      <c r="F181" s="315">
        <v>22.58</v>
      </c>
      <c r="G181" s="315">
        <v>20.32</v>
      </c>
      <c r="H181" s="304"/>
    </row>
    <row r="182" spans="2:8">
      <c r="B182" s="314" t="s">
        <v>1278</v>
      </c>
      <c r="C182" s="240" t="s">
        <v>1279</v>
      </c>
      <c r="D182" s="266"/>
      <c r="E182" s="315">
        <v>56.99</v>
      </c>
      <c r="F182" s="315">
        <v>13.16</v>
      </c>
      <c r="G182" s="315">
        <v>11.84</v>
      </c>
      <c r="H182" s="304"/>
    </row>
    <row r="183" spans="2:8">
      <c r="B183" s="314" t="s">
        <v>1281</v>
      </c>
      <c r="C183" s="240" t="s">
        <v>2289</v>
      </c>
      <c r="D183" s="266"/>
      <c r="E183" s="315">
        <v>53.99</v>
      </c>
      <c r="F183" s="315">
        <v>11.06</v>
      </c>
      <c r="G183" s="315">
        <v>9.95</v>
      </c>
      <c r="H183" s="304"/>
    </row>
    <row r="184" spans="2:8">
      <c r="B184" s="314" t="s">
        <v>1284</v>
      </c>
      <c r="C184" s="240" t="s">
        <v>2290</v>
      </c>
      <c r="D184" s="266"/>
      <c r="E184" s="315">
        <v>40.99</v>
      </c>
      <c r="F184" s="315">
        <v>10.69</v>
      </c>
      <c r="G184" s="315">
        <v>9.62</v>
      </c>
      <c r="H184" s="304"/>
    </row>
    <row r="185" spans="2:8">
      <c r="B185" s="314" t="s">
        <v>1286</v>
      </c>
      <c r="C185" s="240" t="s">
        <v>1287</v>
      </c>
      <c r="D185" s="266"/>
      <c r="E185" s="315">
        <v>249.99</v>
      </c>
      <c r="F185" s="315">
        <v>58.65</v>
      </c>
      <c r="G185" s="315">
        <v>52.79</v>
      </c>
      <c r="H185" s="304"/>
    </row>
    <row r="186" spans="2:8">
      <c r="B186" s="314" t="s">
        <v>1289</v>
      </c>
      <c r="C186" s="240" t="s">
        <v>2291</v>
      </c>
      <c r="D186" s="266"/>
      <c r="E186" s="315">
        <v>270.99</v>
      </c>
      <c r="F186" s="315">
        <v>93.69</v>
      </c>
      <c r="G186" s="315">
        <v>84.32</v>
      </c>
      <c r="H186" s="304"/>
    </row>
    <row r="187" spans="2:8">
      <c r="B187" s="314" t="s">
        <v>1292</v>
      </c>
      <c r="C187" s="240" t="s">
        <v>2292</v>
      </c>
      <c r="D187" s="266"/>
      <c r="E187" s="315">
        <v>58.99</v>
      </c>
      <c r="F187" s="315">
        <v>14.04</v>
      </c>
      <c r="G187" s="315">
        <v>12.63</v>
      </c>
      <c r="H187" s="304"/>
    </row>
    <row r="188" spans="2:8">
      <c r="B188" s="314" t="s">
        <v>1294</v>
      </c>
      <c r="C188" s="240" t="s">
        <v>2293</v>
      </c>
      <c r="D188" s="266"/>
      <c r="E188" s="315">
        <v>395.99</v>
      </c>
      <c r="F188" s="315">
        <v>88.69</v>
      </c>
      <c r="G188" s="315">
        <v>79.82</v>
      </c>
      <c r="H188" s="304"/>
    </row>
    <row r="189" spans="2:8">
      <c r="B189" s="314" t="s">
        <v>1297</v>
      </c>
      <c r="C189" s="240" t="s">
        <v>2294</v>
      </c>
      <c r="D189" s="266"/>
      <c r="E189" s="315">
        <v>128.99</v>
      </c>
      <c r="F189" s="315">
        <v>30.03</v>
      </c>
      <c r="G189" s="315">
        <v>27.03</v>
      </c>
      <c r="H189" s="304"/>
    </row>
    <row r="190" spans="2:8">
      <c r="B190" s="314" t="s">
        <v>1300</v>
      </c>
      <c r="C190" s="240" t="s">
        <v>2295</v>
      </c>
      <c r="D190" s="266"/>
      <c r="E190" s="315">
        <v>140.99</v>
      </c>
      <c r="F190" s="315">
        <v>32.78</v>
      </c>
      <c r="G190" s="315">
        <v>29.5</v>
      </c>
      <c r="H190" s="304"/>
    </row>
    <row r="191" spans="2:8">
      <c r="B191" s="314" t="s">
        <v>1305</v>
      </c>
      <c r="C191" s="240" t="s">
        <v>2296</v>
      </c>
      <c r="D191" s="266"/>
      <c r="E191" s="315">
        <v>163.99</v>
      </c>
      <c r="F191" s="315">
        <v>38.17</v>
      </c>
      <c r="G191" s="315">
        <v>34.35</v>
      </c>
      <c r="H191" s="304"/>
    </row>
    <row r="192" spans="2:8">
      <c r="B192" s="314" t="s">
        <v>1308</v>
      </c>
      <c r="C192" s="240" t="s">
        <v>2297</v>
      </c>
      <c r="D192" s="266"/>
      <c r="E192" s="315">
        <v>53.99</v>
      </c>
      <c r="F192" s="315">
        <v>12.53</v>
      </c>
      <c r="G192" s="315">
        <v>11.28</v>
      </c>
      <c r="H192" s="304"/>
    </row>
    <row r="193" spans="2:8">
      <c r="B193" s="314" t="s">
        <v>1310</v>
      </c>
      <c r="C193" s="240" t="s">
        <v>2298</v>
      </c>
      <c r="D193" s="266"/>
      <c r="E193" s="315">
        <v>47.99</v>
      </c>
      <c r="F193" s="315">
        <v>11.5</v>
      </c>
      <c r="G193" s="315">
        <v>10.35</v>
      </c>
      <c r="H193" s="304"/>
    </row>
    <row r="194" spans="2:8">
      <c r="B194" s="314" t="s">
        <v>1313</v>
      </c>
      <c r="C194" s="240" t="s">
        <v>2299</v>
      </c>
      <c r="D194" s="266"/>
      <c r="E194" s="315">
        <v>56.99</v>
      </c>
      <c r="F194" s="315">
        <v>13.27</v>
      </c>
      <c r="G194" s="315">
        <v>11.94</v>
      </c>
      <c r="H194" s="304"/>
    </row>
    <row r="195" spans="2:8">
      <c r="B195" s="314" t="s">
        <v>1315</v>
      </c>
      <c r="C195" s="240" t="s">
        <v>1316</v>
      </c>
      <c r="D195" s="266"/>
      <c r="E195" s="315">
        <v>53.99</v>
      </c>
      <c r="F195" s="315">
        <v>12.66</v>
      </c>
      <c r="G195" s="315">
        <v>11.39</v>
      </c>
      <c r="H195" s="304"/>
    </row>
    <row r="196" spans="2:8">
      <c r="B196" s="314" t="s">
        <v>1318</v>
      </c>
      <c r="C196" s="240" t="s">
        <v>1319</v>
      </c>
      <c r="D196" s="266"/>
      <c r="E196" s="315">
        <v>27.99</v>
      </c>
      <c r="F196" s="315">
        <v>8.28</v>
      </c>
      <c r="G196" s="315">
        <v>7.45</v>
      </c>
      <c r="H196" s="304"/>
    </row>
    <row r="197" spans="2:8">
      <c r="B197" s="314" t="s">
        <v>1321</v>
      </c>
      <c r="C197" s="240" t="s">
        <v>1322</v>
      </c>
      <c r="D197" s="266"/>
      <c r="E197" s="315">
        <v>53.99</v>
      </c>
      <c r="F197" s="315">
        <v>16.74</v>
      </c>
      <c r="G197" s="315">
        <v>15.07</v>
      </c>
      <c r="H197" s="304"/>
    </row>
    <row r="198" spans="2:8">
      <c r="B198" s="314" t="s">
        <v>1324</v>
      </c>
      <c r="C198" s="240" t="s">
        <v>1325</v>
      </c>
      <c r="D198" s="266"/>
      <c r="E198" s="315">
        <v>94.99</v>
      </c>
      <c r="F198" s="315">
        <v>40.41</v>
      </c>
      <c r="G198" s="315">
        <v>36.37</v>
      </c>
      <c r="H198" s="304"/>
    </row>
    <row r="199" spans="2:8">
      <c r="B199" s="314" t="s">
        <v>1327</v>
      </c>
      <c r="C199" s="240" t="s">
        <v>1328</v>
      </c>
      <c r="D199" s="266"/>
      <c r="E199" s="315">
        <v>33.99</v>
      </c>
      <c r="F199" s="315">
        <v>7.85</v>
      </c>
      <c r="G199" s="315">
        <v>7.07</v>
      </c>
      <c r="H199" s="304"/>
    </row>
    <row r="200" spans="2:8">
      <c r="B200" s="314" t="s">
        <v>1330</v>
      </c>
      <c r="C200" s="240" t="s">
        <v>2300</v>
      </c>
      <c r="D200" s="266"/>
      <c r="E200" s="315">
        <v>94.99</v>
      </c>
      <c r="F200" s="315">
        <v>25.92</v>
      </c>
      <c r="G200" s="315">
        <v>23.32</v>
      </c>
      <c r="H200" s="304"/>
    </row>
    <row r="201" spans="2:8">
      <c r="B201" s="314" t="s">
        <v>1333</v>
      </c>
      <c r="C201" s="240" t="s">
        <v>1334</v>
      </c>
      <c r="D201" s="266"/>
      <c r="E201" s="315">
        <v>261.99</v>
      </c>
      <c r="F201" s="315">
        <v>61.22</v>
      </c>
      <c r="G201" s="315">
        <v>55.09</v>
      </c>
      <c r="H201" s="304"/>
    </row>
    <row r="202" spans="2:8">
      <c r="B202" s="314" t="s">
        <v>1336</v>
      </c>
      <c r="C202" s="240" t="s">
        <v>2301</v>
      </c>
      <c r="D202" s="266"/>
      <c r="E202" s="315">
        <v>142.99</v>
      </c>
      <c r="F202" s="315">
        <v>33.4</v>
      </c>
      <c r="G202" s="315">
        <v>30.06</v>
      </c>
      <c r="H202" s="304"/>
    </row>
    <row r="203" spans="2:8">
      <c r="B203" s="314" t="s">
        <v>1339</v>
      </c>
      <c r="C203" s="240" t="s">
        <v>2302</v>
      </c>
      <c r="D203" s="266"/>
      <c r="E203" s="315">
        <v>96.99</v>
      </c>
      <c r="F203" s="315">
        <v>22.9</v>
      </c>
      <c r="G203" s="315">
        <v>20.61</v>
      </c>
      <c r="H203" s="304"/>
    </row>
    <row r="204" spans="2:8">
      <c r="B204" s="314" t="s">
        <v>1342</v>
      </c>
      <c r="C204" s="240" t="s">
        <v>1343</v>
      </c>
      <c r="D204" s="266"/>
      <c r="E204" s="315">
        <v>40.99</v>
      </c>
      <c r="F204" s="315">
        <v>13.3</v>
      </c>
      <c r="G204" s="315">
        <v>11.97</v>
      </c>
      <c r="H204" s="304"/>
    </row>
    <row r="205" spans="2:8">
      <c r="B205" s="314" t="s">
        <v>1345</v>
      </c>
      <c r="C205" s="240" t="s">
        <v>2303</v>
      </c>
      <c r="D205" s="266"/>
      <c r="E205" s="315">
        <v>46.99</v>
      </c>
      <c r="F205" s="315">
        <v>11.21</v>
      </c>
      <c r="G205" s="315">
        <v>10.09</v>
      </c>
      <c r="H205" s="304"/>
    </row>
    <row r="206" spans="2:8">
      <c r="B206" s="314" t="s">
        <v>1348</v>
      </c>
      <c r="C206" s="240" t="s">
        <v>2304</v>
      </c>
      <c r="D206" s="266"/>
      <c r="E206" s="315">
        <v>71.99</v>
      </c>
      <c r="F206" s="315">
        <v>16.9</v>
      </c>
      <c r="G206" s="315">
        <v>15.21</v>
      </c>
      <c r="H206" s="304"/>
    </row>
    <row r="207" spans="2:8">
      <c r="B207" s="314" t="s">
        <v>1350</v>
      </c>
      <c r="C207" s="240" t="s">
        <v>2305</v>
      </c>
      <c r="D207" s="266"/>
      <c r="E207" s="315">
        <v>71.99</v>
      </c>
      <c r="F207" s="315">
        <v>16.9</v>
      </c>
      <c r="G207" s="315">
        <v>15.21</v>
      </c>
      <c r="H207" s="304"/>
    </row>
    <row r="208" spans="2:8">
      <c r="B208" s="314" t="s">
        <v>1353</v>
      </c>
      <c r="C208" s="240" t="s">
        <v>1354</v>
      </c>
      <c r="D208" s="266"/>
      <c r="E208" s="315">
        <v>33.99</v>
      </c>
      <c r="F208" s="315">
        <v>8.1</v>
      </c>
      <c r="G208" s="315">
        <v>7.29</v>
      </c>
      <c r="H208" s="304"/>
    </row>
    <row r="209" spans="2:8">
      <c r="B209" s="314" t="s">
        <v>1356</v>
      </c>
      <c r="C209" s="240" t="s">
        <v>1357</v>
      </c>
      <c r="D209" s="266"/>
      <c r="E209" s="315">
        <v>74.99</v>
      </c>
      <c r="F209" s="315">
        <v>36.49</v>
      </c>
      <c r="G209" s="315">
        <v>32.84</v>
      </c>
      <c r="H209" s="304"/>
    </row>
    <row r="210" spans="2:8">
      <c r="B210" s="314" t="s">
        <v>1359</v>
      </c>
      <c r="C210" s="240" t="s">
        <v>2306</v>
      </c>
      <c r="D210" s="266"/>
      <c r="E210" s="315">
        <v>9.99</v>
      </c>
      <c r="F210" s="315">
        <v>2.13</v>
      </c>
      <c r="G210" s="315">
        <v>1.92</v>
      </c>
      <c r="H210" s="304"/>
    </row>
    <row r="211" spans="2:8">
      <c r="B211" s="314" t="s">
        <v>1362</v>
      </c>
      <c r="C211" s="240" t="s">
        <v>2307</v>
      </c>
      <c r="D211" s="266"/>
      <c r="E211" s="315">
        <v>9.99</v>
      </c>
      <c r="F211" s="315">
        <v>2.13</v>
      </c>
      <c r="G211" s="315">
        <v>1.92</v>
      </c>
      <c r="H211" s="304"/>
    </row>
    <row r="212" spans="2:8">
      <c r="B212" s="314" t="s">
        <v>1366</v>
      </c>
      <c r="C212" s="240" t="s">
        <v>2308</v>
      </c>
      <c r="D212" s="266"/>
      <c r="E212" s="315">
        <v>21.99</v>
      </c>
      <c r="F212" s="315">
        <v>5.16</v>
      </c>
      <c r="G212" s="315">
        <v>4.64</v>
      </c>
      <c r="H212" s="304"/>
    </row>
    <row r="213" spans="2:8">
      <c r="B213" s="314" t="s">
        <v>1369</v>
      </c>
      <c r="C213" s="240" t="s">
        <v>2309</v>
      </c>
      <c r="D213" s="266"/>
      <c r="E213" s="315">
        <v>24.99</v>
      </c>
      <c r="F213" s="315">
        <v>5.9</v>
      </c>
      <c r="G213" s="315">
        <v>5.31</v>
      </c>
      <c r="H213" s="304"/>
    </row>
    <row r="214" spans="2:8">
      <c r="B214" s="314" t="s">
        <v>1372</v>
      </c>
      <c r="C214" s="240" t="s">
        <v>2310</v>
      </c>
      <c r="D214" s="266"/>
      <c r="E214" s="315">
        <v>3.99</v>
      </c>
      <c r="F214" s="315">
        <v>0.81</v>
      </c>
      <c r="G214" s="315">
        <v>0.73</v>
      </c>
      <c r="H214" s="304"/>
    </row>
    <row r="215" spans="2:8">
      <c r="B215" s="314" t="s">
        <v>1375</v>
      </c>
      <c r="C215" s="240" t="s">
        <v>2311</v>
      </c>
      <c r="D215" s="266"/>
      <c r="E215" s="315">
        <v>19.99</v>
      </c>
      <c r="F215" s="315">
        <v>4.8</v>
      </c>
      <c r="G215" s="315">
        <v>4.32</v>
      </c>
      <c r="H215" s="304"/>
    </row>
    <row r="216" spans="2:8">
      <c r="B216" s="314" t="s">
        <v>1378</v>
      </c>
      <c r="C216" s="240" t="s">
        <v>2312</v>
      </c>
      <c r="D216" s="266"/>
      <c r="E216" s="315">
        <v>45.99</v>
      </c>
      <c r="F216" s="315">
        <v>10.69</v>
      </c>
      <c r="G216" s="315">
        <v>9.62</v>
      </c>
      <c r="H216" s="304"/>
    </row>
    <row r="217" spans="2:8">
      <c r="B217" s="314" t="s">
        <v>1388</v>
      </c>
      <c r="C217" s="240" t="s">
        <v>2313</v>
      </c>
      <c r="D217" s="266"/>
      <c r="E217" s="315">
        <v>27.99</v>
      </c>
      <c r="F217" s="315">
        <v>6.69</v>
      </c>
      <c r="G217" s="315">
        <v>6.02</v>
      </c>
      <c r="H217" s="304"/>
    </row>
    <row r="218" spans="2:8">
      <c r="B218" s="314" t="s">
        <v>1391</v>
      </c>
      <c r="C218" s="240" t="s">
        <v>1392</v>
      </c>
      <c r="D218" s="266"/>
      <c r="E218" s="315">
        <v>22.99</v>
      </c>
      <c r="F218" s="315">
        <v>5.3</v>
      </c>
      <c r="G218" s="315">
        <v>4.77</v>
      </c>
      <c r="H218" s="304"/>
    </row>
    <row r="219" spans="2:8">
      <c r="B219" s="314" t="s">
        <v>1393</v>
      </c>
      <c r="C219" s="240" t="s">
        <v>1394</v>
      </c>
      <c r="D219" s="266"/>
      <c r="E219" s="315">
        <v>53.99</v>
      </c>
      <c r="F219" s="315">
        <v>13.77</v>
      </c>
      <c r="G219" s="315">
        <v>12.39</v>
      </c>
      <c r="H219" s="304"/>
    </row>
    <row r="220" spans="2:8">
      <c r="B220" s="314" t="s">
        <v>1396</v>
      </c>
      <c r="C220" s="240" t="s">
        <v>1397</v>
      </c>
      <c r="D220" s="266"/>
      <c r="E220" s="315">
        <v>40.99</v>
      </c>
      <c r="F220" s="315">
        <v>10.48</v>
      </c>
      <c r="G220" s="315">
        <v>9.43</v>
      </c>
      <c r="H220" s="304"/>
    </row>
    <row r="221" spans="2:8">
      <c r="B221" s="314" t="s">
        <v>1399</v>
      </c>
      <c r="C221" s="240" t="s">
        <v>1400</v>
      </c>
      <c r="D221" s="266"/>
      <c r="E221" s="315">
        <v>33.99</v>
      </c>
      <c r="F221" s="315">
        <v>11.01</v>
      </c>
      <c r="G221" s="315">
        <v>9.91</v>
      </c>
      <c r="H221" s="304"/>
    </row>
    <row r="222" spans="2:8">
      <c r="B222" s="314" t="s">
        <v>1402</v>
      </c>
      <c r="C222" s="240" t="s">
        <v>2314</v>
      </c>
      <c r="D222" s="266"/>
      <c r="E222" s="315">
        <v>21.99</v>
      </c>
      <c r="F222" s="315">
        <v>5.16</v>
      </c>
      <c r="G222" s="315">
        <v>4.64</v>
      </c>
      <c r="H222" s="304"/>
    </row>
    <row r="223" spans="2:8">
      <c r="B223" s="314" t="s">
        <v>1405</v>
      </c>
      <c r="C223" s="240" t="s">
        <v>1406</v>
      </c>
      <c r="D223" s="266"/>
      <c r="E223" s="315">
        <v>40.99</v>
      </c>
      <c r="F223" s="315">
        <v>10.62</v>
      </c>
      <c r="G223" s="315">
        <v>9.55</v>
      </c>
      <c r="H223" s="304"/>
    </row>
    <row r="224" spans="2:8">
      <c r="B224" s="314" t="s">
        <v>1408</v>
      </c>
      <c r="C224" s="240" t="s">
        <v>1409</v>
      </c>
      <c r="D224" s="266"/>
      <c r="E224" s="315">
        <v>39.99</v>
      </c>
      <c r="F224" s="315">
        <v>9.06</v>
      </c>
      <c r="G224" s="315">
        <v>8.16</v>
      </c>
      <c r="H224" s="304"/>
    </row>
    <row r="225" spans="2:8">
      <c r="B225" s="314" t="s">
        <v>1411</v>
      </c>
      <c r="C225" s="240" t="s">
        <v>1412</v>
      </c>
      <c r="D225" s="266"/>
      <c r="E225" s="315">
        <v>40.99</v>
      </c>
      <c r="F225" s="315">
        <v>9.65</v>
      </c>
      <c r="G225" s="315">
        <v>8.68</v>
      </c>
      <c r="H225" s="304"/>
    </row>
    <row r="226" spans="2:8">
      <c r="B226" s="314" t="s">
        <v>1414</v>
      </c>
      <c r="C226" s="240" t="s">
        <v>1415</v>
      </c>
      <c r="D226" s="266"/>
      <c r="E226" s="315">
        <v>33.99</v>
      </c>
      <c r="F226" s="315">
        <v>13.95</v>
      </c>
      <c r="G226" s="315">
        <v>12.55</v>
      </c>
      <c r="H226" s="304"/>
    </row>
    <row r="227" spans="2:8">
      <c r="B227" s="314" t="s">
        <v>1417</v>
      </c>
      <c r="C227" s="240" t="s">
        <v>1418</v>
      </c>
      <c r="D227" s="266"/>
      <c r="E227" s="315">
        <v>40.99</v>
      </c>
      <c r="F227" s="315">
        <v>8.76</v>
      </c>
      <c r="G227" s="315">
        <v>7.88</v>
      </c>
      <c r="H227" s="304"/>
    </row>
    <row r="228" spans="2:8">
      <c r="B228" s="314" t="s">
        <v>1420</v>
      </c>
      <c r="C228" s="240" t="s">
        <v>1421</v>
      </c>
      <c r="D228" s="266"/>
      <c r="E228" s="315">
        <v>40.99</v>
      </c>
      <c r="F228" s="315">
        <v>13.12</v>
      </c>
      <c r="G228" s="315">
        <v>11.81</v>
      </c>
      <c r="H228" s="304"/>
    </row>
    <row r="229" spans="2:8">
      <c r="B229" s="314" t="s">
        <v>1423</v>
      </c>
      <c r="C229" s="240" t="s">
        <v>1424</v>
      </c>
      <c r="D229" s="266"/>
      <c r="E229" s="315">
        <v>121.99</v>
      </c>
      <c r="F229" s="315">
        <v>54.71</v>
      </c>
      <c r="G229" s="315">
        <v>49.24</v>
      </c>
      <c r="H229" s="304"/>
    </row>
    <row r="230" spans="2:8">
      <c r="B230" s="314" t="s">
        <v>1426</v>
      </c>
      <c r="C230" s="240" t="s">
        <v>1427</v>
      </c>
      <c r="D230" s="266"/>
      <c r="E230" s="315">
        <v>52.99</v>
      </c>
      <c r="F230" s="315">
        <v>12.38</v>
      </c>
      <c r="G230" s="315">
        <v>11.14</v>
      </c>
      <c r="H230" s="304"/>
    </row>
    <row r="231" spans="2:8">
      <c r="B231" s="314" t="s">
        <v>1429</v>
      </c>
      <c r="C231" s="240" t="s">
        <v>1430</v>
      </c>
      <c r="D231" s="266"/>
      <c r="E231" s="315">
        <v>74.99</v>
      </c>
      <c r="F231" s="315">
        <v>30.83</v>
      </c>
      <c r="G231" s="315">
        <v>27.75</v>
      </c>
      <c r="H231" s="304"/>
    </row>
    <row r="232" spans="2:8">
      <c r="B232" s="314" t="s">
        <v>1432</v>
      </c>
      <c r="C232" s="240" t="s">
        <v>1433</v>
      </c>
      <c r="D232" s="266"/>
      <c r="E232" s="315">
        <v>27.99</v>
      </c>
      <c r="F232" s="315">
        <v>9.69</v>
      </c>
      <c r="G232" s="315">
        <v>8.72</v>
      </c>
      <c r="H232" s="304"/>
    </row>
    <row r="233" spans="2:8">
      <c r="B233" s="314" t="s">
        <v>1435</v>
      </c>
      <c r="C233" s="240" t="s">
        <v>1436</v>
      </c>
      <c r="D233" s="266"/>
      <c r="E233" s="315">
        <v>119.99</v>
      </c>
      <c r="F233" s="315">
        <v>28.15</v>
      </c>
      <c r="G233" s="315">
        <v>25.33</v>
      </c>
      <c r="H233" s="304"/>
    </row>
    <row r="234" spans="2:8">
      <c r="B234" s="314" t="s">
        <v>1438</v>
      </c>
      <c r="C234" s="240" t="s">
        <v>2315</v>
      </c>
      <c r="D234" s="266"/>
      <c r="E234" s="315">
        <v>27.99</v>
      </c>
      <c r="F234" s="315">
        <v>6.47</v>
      </c>
      <c r="G234" s="315">
        <v>5.82</v>
      </c>
      <c r="H234" s="304"/>
    </row>
    <row r="235" spans="2:8">
      <c r="B235" s="314" t="s">
        <v>1441</v>
      </c>
      <c r="C235" s="240" t="s">
        <v>1442</v>
      </c>
      <c r="D235" s="266"/>
      <c r="E235" s="315">
        <v>33.99</v>
      </c>
      <c r="F235" s="315">
        <v>13.15</v>
      </c>
      <c r="G235" s="315">
        <v>11.83</v>
      </c>
      <c r="H235" s="304"/>
    </row>
    <row r="236" spans="2:8">
      <c r="B236" s="314" t="s">
        <v>1444</v>
      </c>
      <c r="C236" s="240" t="s">
        <v>1445</v>
      </c>
      <c r="D236" s="266"/>
      <c r="E236" s="315">
        <v>27.99</v>
      </c>
      <c r="F236" s="315">
        <v>6.34</v>
      </c>
      <c r="G236" s="315">
        <v>5.7</v>
      </c>
      <c r="H236" s="304"/>
    </row>
    <row r="237" spans="2:8">
      <c r="B237" s="314" t="s">
        <v>1447</v>
      </c>
      <c r="C237" s="240" t="s">
        <v>2316</v>
      </c>
      <c r="D237" s="266"/>
      <c r="E237" s="315">
        <v>40.99</v>
      </c>
      <c r="F237" s="315">
        <v>9.55</v>
      </c>
      <c r="G237" s="315">
        <v>8.59</v>
      </c>
      <c r="H237" s="304"/>
    </row>
    <row r="238" spans="2:8">
      <c r="B238" s="314" t="s">
        <v>1450</v>
      </c>
      <c r="C238" s="240" t="s">
        <v>2317</v>
      </c>
      <c r="D238" s="266"/>
      <c r="E238" s="315">
        <v>33.99</v>
      </c>
      <c r="F238" s="315">
        <v>9.42</v>
      </c>
      <c r="G238" s="315">
        <v>8.47</v>
      </c>
      <c r="H238" s="304"/>
    </row>
    <row r="239" spans="2:8">
      <c r="B239" s="314" t="s">
        <v>1452</v>
      </c>
      <c r="C239" s="240" t="s">
        <v>2318</v>
      </c>
      <c r="D239" s="266"/>
      <c r="E239" s="315">
        <v>11.99</v>
      </c>
      <c r="F239" s="315">
        <v>2.89</v>
      </c>
      <c r="G239" s="315">
        <v>2.6</v>
      </c>
      <c r="H239" s="304"/>
    </row>
    <row r="240" spans="2:8">
      <c r="B240" s="314" t="s">
        <v>1458</v>
      </c>
      <c r="C240" s="240" t="s">
        <v>2319</v>
      </c>
      <c r="D240" s="266"/>
      <c r="E240" s="315">
        <v>177.99</v>
      </c>
      <c r="F240" s="315">
        <v>41.78</v>
      </c>
      <c r="G240" s="315">
        <v>37.6</v>
      </c>
      <c r="H240" s="304"/>
    </row>
    <row r="241" spans="2:8">
      <c r="B241" s="314" t="s">
        <v>1467</v>
      </c>
      <c r="C241" s="240" t="s">
        <v>2320</v>
      </c>
      <c r="D241" s="266"/>
      <c r="E241" s="315">
        <v>40.99</v>
      </c>
      <c r="F241" s="315">
        <v>16.71</v>
      </c>
      <c r="G241" s="315">
        <v>15.04</v>
      </c>
      <c r="H241" s="304"/>
    </row>
    <row r="242" spans="2:8">
      <c r="B242" s="314" t="s">
        <v>1470</v>
      </c>
      <c r="C242" s="240" t="s">
        <v>1471</v>
      </c>
      <c r="D242" s="266"/>
      <c r="E242" s="315">
        <v>75.99</v>
      </c>
      <c r="F242" s="315">
        <v>17.75</v>
      </c>
      <c r="G242" s="315">
        <v>15.98</v>
      </c>
      <c r="H242" s="304"/>
    </row>
    <row r="243" spans="2:8">
      <c r="B243" s="314" t="s">
        <v>1484</v>
      </c>
      <c r="C243" s="240" t="s">
        <v>1485</v>
      </c>
      <c r="D243" s="266"/>
      <c r="E243" s="315">
        <v>40.99</v>
      </c>
      <c r="F243" s="315">
        <v>7.94</v>
      </c>
      <c r="G243" s="315">
        <v>7.15</v>
      </c>
      <c r="H243" s="304"/>
    </row>
    <row r="244" spans="2:8">
      <c r="B244" s="314" t="s">
        <v>1506</v>
      </c>
      <c r="C244" s="240" t="s">
        <v>2321</v>
      </c>
      <c r="D244" s="266"/>
      <c r="E244" s="315">
        <v>19.99</v>
      </c>
      <c r="F244" s="315">
        <v>4.2</v>
      </c>
      <c r="G244" s="315">
        <v>3.78</v>
      </c>
      <c r="H244" s="304"/>
    </row>
    <row r="245" spans="2:8">
      <c r="B245" s="314" t="s">
        <v>1509</v>
      </c>
      <c r="C245" s="240" t="s">
        <v>2322</v>
      </c>
      <c r="D245" s="266"/>
      <c r="E245" s="315">
        <v>21.99</v>
      </c>
      <c r="F245" s="315">
        <v>5.16</v>
      </c>
      <c r="G245" s="315">
        <v>4.64</v>
      </c>
      <c r="H245" s="304"/>
    </row>
    <row r="246" spans="2:8">
      <c r="B246" s="314" t="s">
        <v>1515</v>
      </c>
      <c r="C246" s="240" t="s">
        <v>1516</v>
      </c>
      <c r="D246" s="266"/>
      <c r="E246" s="315">
        <v>53.99</v>
      </c>
      <c r="F246" s="315">
        <v>23.79</v>
      </c>
      <c r="G246" s="315">
        <v>21.41</v>
      </c>
      <c r="H246" s="304"/>
    </row>
    <row r="247" spans="2:8">
      <c r="B247" s="314" t="s">
        <v>1518</v>
      </c>
      <c r="C247" s="240" t="s">
        <v>1519</v>
      </c>
      <c r="D247" s="266"/>
      <c r="E247" s="315">
        <v>66.99</v>
      </c>
      <c r="F247" s="315">
        <v>32.68</v>
      </c>
      <c r="G247" s="315">
        <v>29.41</v>
      </c>
      <c r="H247" s="304"/>
    </row>
    <row r="248" spans="2:8">
      <c r="B248" s="314" t="s">
        <v>1521</v>
      </c>
      <c r="C248" s="240" t="s">
        <v>1522</v>
      </c>
      <c r="D248" s="266"/>
      <c r="E248" s="315">
        <v>145.99</v>
      </c>
      <c r="F248" s="315">
        <v>34.05</v>
      </c>
      <c r="G248" s="315">
        <v>30.64</v>
      </c>
      <c r="H248" s="304"/>
    </row>
    <row r="249" spans="2:8">
      <c r="B249" s="314" t="s">
        <v>1524</v>
      </c>
      <c r="C249" s="240" t="s">
        <v>1525</v>
      </c>
      <c r="D249" s="266"/>
      <c r="E249" s="315">
        <v>340.99</v>
      </c>
      <c r="F249" s="315">
        <v>79.68</v>
      </c>
      <c r="G249" s="315">
        <v>71.72</v>
      </c>
      <c r="H249" s="304"/>
    </row>
    <row r="250" spans="2:8">
      <c r="B250" s="314" t="s">
        <v>1527</v>
      </c>
      <c r="C250" s="240" t="s">
        <v>1528</v>
      </c>
      <c r="D250" s="266"/>
      <c r="E250" s="315">
        <v>40.99</v>
      </c>
      <c r="F250" s="315">
        <v>19.68</v>
      </c>
      <c r="G250" s="315">
        <v>17.71</v>
      </c>
      <c r="H250" s="304"/>
    </row>
    <row r="251" spans="2:8">
      <c r="B251" s="314" t="s">
        <v>1530</v>
      </c>
      <c r="C251" s="240" t="s">
        <v>1531</v>
      </c>
      <c r="D251" s="266"/>
      <c r="E251" s="315">
        <v>66.99</v>
      </c>
      <c r="F251" s="315">
        <v>16.47</v>
      </c>
      <c r="G251" s="315">
        <v>14.82</v>
      </c>
      <c r="H251" s="304"/>
    </row>
    <row r="252" spans="2:8">
      <c r="B252" s="314" t="s">
        <v>1533</v>
      </c>
      <c r="C252" s="240" t="s">
        <v>1534</v>
      </c>
      <c r="D252" s="266"/>
      <c r="E252" s="315">
        <v>113.99</v>
      </c>
      <c r="F252" s="315">
        <v>25.8</v>
      </c>
      <c r="G252" s="315">
        <v>23.22</v>
      </c>
      <c r="H252" s="304"/>
    </row>
    <row r="253" spans="2:8">
      <c r="B253" s="314" t="s">
        <v>1536</v>
      </c>
      <c r="C253" s="240" t="s">
        <v>2323</v>
      </c>
      <c r="D253" s="266"/>
      <c r="E253" s="315">
        <v>188.99</v>
      </c>
      <c r="F253" s="315">
        <v>44.31</v>
      </c>
      <c r="G253" s="315">
        <v>39.88</v>
      </c>
      <c r="H253" s="304"/>
    </row>
    <row r="254" spans="2:8">
      <c r="B254" s="314" t="s">
        <v>1539</v>
      </c>
      <c r="C254" s="240" t="s">
        <v>2324</v>
      </c>
      <c r="D254" s="266"/>
      <c r="E254" s="315">
        <v>178.99</v>
      </c>
      <c r="F254" s="315">
        <v>42.2</v>
      </c>
      <c r="G254" s="315">
        <v>37.98</v>
      </c>
      <c r="H254" s="304"/>
    </row>
    <row r="255" spans="2:8">
      <c r="B255" s="314" t="s">
        <v>1542</v>
      </c>
      <c r="C255" s="240" t="s">
        <v>1543</v>
      </c>
      <c r="D255" s="266"/>
      <c r="E255" s="315">
        <v>101.99</v>
      </c>
      <c r="F255" s="315">
        <v>23.89</v>
      </c>
      <c r="G255" s="315">
        <v>21.5</v>
      </c>
      <c r="H255" s="304"/>
    </row>
    <row r="256" spans="2:8">
      <c r="B256" s="314" t="s">
        <v>1545</v>
      </c>
      <c r="C256" s="240" t="s">
        <v>1546</v>
      </c>
      <c r="D256" s="266"/>
      <c r="E256" s="315">
        <v>204.99</v>
      </c>
      <c r="F256" s="315">
        <v>47.8</v>
      </c>
      <c r="G256" s="315">
        <v>43.02</v>
      </c>
      <c r="H256" s="304"/>
    </row>
    <row r="257" spans="2:8">
      <c r="B257" s="314" t="s">
        <v>1548</v>
      </c>
      <c r="C257" s="240" t="s">
        <v>2325</v>
      </c>
      <c r="D257" s="266"/>
      <c r="E257" s="315">
        <v>157.99</v>
      </c>
      <c r="F257" s="315">
        <v>36.86</v>
      </c>
      <c r="G257" s="315">
        <v>33.17</v>
      </c>
      <c r="H257" s="304"/>
    </row>
    <row r="258" spans="2:8">
      <c r="B258" s="314" t="s">
        <v>1550</v>
      </c>
      <c r="C258" s="240" t="s">
        <v>1551</v>
      </c>
      <c r="D258" s="266"/>
      <c r="E258" s="315">
        <v>289.99</v>
      </c>
      <c r="F258" s="315">
        <v>68.02</v>
      </c>
      <c r="G258" s="315">
        <v>61.22</v>
      </c>
      <c r="H258" s="304"/>
    </row>
    <row r="259" spans="2:8">
      <c r="B259" s="314" t="s">
        <v>1552</v>
      </c>
      <c r="C259" s="240" t="s">
        <v>1553</v>
      </c>
      <c r="D259" s="266"/>
      <c r="E259" s="315">
        <v>330.99</v>
      </c>
      <c r="F259" s="315">
        <v>77.37</v>
      </c>
      <c r="G259" s="315">
        <v>69.64</v>
      </c>
      <c r="H259" s="304"/>
    </row>
    <row r="260" spans="2:8">
      <c r="B260" s="314" t="s">
        <v>1555</v>
      </c>
      <c r="C260" s="240" t="s">
        <v>2326</v>
      </c>
      <c r="D260" s="266"/>
      <c r="E260" s="315">
        <v>210.99</v>
      </c>
      <c r="F260" s="315">
        <v>49.39</v>
      </c>
      <c r="G260" s="315">
        <v>44.45</v>
      </c>
      <c r="H260" s="304"/>
    </row>
    <row r="261" spans="2:8">
      <c r="B261" s="314" t="s">
        <v>1558</v>
      </c>
      <c r="C261" s="240" t="s">
        <v>1559</v>
      </c>
      <c r="D261" s="266"/>
      <c r="E261" s="315">
        <v>330.99</v>
      </c>
      <c r="F261" s="315">
        <v>77.37</v>
      </c>
      <c r="G261" s="315">
        <v>69.64</v>
      </c>
      <c r="H261" s="304"/>
    </row>
    <row r="262" spans="2:8">
      <c r="B262" s="314" t="s">
        <v>1560</v>
      </c>
      <c r="C262" s="240" t="s">
        <v>2327</v>
      </c>
      <c r="D262" s="266"/>
      <c r="E262" s="315">
        <v>46.99</v>
      </c>
      <c r="F262" s="315">
        <v>11.06</v>
      </c>
      <c r="G262" s="315">
        <v>9.95</v>
      </c>
      <c r="H262" s="304"/>
    </row>
    <row r="263" spans="2:8">
      <c r="B263" s="314" t="s">
        <v>1562</v>
      </c>
      <c r="C263" s="240" t="s">
        <v>1563</v>
      </c>
      <c r="D263" s="266"/>
      <c r="E263" s="315">
        <v>27.99</v>
      </c>
      <c r="F263" s="315">
        <v>9.92</v>
      </c>
      <c r="G263" s="315">
        <v>8.93</v>
      </c>
      <c r="H263" s="304"/>
    </row>
    <row r="264" spans="2:8">
      <c r="B264" s="314" t="s">
        <v>1571</v>
      </c>
      <c r="C264" s="240" t="s">
        <v>1572</v>
      </c>
      <c r="D264" s="266"/>
      <c r="E264" s="315">
        <v>95.99</v>
      </c>
      <c r="F264" s="315">
        <v>21.55</v>
      </c>
      <c r="G264" s="315">
        <v>19.39</v>
      </c>
      <c r="H264" s="304"/>
    </row>
    <row r="265" spans="2:8">
      <c r="B265" s="314" t="s">
        <v>1585</v>
      </c>
      <c r="C265" s="240" t="s">
        <v>1586</v>
      </c>
      <c r="D265" s="266"/>
      <c r="E265" s="315">
        <v>119.99</v>
      </c>
      <c r="F265" s="315">
        <v>28.02</v>
      </c>
      <c r="G265" s="315">
        <v>25.22</v>
      </c>
      <c r="H265" s="304"/>
    </row>
    <row r="266" spans="2:8">
      <c r="B266" s="314" t="s">
        <v>1591</v>
      </c>
      <c r="C266" s="240" t="s">
        <v>1592</v>
      </c>
      <c r="D266" s="266"/>
      <c r="E266" s="315">
        <v>53.99</v>
      </c>
      <c r="F266" s="315">
        <v>24.61</v>
      </c>
      <c r="G266" s="315">
        <v>22.15</v>
      </c>
      <c r="H266" s="304"/>
    </row>
    <row r="267" spans="2:8">
      <c r="B267" s="314" t="s">
        <v>1594</v>
      </c>
      <c r="C267" s="240" t="s">
        <v>2328</v>
      </c>
      <c r="D267" s="266"/>
      <c r="E267" s="315">
        <v>27.99</v>
      </c>
      <c r="F267" s="315">
        <v>6.74</v>
      </c>
      <c r="G267" s="315">
        <v>6.07</v>
      </c>
      <c r="H267" s="304"/>
    </row>
    <row r="268" spans="2:8">
      <c r="B268" s="314" t="s">
        <v>1597</v>
      </c>
      <c r="C268" s="240" t="s">
        <v>1598</v>
      </c>
      <c r="D268" s="266"/>
      <c r="E268" s="315">
        <v>27.99</v>
      </c>
      <c r="F268" s="315">
        <v>7.5</v>
      </c>
      <c r="G268" s="315">
        <v>6.75</v>
      </c>
      <c r="H268" s="304"/>
    </row>
    <row r="269" spans="2:8">
      <c r="B269" s="314" t="s">
        <v>1600</v>
      </c>
      <c r="C269" s="240" t="s">
        <v>1601</v>
      </c>
      <c r="D269" s="266"/>
      <c r="E269" s="315">
        <v>39.99</v>
      </c>
      <c r="F269" s="315">
        <v>9.32</v>
      </c>
      <c r="G269" s="315">
        <v>8.39</v>
      </c>
      <c r="H269" s="304"/>
    </row>
    <row r="270" spans="2:8">
      <c r="B270" s="314" t="s">
        <v>1609</v>
      </c>
      <c r="C270" s="240" t="s">
        <v>1610</v>
      </c>
      <c r="D270" s="266"/>
      <c r="E270" s="315">
        <v>40.99</v>
      </c>
      <c r="F270" s="315">
        <v>13.21</v>
      </c>
      <c r="G270" s="315">
        <v>11.89</v>
      </c>
      <c r="H270" s="304"/>
    </row>
    <row r="271" spans="2:8">
      <c r="B271" s="314" t="s">
        <v>1612</v>
      </c>
      <c r="C271" s="240" t="s">
        <v>1613</v>
      </c>
      <c r="D271" s="266"/>
      <c r="E271" s="315">
        <v>40.99</v>
      </c>
      <c r="F271" s="315">
        <v>18.63</v>
      </c>
      <c r="G271" s="315">
        <v>16.77</v>
      </c>
      <c r="H271" s="304"/>
    </row>
    <row r="272" spans="2:8">
      <c r="B272" s="314" t="s">
        <v>1615</v>
      </c>
      <c r="C272" s="240" t="s">
        <v>1616</v>
      </c>
      <c r="D272" s="266"/>
      <c r="E272" s="315">
        <v>27.99</v>
      </c>
      <c r="F272" s="315">
        <v>10.25</v>
      </c>
      <c r="G272" s="315">
        <v>9.23</v>
      </c>
      <c r="H272" s="304"/>
    </row>
    <row r="273" spans="2:8">
      <c r="B273" s="314" t="s">
        <v>1618</v>
      </c>
      <c r="C273" s="240" t="s">
        <v>1619</v>
      </c>
      <c r="D273" s="266"/>
      <c r="E273" s="315">
        <v>10.99</v>
      </c>
      <c r="F273" s="315">
        <v>2.63</v>
      </c>
      <c r="G273" s="315">
        <v>2.37</v>
      </c>
      <c r="H273" s="304"/>
    </row>
    <row r="274" spans="2:8">
      <c r="B274" s="314" t="s">
        <v>1621</v>
      </c>
      <c r="C274" s="240" t="s">
        <v>1622</v>
      </c>
      <c r="D274" s="266"/>
      <c r="E274" s="315">
        <v>10.99</v>
      </c>
      <c r="F274" s="315">
        <v>1.77</v>
      </c>
      <c r="G274" s="315">
        <v>1.59</v>
      </c>
      <c r="H274" s="304"/>
    </row>
    <row r="275" spans="2:8">
      <c r="B275" s="314" t="s">
        <v>1624</v>
      </c>
      <c r="C275" s="240" t="s">
        <v>1625</v>
      </c>
      <c r="D275" s="266"/>
      <c r="E275" s="315">
        <v>51.99</v>
      </c>
      <c r="F275" s="315">
        <v>11.99</v>
      </c>
      <c r="G275" s="315">
        <v>10.79</v>
      </c>
      <c r="H275" s="304"/>
    </row>
    <row r="276" spans="2:8">
      <c r="B276" s="314" t="s">
        <v>1627</v>
      </c>
      <c r="C276" s="240" t="s">
        <v>1628</v>
      </c>
      <c r="D276" s="266"/>
      <c r="E276" s="315">
        <v>40.99</v>
      </c>
      <c r="F276" s="315">
        <v>7.85</v>
      </c>
      <c r="G276" s="315">
        <v>7.07</v>
      </c>
      <c r="H276" s="304"/>
    </row>
    <row r="277" spans="2:8">
      <c r="B277" s="314" t="s">
        <v>1630</v>
      </c>
      <c r="C277" s="240" t="s">
        <v>1631</v>
      </c>
      <c r="D277" s="266"/>
      <c r="E277" s="315">
        <v>33.99</v>
      </c>
      <c r="F277" s="315">
        <v>13.12</v>
      </c>
      <c r="G277" s="315">
        <v>11.81</v>
      </c>
      <c r="H277" s="304"/>
    </row>
    <row r="278" spans="2:8">
      <c r="B278" s="314" t="s">
        <v>1633</v>
      </c>
      <c r="C278" s="240" t="s">
        <v>1634</v>
      </c>
      <c r="D278" s="266"/>
      <c r="E278" s="315">
        <v>19.99</v>
      </c>
      <c r="F278" s="315">
        <v>6.03</v>
      </c>
      <c r="G278" s="315">
        <v>5.43</v>
      </c>
      <c r="H278" s="304"/>
    </row>
    <row r="279" spans="2:8">
      <c r="B279" s="314" t="s">
        <v>1636</v>
      </c>
      <c r="C279" s="240" t="s">
        <v>1637</v>
      </c>
      <c r="D279" s="266"/>
      <c r="E279" s="315">
        <v>107.99</v>
      </c>
      <c r="F279" s="315">
        <v>44.06</v>
      </c>
      <c r="G279" s="315">
        <v>39.65</v>
      </c>
      <c r="H279" s="304"/>
    </row>
    <row r="280" spans="2:8">
      <c r="B280" s="314" t="s">
        <v>1639</v>
      </c>
      <c r="C280" s="240" t="s">
        <v>1640</v>
      </c>
      <c r="D280" s="266"/>
      <c r="E280" s="315">
        <v>36.99</v>
      </c>
      <c r="F280" s="315">
        <v>8.91</v>
      </c>
      <c r="G280" s="315">
        <v>8.02</v>
      </c>
      <c r="H280" s="304"/>
    </row>
    <row r="281" spans="2:8">
      <c r="B281" s="314" t="s">
        <v>1642</v>
      </c>
      <c r="C281" s="240" t="s">
        <v>1643</v>
      </c>
      <c r="D281" s="266"/>
      <c r="E281" s="315">
        <v>27.99</v>
      </c>
      <c r="F281" s="315">
        <v>11.51</v>
      </c>
      <c r="G281" s="315">
        <v>10.36</v>
      </c>
      <c r="H281" s="304"/>
    </row>
    <row r="282" spans="2:8">
      <c r="B282" s="314" t="s">
        <v>1645</v>
      </c>
      <c r="C282" s="240" t="s">
        <v>1646</v>
      </c>
      <c r="D282" s="266"/>
      <c r="E282" s="315">
        <v>36.99</v>
      </c>
      <c r="F282" s="315">
        <v>8.89</v>
      </c>
      <c r="G282" s="315">
        <v>8</v>
      </c>
      <c r="H282" s="304"/>
    </row>
    <row r="283" spans="2:8">
      <c r="B283" s="314" t="s">
        <v>1648</v>
      </c>
      <c r="C283" s="240" t="s">
        <v>1649</v>
      </c>
      <c r="D283" s="266"/>
      <c r="E283" s="315">
        <v>21.99</v>
      </c>
      <c r="F283" s="315">
        <v>6.14</v>
      </c>
      <c r="G283" s="315">
        <v>5.53</v>
      </c>
      <c r="H283" s="304"/>
    </row>
    <row r="284" spans="2:8">
      <c r="B284" s="314" t="s">
        <v>1651</v>
      </c>
      <c r="C284" s="240" t="s">
        <v>1652</v>
      </c>
      <c r="D284" s="266"/>
      <c r="E284" s="315">
        <v>33.99</v>
      </c>
      <c r="F284" s="315">
        <v>12.57</v>
      </c>
      <c r="G284" s="315">
        <v>11.31</v>
      </c>
      <c r="H284" s="304"/>
    </row>
    <row r="285" spans="2:8">
      <c r="B285" s="314" t="s">
        <v>1654</v>
      </c>
      <c r="C285" s="240" t="s">
        <v>1655</v>
      </c>
      <c r="D285" s="266"/>
      <c r="E285" s="315">
        <v>27.99</v>
      </c>
      <c r="F285" s="315">
        <v>9.39</v>
      </c>
      <c r="G285" s="315">
        <v>8.45</v>
      </c>
      <c r="H285" s="304"/>
    </row>
    <row r="286" spans="2:8">
      <c r="B286" s="314" t="s">
        <v>1657</v>
      </c>
      <c r="C286" s="240" t="s">
        <v>1658</v>
      </c>
      <c r="D286" s="266"/>
      <c r="E286" s="315">
        <v>68.99</v>
      </c>
      <c r="F286" s="315">
        <v>16.17</v>
      </c>
      <c r="G286" s="315">
        <v>14.55</v>
      </c>
      <c r="H286" s="304"/>
    </row>
    <row r="287" spans="2:8">
      <c r="B287" s="314" t="s">
        <v>1660</v>
      </c>
      <c r="C287" s="240" t="s">
        <v>1661</v>
      </c>
      <c r="D287" s="266"/>
      <c r="E287" s="315">
        <v>64.99</v>
      </c>
      <c r="F287" s="315">
        <v>15.05</v>
      </c>
      <c r="G287" s="315">
        <v>13.54</v>
      </c>
      <c r="H287" s="304"/>
    </row>
    <row r="288" spans="2:8">
      <c r="B288" s="314" t="s">
        <v>1663</v>
      </c>
      <c r="C288" s="240" t="s">
        <v>1664</v>
      </c>
      <c r="D288" s="266"/>
      <c r="E288" s="315">
        <v>27.99</v>
      </c>
      <c r="F288" s="315">
        <v>4.91</v>
      </c>
      <c r="G288" s="315">
        <v>4.42</v>
      </c>
      <c r="H288" s="304"/>
    </row>
    <row r="289" spans="2:8">
      <c r="B289" s="314" t="s">
        <v>1669</v>
      </c>
      <c r="C289" s="240" t="s">
        <v>1670</v>
      </c>
      <c r="D289" s="266"/>
      <c r="E289" s="315">
        <v>19.99</v>
      </c>
      <c r="F289" s="315">
        <v>4.59</v>
      </c>
      <c r="G289" s="315">
        <v>4.13</v>
      </c>
      <c r="H289" s="304"/>
    </row>
    <row r="290" spans="2:8">
      <c r="B290" s="314" t="s">
        <v>1672</v>
      </c>
      <c r="C290" s="240" t="s">
        <v>1673</v>
      </c>
      <c r="D290" s="266"/>
      <c r="E290" s="315">
        <v>12.99</v>
      </c>
      <c r="F290" s="315">
        <v>1.4</v>
      </c>
      <c r="G290" s="315">
        <v>1.26</v>
      </c>
      <c r="H290" s="304"/>
    </row>
    <row r="291" spans="2:8">
      <c r="B291" s="314" t="s">
        <v>1675</v>
      </c>
      <c r="C291" s="240" t="s">
        <v>1676</v>
      </c>
      <c r="D291" s="266"/>
      <c r="E291" s="315">
        <v>9.99</v>
      </c>
      <c r="F291" s="315">
        <v>4.25</v>
      </c>
      <c r="G291" s="315">
        <v>3.82</v>
      </c>
      <c r="H291" s="304"/>
    </row>
    <row r="292" spans="2:8">
      <c r="B292" s="314" t="s">
        <v>1678</v>
      </c>
      <c r="C292" s="240" t="s">
        <v>1679</v>
      </c>
      <c r="D292" s="266"/>
      <c r="E292" s="315">
        <v>34.99</v>
      </c>
      <c r="F292" s="315">
        <v>8.2</v>
      </c>
      <c r="G292" s="315">
        <v>7.38</v>
      </c>
      <c r="H292" s="304"/>
    </row>
    <row r="293" spans="2:8">
      <c r="B293" s="314" t="s">
        <v>1681</v>
      </c>
      <c r="C293" s="240" t="s">
        <v>1682</v>
      </c>
      <c r="D293" s="266"/>
      <c r="E293" s="315">
        <v>22.99</v>
      </c>
      <c r="F293" s="315">
        <v>5.37</v>
      </c>
      <c r="G293" s="315">
        <v>4.83</v>
      </c>
      <c r="H293" s="304"/>
    </row>
    <row r="294" spans="2:8">
      <c r="B294" s="314" t="s">
        <v>1684</v>
      </c>
      <c r="C294" s="240" t="s">
        <v>1685</v>
      </c>
      <c r="D294" s="266"/>
      <c r="E294" s="315">
        <v>53.99</v>
      </c>
      <c r="F294" s="315">
        <v>25.7</v>
      </c>
      <c r="G294" s="315">
        <v>23.13</v>
      </c>
      <c r="H294" s="304"/>
    </row>
    <row r="295" spans="2:8">
      <c r="B295" s="314" t="s">
        <v>1687</v>
      </c>
      <c r="C295" s="240" t="s">
        <v>1688</v>
      </c>
      <c r="D295" s="266"/>
      <c r="E295" s="315">
        <v>53.99</v>
      </c>
      <c r="F295" s="315">
        <v>23.57</v>
      </c>
      <c r="G295" s="315">
        <v>21.22</v>
      </c>
      <c r="H295" s="304"/>
    </row>
    <row r="296" spans="2:8">
      <c r="B296" s="314" t="s">
        <v>1690</v>
      </c>
      <c r="C296" s="240" t="s">
        <v>1691</v>
      </c>
      <c r="D296" s="266"/>
      <c r="E296" s="315">
        <v>40.99</v>
      </c>
      <c r="F296" s="315">
        <v>10.19</v>
      </c>
      <c r="G296" s="315">
        <v>9.17</v>
      </c>
      <c r="H296" s="304"/>
    </row>
    <row r="297" spans="2:8">
      <c r="B297" s="314" t="s">
        <v>1693</v>
      </c>
      <c r="C297" s="240" t="s">
        <v>1694</v>
      </c>
      <c r="D297" s="266"/>
      <c r="E297" s="315">
        <v>80.99</v>
      </c>
      <c r="F297" s="315">
        <v>22.65</v>
      </c>
      <c r="G297" s="315">
        <v>20.38</v>
      </c>
      <c r="H297" s="304"/>
    </row>
    <row r="298" spans="2:8">
      <c r="B298" s="314" t="s">
        <v>1696</v>
      </c>
      <c r="C298" s="240" t="s">
        <v>1697</v>
      </c>
      <c r="D298" s="266"/>
      <c r="E298" s="315">
        <v>40.99</v>
      </c>
      <c r="F298" s="315">
        <v>14.19</v>
      </c>
      <c r="G298" s="315">
        <v>12.77</v>
      </c>
      <c r="H298" s="304"/>
    </row>
    <row r="299" spans="2:8">
      <c r="B299" s="314" t="s">
        <v>1699</v>
      </c>
      <c r="C299" s="240" t="s">
        <v>1700</v>
      </c>
      <c r="D299" s="266"/>
      <c r="E299" s="315">
        <v>66.99</v>
      </c>
      <c r="F299" s="315">
        <v>20.76</v>
      </c>
      <c r="G299" s="315">
        <v>18.68</v>
      </c>
      <c r="H299" s="304"/>
    </row>
    <row r="300" spans="2:8">
      <c r="B300" s="314" t="s">
        <v>1702</v>
      </c>
      <c r="C300" s="240" t="s">
        <v>1703</v>
      </c>
      <c r="D300" s="266"/>
      <c r="E300" s="315">
        <v>91.99</v>
      </c>
      <c r="F300" s="315">
        <v>21.36</v>
      </c>
      <c r="G300" s="315">
        <v>19.23</v>
      </c>
      <c r="H300" s="304"/>
    </row>
    <row r="301" spans="2:8">
      <c r="B301" s="314" t="s">
        <v>1705</v>
      </c>
      <c r="C301" s="240" t="s">
        <v>1706</v>
      </c>
      <c r="D301" s="266"/>
      <c r="E301" s="315">
        <v>130.99</v>
      </c>
      <c r="F301" s="315">
        <v>30.67</v>
      </c>
      <c r="G301" s="315">
        <v>27.6</v>
      </c>
      <c r="H301" s="304"/>
    </row>
    <row r="302" spans="2:8">
      <c r="B302" s="314" t="s">
        <v>1708</v>
      </c>
      <c r="C302" s="240" t="s">
        <v>1709</v>
      </c>
      <c r="D302" s="266"/>
      <c r="E302" s="315">
        <v>16.99</v>
      </c>
      <c r="F302" s="315">
        <v>3.82</v>
      </c>
      <c r="G302" s="315">
        <v>3.44</v>
      </c>
      <c r="H302" s="304"/>
    </row>
    <row r="303" spans="2:8">
      <c r="B303" s="314" t="s">
        <v>1711</v>
      </c>
      <c r="C303" s="240" t="s">
        <v>1712</v>
      </c>
      <c r="D303" s="266"/>
      <c r="E303" s="315">
        <v>100.99</v>
      </c>
      <c r="F303" s="315">
        <v>23.86</v>
      </c>
      <c r="G303" s="315">
        <v>21.47</v>
      </c>
      <c r="H303" s="304"/>
    </row>
    <row r="304" spans="2:8">
      <c r="B304" s="314" t="s">
        <v>1714</v>
      </c>
      <c r="C304" s="240" t="s">
        <v>1715</v>
      </c>
      <c r="D304" s="266"/>
      <c r="E304" s="315">
        <v>53.99</v>
      </c>
      <c r="F304" s="315">
        <v>12.66</v>
      </c>
      <c r="G304" s="315">
        <v>11.39</v>
      </c>
      <c r="H304" s="304"/>
    </row>
    <row r="305" spans="2:8">
      <c r="B305" s="314" t="s">
        <v>1717</v>
      </c>
      <c r="C305" s="240" t="s">
        <v>1718</v>
      </c>
      <c r="D305" s="266"/>
      <c r="E305" s="315">
        <v>68.99</v>
      </c>
      <c r="F305" s="315">
        <v>16.28</v>
      </c>
      <c r="G305" s="315">
        <v>14.65</v>
      </c>
      <c r="H305" s="304"/>
    </row>
    <row r="306" spans="2:8">
      <c r="B306" s="314" t="s">
        <v>1720</v>
      </c>
      <c r="C306" s="240" t="s">
        <v>1721</v>
      </c>
      <c r="D306" s="266"/>
      <c r="E306" s="315">
        <v>23.99</v>
      </c>
      <c r="F306" s="315">
        <v>11.68</v>
      </c>
      <c r="G306" s="315">
        <v>10.51</v>
      </c>
      <c r="H306" s="304"/>
    </row>
    <row r="307" spans="2:8">
      <c r="B307" s="314" t="s">
        <v>1723</v>
      </c>
      <c r="C307" s="240" t="s">
        <v>2329</v>
      </c>
      <c r="D307" s="266"/>
      <c r="E307" s="315">
        <v>53.99</v>
      </c>
      <c r="F307" s="315">
        <v>12.74</v>
      </c>
      <c r="G307" s="315">
        <v>11.46</v>
      </c>
      <c r="H307" s="304"/>
    </row>
    <row r="308" spans="2:8">
      <c r="B308" s="314" t="s">
        <v>1726</v>
      </c>
      <c r="C308" s="240" t="s">
        <v>1727</v>
      </c>
      <c r="D308" s="266"/>
      <c r="E308" s="315">
        <v>65.99</v>
      </c>
      <c r="F308" s="315">
        <v>15.47</v>
      </c>
      <c r="G308" s="315">
        <v>13.92</v>
      </c>
      <c r="H308" s="304"/>
    </row>
    <row r="309" spans="2:8">
      <c r="B309" s="314" t="s">
        <v>1729</v>
      </c>
      <c r="C309" s="240" t="s">
        <v>1730</v>
      </c>
      <c r="D309" s="266"/>
      <c r="E309" s="315">
        <v>22.99</v>
      </c>
      <c r="F309" s="315">
        <v>5.49</v>
      </c>
      <c r="G309" s="315">
        <v>4.94</v>
      </c>
      <c r="H309" s="304"/>
    </row>
    <row r="310" spans="2:8">
      <c r="B310" s="314" t="s">
        <v>1732</v>
      </c>
      <c r="C310" s="240" t="s">
        <v>1733</v>
      </c>
      <c r="D310" s="266"/>
      <c r="E310" s="315">
        <v>22.99</v>
      </c>
      <c r="F310" s="315">
        <v>5.21</v>
      </c>
      <c r="G310" s="315">
        <v>4.69</v>
      </c>
      <c r="H310" s="304"/>
    </row>
    <row r="311" spans="2:8">
      <c r="B311" s="314" t="s">
        <v>1735</v>
      </c>
      <c r="C311" s="240" t="s">
        <v>1736</v>
      </c>
      <c r="D311" s="266"/>
      <c r="E311" s="315">
        <v>16.99</v>
      </c>
      <c r="F311" s="315">
        <v>3.95</v>
      </c>
      <c r="G311" s="315">
        <v>3.55</v>
      </c>
      <c r="H311" s="304"/>
    </row>
    <row r="312" spans="2:8">
      <c r="B312" s="314" t="s">
        <v>1738</v>
      </c>
      <c r="C312" s="240" t="s">
        <v>1739</v>
      </c>
      <c r="D312" s="266"/>
      <c r="E312" s="315">
        <v>71.99</v>
      </c>
      <c r="F312" s="315">
        <v>16.81</v>
      </c>
      <c r="G312" s="315">
        <v>15.13</v>
      </c>
      <c r="H312" s="304"/>
    </row>
    <row r="313" spans="2:8">
      <c r="B313" s="314" t="s">
        <v>1741</v>
      </c>
      <c r="C313" s="240" t="s">
        <v>1742</v>
      </c>
      <c r="D313" s="266"/>
      <c r="E313" s="315">
        <v>69.99</v>
      </c>
      <c r="F313" s="315">
        <v>16.51</v>
      </c>
      <c r="G313" s="315">
        <v>14.86</v>
      </c>
      <c r="H313" s="304"/>
    </row>
    <row r="314" spans="2:8">
      <c r="B314" s="314" t="s">
        <v>1744</v>
      </c>
      <c r="C314" s="240" t="s">
        <v>1745</v>
      </c>
      <c r="D314" s="266"/>
      <c r="E314" s="315">
        <v>17.99</v>
      </c>
      <c r="F314" s="315">
        <v>4.24</v>
      </c>
      <c r="G314" s="315">
        <v>3.81</v>
      </c>
      <c r="H314" s="304"/>
    </row>
    <row r="315" spans="2:8">
      <c r="B315" s="314" t="s">
        <v>1747</v>
      </c>
      <c r="C315" s="240" t="s">
        <v>1748</v>
      </c>
      <c r="D315" s="266"/>
      <c r="E315" s="315">
        <v>52.99</v>
      </c>
      <c r="F315" s="315">
        <v>12.25</v>
      </c>
      <c r="G315" s="315">
        <v>11.03</v>
      </c>
      <c r="H315" s="304"/>
    </row>
    <row r="316" spans="2:8">
      <c r="B316" s="314" t="s">
        <v>1750</v>
      </c>
      <c r="C316" s="240" t="s">
        <v>1751</v>
      </c>
      <c r="D316" s="266"/>
      <c r="E316" s="315">
        <v>82.99</v>
      </c>
      <c r="F316" s="315">
        <v>19.21</v>
      </c>
      <c r="G316" s="315">
        <v>17.29</v>
      </c>
      <c r="H316" s="304"/>
    </row>
    <row r="317" spans="2:8">
      <c r="B317" s="314" t="s">
        <v>1753</v>
      </c>
      <c r="C317" s="240" t="s">
        <v>1754</v>
      </c>
      <c r="D317" s="266"/>
      <c r="E317" s="315">
        <v>178.99</v>
      </c>
      <c r="F317" s="315">
        <v>42.02</v>
      </c>
      <c r="G317" s="315">
        <v>37.82</v>
      </c>
      <c r="H317" s="304"/>
    </row>
    <row r="318" spans="2:8">
      <c r="B318" s="314" t="s">
        <v>1756</v>
      </c>
      <c r="C318" s="240" t="s">
        <v>1757</v>
      </c>
      <c r="D318" s="266"/>
      <c r="E318" s="315">
        <v>53.99</v>
      </c>
      <c r="F318" s="315">
        <v>12.61</v>
      </c>
      <c r="G318" s="315">
        <v>11.35</v>
      </c>
      <c r="H318" s="304"/>
    </row>
    <row r="319" spans="2:8">
      <c r="B319" s="314" t="s">
        <v>1759</v>
      </c>
      <c r="C319" s="240" t="s">
        <v>1694</v>
      </c>
      <c r="D319" s="266"/>
      <c r="E319" s="315">
        <v>106.99</v>
      </c>
      <c r="F319" s="315">
        <v>25.05</v>
      </c>
      <c r="G319" s="315">
        <v>22.54</v>
      </c>
      <c r="H319" s="304"/>
    </row>
    <row r="320" spans="2:8">
      <c r="B320" s="314" t="s">
        <v>1761</v>
      </c>
      <c r="C320" s="240" t="s">
        <v>1762</v>
      </c>
      <c r="D320" s="266"/>
      <c r="E320" s="315">
        <v>49.99</v>
      </c>
      <c r="F320" s="315">
        <v>11.95</v>
      </c>
      <c r="G320" s="315">
        <v>10.75</v>
      </c>
      <c r="H320" s="304"/>
    </row>
    <row r="321" spans="2:8">
      <c r="B321" s="314" t="s">
        <v>1764</v>
      </c>
      <c r="C321" s="240" t="s">
        <v>1765</v>
      </c>
      <c r="D321" s="266"/>
      <c r="E321" s="315">
        <v>19.99</v>
      </c>
      <c r="F321" s="315">
        <v>4.82</v>
      </c>
      <c r="G321" s="315">
        <v>4.34</v>
      </c>
      <c r="H321" s="304"/>
    </row>
    <row r="322" spans="2:8">
      <c r="B322" s="314" t="s">
        <v>1767</v>
      </c>
      <c r="C322" s="240" t="s">
        <v>1768</v>
      </c>
      <c r="D322" s="266"/>
      <c r="E322" s="315">
        <v>39.99</v>
      </c>
      <c r="F322" s="315">
        <v>9.26</v>
      </c>
      <c r="G322" s="315">
        <v>8.34</v>
      </c>
      <c r="H322" s="304"/>
    </row>
    <row r="323" spans="2:8">
      <c r="B323" s="314" t="s">
        <v>1770</v>
      </c>
      <c r="C323" s="240" t="s">
        <v>1771</v>
      </c>
      <c r="D323" s="266"/>
      <c r="E323" s="315">
        <v>98.99</v>
      </c>
      <c r="F323" s="315">
        <v>23.13</v>
      </c>
      <c r="G323" s="315">
        <v>20.82</v>
      </c>
      <c r="H323" s="304"/>
    </row>
    <row r="324" spans="2:8">
      <c r="B324" s="314" t="s">
        <v>1773</v>
      </c>
      <c r="C324" s="240" t="s">
        <v>1774</v>
      </c>
      <c r="D324" s="266"/>
      <c r="E324" s="315">
        <v>34.99</v>
      </c>
      <c r="F324" s="315">
        <v>8.14</v>
      </c>
      <c r="G324" s="315">
        <v>7.33</v>
      </c>
      <c r="H324" s="304"/>
    </row>
    <row r="325" spans="2:8">
      <c r="B325" s="314" t="s">
        <v>1776</v>
      </c>
      <c r="C325" s="240" t="s">
        <v>1777</v>
      </c>
      <c r="D325" s="266"/>
      <c r="E325" s="315">
        <v>75.99</v>
      </c>
      <c r="F325" s="315">
        <v>17.33</v>
      </c>
      <c r="G325" s="315">
        <v>15.59</v>
      </c>
      <c r="H325" s="304"/>
    </row>
    <row r="326" spans="2:8">
      <c r="B326" s="314" t="s">
        <v>1779</v>
      </c>
      <c r="C326" s="240" t="s">
        <v>1780</v>
      </c>
      <c r="D326" s="266"/>
      <c r="E326" s="315">
        <v>134.99</v>
      </c>
      <c r="F326" s="315">
        <v>56.41</v>
      </c>
      <c r="G326" s="315">
        <v>50.77</v>
      </c>
      <c r="H326" s="304"/>
    </row>
    <row r="327" spans="2:8">
      <c r="B327" s="314" t="s">
        <v>1782</v>
      </c>
      <c r="C327" s="240" t="s">
        <v>1783</v>
      </c>
      <c r="D327" s="266"/>
      <c r="E327" s="315">
        <v>44.99</v>
      </c>
      <c r="F327" s="315">
        <v>10.45</v>
      </c>
      <c r="G327" s="315">
        <v>9.41</v>
      </c>
      <c r="H327" s="304"/>
    </row>
    <row r="328" spans="2:8">
      <c r="B328" s="314" t="s">
        <v>1785</v>
      </c>
      <c r="C328" s="240" t="s">
        <v>1786</v>
      </c>
      <c r="D328" s="266"/>
      <c r="E328" s="315">
        <v>49.99</v>
      </c>
      <c r="F328" s="315">
        <v>11.69</v>
      </c>
      <c r="G328" s="315">
        <v>10.52</v>
      </c>
      <c r="H328" s="304"/>
    </row>
    <row r="329" spans="2:8">
      <c r="B329" s="314" t="s">
        <v>1788</v>
      </c>
      <c r="C329" s="240" t="s">
        <v>1789</v>
      </c>
      <c r="D329" s="266"/>
      <c r="E329" s="315">
        <v>77.99</v>
      </c>
      <c r="F329" s="315">
        <v>18.47</v>
      </c>
      <c r="G329" s="315">
        <v>16.62</v>
      </c>
      <c r="H329" s="304"/>
    </row>
    <row r="330" spans="2:8">
      <c r="B330" s="314" t="s">
        <v>1791</v>
      </c>
      <c r="C330" s="240" t="s">
        <v>1792</v>
      </c>
      <c r="D330" s="266"/>
      <c r="E330" s="315">
        <v>30.99</v>
      </c>
      <c r="F330" s="315">
        <v>7.28</v>
      </c>
      <c r="G330" s="315">
        <v>6.55</v>
      </c>
      <c r="H330" s="304"/>
    </row>
    <row r="331" spans="2:8">
      <c r="B331" s="314" t="s">
        <v>1794</v>
      </c>
      <c r="C331" s="240" t="s">
        <v>1795</v>
      </c>
      <c r="D331" s="266"/>
      <c r="E331" s="315">
        <v>69.99</v>
      </c>
      <c r="F331" s="315">
        <v>16.51</v>
      </c>
      <c r="G331" s="315">
        <v>14.86</v>
      </c>
      <c r="H331" s="304"/>
    </row>
    <row r="332" spans="2:8">
      <c r="B332" s="314" t="s">
        <v>1797</v>
      </c>
      <c r="C332" s="240" t="s">
        <v>1798</v>
      </c>
      <c r="D332" s="266"/>
      <c r="E332" s="315">
        <v>82.99</v>
      </c>
      <c r="F332" s="315">
        <v>19.21</v>
      </c>
      <c r="G332" s="315">
        <v>17.29</v>
      </c>
      <c r="H332" s="304"/>
    </row>
    <row r="333" spans="2:8">
      <c r="B333" s="314" t="s">
        <v>1800</v>
      </c>
      <c r="C333" s="240" t="s">
        <v>1801</v>
      </c>
      <c r="D333" s="266"/>
      <c r="E333" s="315">
        <v>63.99</v>
      </c>
      <c r="F333" s="315">
        <v>14.77</v>
      </c>
      <c r="G333" s="315">
        <v>13.3</v>
      </c>
      <c r="H333" s="304"/>
    </row>
    <row r="334" spans="2:8">
      <c r="B334" s="314" t="s">
        <v>1803</v>
      </c>
      <c r="C334" s="240" t="s">
        <v>1804</v>
      </c>
      <c r="D334" s="266"/>
      <c r="E334" s="315">
        <v>22.99</v>
      </c>
      <c r="F334" s="315">
        <v>5.21</v>
      </c>
      <c r="G334" s="315">
        <v>4.69</v>
      </c>
      <c r="H334" s="304"/>
    </row>
    <row r="335" spans="2:8">
      <c r="B335" s="314" t="s">
        <v>1806</v>
      </c>
      <c r="C335" s="240" t="s">
        <v>1807</v>
      </c>
      <c r="D335" s="266"/>
      <c r="E335" s="315">
        <v>33.99</v>
      </c>
      <c r="F335" s="315">
        <v>7.93</v>
      </c>
      <c r="G335" s="315">
        <v>7.14</v>
      </c>
      <c r="H335" s="304"/>
    </row>
    <row r="336" spans="2:8">
      <c r="B336" s="314" t="s">
        <v>1809</v>
      </c>
      <c r="C336" s="240" t="s">
        <v>1810</v>
      </c>
      <c r="D336" s="266"/>
      <c r="E336" s="315">
        <v>49.99</v>
      </c>
      <c r="F336" s="315">
        <v>11.66</v>
      </c>
      <c r="G336" s="315">
        <v>10.49</v>
      </c>
      <c r="H336" s="304"/>
    </row>
    <row r="337" spans="2:8">
      <c r="B337" s="314" t="s">
        <v>1812</v>
      </c>
      <c r="C337" s="240" t="s">
        <v>1813</v>
      </c>
      <c r="D337" s="266"/>
      <c r="E337" s="315">
        <v>101.99</v>
      </c>
      <c r="F337" s="315">
        <v>23.88</v>
      </c>
      <c r="G337" s="315">
        <v>21.49</v>
      </c>
      <c r="H337" s="304"/>
    </row>
    <row r="338" spans="2:8">
      <c r="B338" s="314" t="s">
        <v>1814</v>
      </c>
      <c r="C338" s="240" t="s">
        <v>1815</v>
      </c>
      <c r="D338" s="266"/>
      <c r="E338" s="315">
        <v>348.99</v>
      </c>
      <c r="F338" s="315">
        <v>81.72</v>
      </c>
      <c r="G338" s="315">
        <v>73.55</v>
      </c>
      <c r="H338" s="304"/>
    </row>
    <row r="339" spans="2:8">
      <c r="B339" s="314" t="s">
        <v>1817</v>
      </c>
      <c r="C339" s="240" t="s">
        <v>1818</v>
      </c>
      <c r="D339" s="266"/>
      <c r="E339" s="315">
        <v>89.99</v>
      </c>
      <c r="F339" s="315">
        <v>21.19</v>
      </c>
      <c r="G339" s="315">
        <v>19.07</v>
      </c>
      <c r="H339" s="304"/>
    </row>
    <row r="340" spans="2:8">
      <c r="B340" s="314" t="s">
        <v>1820</v>
      </c>
      <c r="C340" s="240" t="s">
        <v>1821</v>
      </c>
      <c r="D340" s="266"/>
      <c r="E340" s="315">
        <v>187.99</v>
      </c>
      <c r="F340" s="315">
        <v>43.82</v>
      </c>
      <c r="G340" s="315">
        <v>39.44</v>
      </c>
      <c r="H340" s="304"/>
    </row>
    <row r="341" spans="2:8">
      <c r="B341" s="314" t="s">
        <v>1826</v>
      </c>
      <c r="C341" s="240" t="s">
        <v>1827</v>
      </c>
      <c r="D341" s="266"/>
      <c r="E341" s="315">
        <v>284.99</v>
      </c>
      <c r="F341" s="315">
        <v>66.88</v>
      </c>
      <c r="G341" s="315">
        <v>60.19</v>
      </c>
      <c r="H341" s="304"/>
    </row>
    <row r="342" spans="2:8">
      <c r="B342" s="314" t="s">
        <v>1829</v>
      </c>
      <c r="C342" s="240" t="s">
        <v>1830</v>
      </c>
      <c r="D342" s="266"/>
      <c r="E342" s="315">
        <v>82.99</v>
      </c>
      <c r="F342" s="315">
        <v>19.35</v>
      </c>
      <c r="G342" s="315">
        <v>17.41</v>
      </c>
      <c r="H342" s="304"/>
    </row>
    <row r="343" spans="2:8">
      <c r="B343" s="314" t="s">
        <v>1832</v>
      </c>
      <c r="C343" s="240" t="s">
        <v>1833</v>
      </c>
      <c r="D343" s="266"/>
      <c r="E343" s="315">
        <v>22.99</v>
      </c>
      <c r="F343" s="315">
        <v>5.3</v>
      </c>
      <c r="G343" s="315">
        <v>4.77</v>
      </c>
      <c r="H343" s="304"/>
    </row>
    <row r="344" spans="2:8">
      <c r="B344" s="314" t="s">
        <v>1835</v>
      </c>
      <c r="C344" s="240" t="s">
        <v>1836</v>
      </c>
      <c r="D344" s="266"/>
      <c r="E344" s="315">
        <v>22.99</v>
      </c>
      <c r="F344" s="315">
        <v>5.3</v>
      </c>
      <c r="G344" s="315">
        <v>4.77</v>
      </c>
      <c r="H344" s="304"/>
    </row>
    <row r="345" spans="2:8">
      <c r="B345" s="314" t="s">
        <v>1838</v>
      </c>
      <c r="C345" s="240" t="s">
        <v>1839</v>
      </c>
      <c r="D345" s="266"/>
      <c r="E345" s="315">
        <v>74.99</v>
      </c>
      <c r="F345" s="315">
        <v>17.26</v>
      </c>
      <c r="G345" s="315">
        <v>15.53</v>
      </c>
      <c r="H345" s="304"/>
    </row>
    <row r="346" spans="2:8">
      <c r="B346" s="314" t="s">
        <v>1841</v>
      </c>
      <c r="C346" s="240" t="s">
        <v>1842</v>
      </c>
      <c r="D346" s="266"/>
      <c r="E346" s="315">
        <v>237.99</v>
      </c>
      <c r="F346" s="315">
        <v>55.77</v>
      </c>
      <c r="G346" s="315">
        <v>50.19</v>
      </c>
      <c r="H346" s="304"/>
    </row>
    <row r="347" spans="2:8">
      <c r="B347" s="314" t="s">
        <v>1844</v>
      </c>
      <c r="C347" s="240" t="s">
        <v>1845</v>
      </c>
      <c r="D347" s="266"/>
      <c r="E347" s="315">
        <v>66.99</v>
      </c>
      <c r="F347" s="315">
        <v>12.57</v>
      </c>
      <c r="G347" s="315">
        <v>11.32</v>
      </c>
      <c r="H347" s="304"/>
    </row>
    <row r="348" spans="2:8">
      <c r="B348" s="314" t="s">
        <v>1847</v>
      </c>
      <c r="C348" s="240" t="s">
        <v>1848</v>
      </c>
      <c r="D348" s="266"/>
      <c r="E348" s="315">
        <v>27.99</v>
      </c>
      <c r="F348" s="315">
        <v>12.57</v>
      </c>
      <c r="G348" s="315">
        <v>11.32</v>
      </c>
      <c r="H348" s="304"/>
    </row>
    <row r="349" spans="2:8">
      <c r="B349" s="314" t="s">
        <v>1850</v>
      </c>
      <c r="C349" s="240" t="s">
        <v>2330</v>
      </c>
      <c r="D349" s="266"/>
      <c r="E349" s="315">
        <v>116.99</v>
      </c>
      <c r="F349" s="315">
        <v>27.26</v>
      </c>
      <c r="G349" s="315">
        <v>24.53</v>
      </c>
      <c r="H349" s="304"/>
    </row>
    <row r="350" spans="2:8">
      <c r="B350" s="314" t="s">
        <v>1853</v>
      </c>
      <c r="C350" s="240" t="s">
        <v>2331</v>
      </c>
      <c r="D350" s="266"/>
      <c r="E350" s="315">
        <v>106.99</v>
      </c>
      <c r="F350" s="315">
        <v>25.04</v>
      </c>
      <c r="G350" s="315">
        <v>22.53</v>
      </c>
      <c r="H350" s="304"/>
    </row>
    <row r="351" spans="2:8">
      <c r="B351" s="314" t="s">
        <v>1856</v>
      </c>
      <c r="C351" s="240" t="s">
        <v>1857</v>
      </c>
      <c r="D351" s="266"/>
      <c r="E351" s="315">
        <v>45.99</v>
      </c>
      <c r="F351" s="315">
        <v>10.84</v>
      </c>
      <c r="G351" s="315">
        <v>9.75</v>
      </c>
      <c r="H351" s="304"/>
    </row>
    <row r="352" spans="2:8">
      <c r="B352" s="314" t="s">
        <v>1859</v>
      </c>
      <c r="C352" s="240" t="s">
        <v>2332</v>
      </c>
      <c r="D352" s="266"/>
      <c r="E352" s="315">
        <v>74.99</v>
      </c>
      <c r="F352" s="315">
        <v>17.33</v>
      </c>
      <c r="G352" s="315">
        <v>15.59</v>
      </c>
      <c r="H352" s="304"/>
    </row>
    <row r="353" spans="2:8">
      <c r="B353" s="314" t="s">
        <v>1862</v>
      </c>
      <c r="C353" s="240" t="s">
        <v>1863</v>
      </c>
      <c r="D353" s="266"/>
      <c r="E353" s="315">
        <v>53.99</v>
      </c>
      <c r="F353" s="315">
        <v>12.74</v>
      </c>
      <c r="G353" s="315">
        <v>11.46</v>
      </c>
      <c r="H353" s="304"/>
    </row>
    <row r="354" spans="2:8">
      <c r="B354" s="314" t="s">
        <v>1865</v>
      </c>
      <c r="C354" s="240" t="s">
        <v>1866</v>
      </c>
      <c r="D354" s="266"/>
      <c r="E354" s="315">
        <v>56.99</v>
      </c>
      <c r="F354" s="315">
        <v>13.26</v>
      </c>
      <c r="G354" s="315">
        <v>11.93</v>
      </c>
      <c r="H354" s="304"/>
    </row>
    <row r="355" spans="2:8">
      <c r="B355" s="314" t="s">
        <v>1868</v>
      </c>
      <c r="C355" s="240" t="s">
        <v>1869</v>
      </c>
      <c r="D355" s="266"/>
      <c r="E355" s="315">
        <v>89.99</v>
      </c>
      <c r="F355" s="315">
        <v>21.15</v>
      </c>
      <c r="G355" s="315">
        <v>19.04</v>
      </c>
      <c r="H355" s="304"/>
    </row>
    <row r="356" spans="2:8">
      <c r="B356" s="314" t="s">
        <v>1871</v>
      </c>
      <c r="C356" s="240" t="s">
        <v>1872</v>
      </c>
      <c r="D356" s="266"/>
      <c r="E356" s="315">
        <v>65.99</v>
      </c>
      <c r="F356" s="315">
        <v>15.43</v>
      </c>
      <c r="G356" s="315">
        <v>13.89</v>
      </c>
      <c r="H356" s="304"/>
    </row>
    <row r="357" spans="2:8">
      <c r="B357" s="314" t="s">
        <v>1874</v>
      </c>
      <c r="C357" s="240" t="s">
        <v>1875</v>
      </c>
      <c r="D357" s="266"/>
      <c r="E357" s="315">
        <v>178.99</v>
      </c>
      <c r="F357" s="315">
        <v>42.16</v>
      </c>
      <c r="G357" s="315">
        <v>37.95</v>
      </c>
      <c r="H357" s="304"/>
    </row>
    <row r="358" spans="2:8">
      <c r="B358" s="314" t="s">
        <v>1877</v>
      </c>
      <c r="C358" s="240" t="s">
        <v>1878</v>
      </c>
      <c r="D358" s="266"/>
      <c r="E358" s="315">
        <v>193.99</v>
      </c>
      <c r="F358" s="315">
        <v>45.31</v>
      </c>
      <c r="G358" s="315">
        <v>40.78</v>
      </c>
      <c r="H358" s="304"/>
    </row>
    <row r="359" spans="2:8">
      <c r="B359" s="314" t="s">
        <v>1880</v>
      </c>
      <c r="C359" s="240" t="s">
        <v>1881</v>
      </c>
      <c r="D359" s="266"/>
      <c r="E359" s="315">
        <v>96.99</v>
      </c>
      <c r="F359" s="315">
        <v>22.8</v>
      </c>
      <c r="G359" s="315">
        <v>20.52</v>
      </c>
      <c r="H359" s="304"/>
    </row>
    <row r="360" spans="2:8">
      <c r="B360" s="314" t="s">
        <v>1883</v>
      </c>
      <c r="C360" s="240" t="s">
        <v>1884</v>
      </c>
      <c r="D360" s="266"/>
      <c r="E360" s="315">
        <v>252.99</v>
      </c>
      <c r="F360" s="315">
        <v>59.24</v>
      </c>
      <c r="G360" s="315">
        <v>53.31</v>
      </c>
      <c r="H360" s="304"/>
    </row>
    <row r="361" spans="2:8">
      <c r="B361" s="314" t="s">
        <v>1886</v>
      </c>
      <c r="C361" s="240" t="s">
        <v>1887</v>
      </c>
      <c r="D361" s="266"/>
      <c r="E361" s="315">
        <v>116.99</v>
      </c>
      <c r="F361" s="315">
        <v>27.15</v>
      </c>
      <c r="G361" s="315">
        <v>24.43</v>
      </c>
      <c r="H361" s="304"/>
    </row>
    <row r="362" spans="2:8">
      <c r="B362" s="314" t="s">
        <v>1889</v>
      </c>
      <c r="C362" s="240" t="s">
        <v>1890</v>
      </c>
      <c r="D362" s="266"/>
      <c r="E362" s="315">
        <v>94.99</v>
      </c>
      <c r="F362" s="315">
        <v>22.13</v>
      </c>
      <c r="G362" s="315">
        <v>19.92</v>
      </c>
      <c r="H362" s="304"/>
    </row>
    <row r="363" spans="2:8">
      <c r="B363" s="314" t="s">
        <v>1892</v>
      </c>
      <c r="C363" s="240" t="s">
        <v>1893</v>
      </c>
      <c r="D363" s="266"/>
      <c r="E363" s="315">
        <v>135.99</v>
      </c>
      <c r="F363" s="315">
        <v>32.09</v>
      </c>
      <c r="G363" s="315">
        <v>28.88</v>
      </c>
      <c r="H363" s="304"/>
    </row>
    <row r="364" spans="2:8">
      <c r="B364" s="314" t="s">
        <v>1895</v>
      </c>
      <c r="C364" s="240" t="s">
        <v>1896</v>
      </c>
      <c r="D364" s="266"/>
      <c r="E364" s="315">
        <v>45.99</v>
      </c>
      <c r="F364" s="315">
        <v>10.85</v>
      </c>
      <c r="G364" s="315">
        <v>9.76</v>
      </c>
      <c r="H364" s="304"/>
    </row>
    <row r="365" spans="2:8">
      <c r="B365" s="314" t="s">
        <v>1898</v>
      </c>
      <c r="C365" s="240" t="s">
        <v>1899</v>
      </c>
      <c r="D365" s="266"/>
      <c r="E365" s="315">
        <v>94.99</v>
      </c>
      <c r="F365" s="315">
        <v>22.13</v>
      </c>
      <c r="G365" s="315">
        <v>19.92</v>
      </c>
      <c r="H365" s="304"/>
    </row>
    <row r="366" spans="2:8">
      <c r="B366" s="314" t="s">
        <v>1901</v>
      </c>
      <c r="C366" s="240" t="s">
        <v>1902</v>
      </c>
      <c r="D366" s="266"/>
      <c r="E366" s="315">
        <v>126.99</v>
      </c>
      <c r="F366" s="315">
        <v>29.76</v>
      </c>
      <c r="G366" s="315">
        <v>26.78</v>
      </c>
      <c r="H366" s="304"/>
    </row>
    <row r="367" spans="2:8">
      <c r="B367" s="314" t="s">
        <v>1904</v>
      </c>
      <c r="C367" s="240" t="s">
        <v>1905</v>
      </c>
      <c r="D367" s="266"/>
      <c r="E367" s="315">
        <v>118.99</v>
      </c>
      <c r="F367" s="315">
        <v>27.78</v>
      </c>
      <c r="G367" s="315">
        <v>25</v>
      </c>
      <c r="H367" s="304"/>
    </row>
    <row r="368" spans="2:8">
      <c r="B368" s="314" t="s">
        <v>1907</v>
      </c>
      <c r="C368" s="240" t="s">
        <v>1908</v>
      </c>
      <c r="D368" s="266"/>
      <c r="E368" s="315">
        <v>126.99</v>
      </c>
      <c r="F368" s="315">
        <v>29.76</v>
      </c>
      <c r="G368" s="315">
        <v>26.78</v>
      </c>
      <c r="H368" s="304"/>
    </row>
    <row r="369" spans="1:12">
      <c r="A369" s="235"/>
      <c r="B369" s="235"/>
      <c r="C369" s="235"/>
      <c r="D369" s="235"/>
      <c r="E369" s="235"/>
      <c r="F369" s="235"/>
      <c r="G369" s="235"/>
      <c r="H369" s="235"/>
      <c r="I369" s="235"/>
      <c r="J369" s="235"/>
      <c r="K369" s="235"/>
      <c r="L369" s="235"/>
    </row>
    <row r="370" spans="1:12">
      <c r="A370" s="235"/>
      <c r="B370" s="235"/>
      <c r="C370" s="235"/>
      <c r="D370" s="235"/>
      <c r="E370" s="235"/>
      <c r="F370" s="235"/>
      <c r="G370" s="235"/>
      <c r="H370" s="235"/>
      <c r="I370" s="235"/>
      <c r="J370" s="235"/>
      <c r="K370" s="235"/>
      <c r="L370" s="235"/>
    </row>
  </sheetData>
  <mergeCells count="6">
    <mergeCell ref="B4:C4"/>
    <mergeCell ref="B14:C14"/>
    <mergeCell ref="B67:C67"/>
    <mergeCell ref="B90:C90"/>
    <mergeCell ref="B126:C126"/>
    <mergeCell ref="B145:C145"/>
  </mergeCells>
  <pageMargins left="0.7" right="0.7" top="0.75" bottom="0.75" header="0.3" footer="0.3"/>
  <pageSetup orientation="portrait"/>
  <headerFooter scaleWithDoc="1" alignWithMargins="0" differentFirst="0" differentOddEven="0"/>
  <ignoredErrors>
    <ignoredError sqref="B144:B145 B137 B204:B205 B197" twoDigitTextYear="1"/>
  </ignoredErrors>
  <drawing r:id="rId2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J367"/>
  <sheetViews>
    <sheetView topLeftCell="A1" view="normal" workbookViewId="0">
      <pane ySplit="2" topLeftCell="A3" activePane="bottomLeft" state="frozen"/>
      <selection pane="bottomLeft" activeCell="V95" sqref="V95"/>
    </sheetView>
  </sheetViews>
  <sheetFormatPr defaultColWidth="9.140625" defaultRowHeight="15"/>
  <cols>
    <col min="1" max="1" width="2.7109375" style="2" customWidth="1"/>
    <col min="2" max="2" width="11.7109375" style="2" customWidth="1"/>
    <col min="3" max="3" width="59.27734375" style="2" customWidth="1"/>
    <col min="4" max="4" width="14.84765625" style="2" hidden="1" customWidth="1"/>
    <col min="5" max="5" width="6" style="2" hidden="1" customWidth="1"/>
    <col min="6" max="6" width="8.41796875" style="2" hidden="1" customWidth="1"/>
    <col min="7" max="7" width="9.5703125" style="2" bestFit="1" customWidth="1"/>
    <col min="8" max="8" width="8.27734375" style="2" bestFit="1" customWidth="1"/>
    <col min="9" max="9" width="9.41796875" style="2" bestFit="1" customWidth="1"/>
    <col min="10" max="10" width="9.140625" style="2" bestFit="1" customWidth="1"/>
    <col min="11" max="11" width="12.7109375" style="2" customWidth="1"/>
    <col min="12" max="12" width="7.140625" style="6" customWidth="1"/>
    <col min="13" max="13" width="12.41796875" style="172" bestFit="1" customWidth="1"/>
    <col min="14" max="14" width="17.27734375" style="8" hidden="1" customWidth="1"/>
    <col min="15" max="15" width="12.5703125" style="8" hidden="1" customWidth="1"/>
    <col min="16" max="16" width="12.7109375" style="8" hidden="1" customWidth="1"/>
    <col min="17" max="17" width="2" style="2" customWidth="1"/>
    <col min="18" max="18" width="9" style="4" bestFit="1" customWidth="1"/>
    <col min="19" max="19" width="12.27734375" style="4" customWidth="1"/>
    <col min="20" max="20" width="10.84765625" style="4" bestFit="1" customWidth="1"/>
    <col min="21" max="21" width="9.27734375" style="4" bestFit="1" customWidth="1"/>
    <col min="22" max="22" width="8" style="4" bestFit="1" customWidth="1"/>
    <col min="23" max="23" width="9.41796875" style="4" customWidth="1"/>
    <col min="24" max="24" width="11.140625" style="4" customWidth="1"/>
    <col min="25" max="25" width="10.5703125" style="8" customWidth="1"/>
    <col min="26" max="26" width="10.7109375" style="8" customWidth="1"/>
    <col min="27" max="27" width="1.84765625" style="2" customWidth="1"/>
    <col min="28" max="28" width="10.41796875" style="8" customWidth="1"/>
    <col min="29" max="30" width="12" style="8" customWidth="1"/>
    <col min="31" max="31" width="11.41796875" style="8" customWidth="1"/>
    <col min="32" max="32" width="9.84765625" style="8" customWidth="1"/>
    <col min="33" max="33" width="10.7109375" style="8" customWidth="1"/>
    <col min="34" max="34" width="8.5703125" style="8" customWidth="1"/>
    <col min="35" max="35" width="10" style="8" customWidth="1"/>
    <col min="36" max="36" width="7.27734375" style="8" customWidth="1"/>
    <col min="37" max="16384" width="9.140625" style="2" customWidth="1"/>
  </cols>
  <sheetData>
    <row r="1" spans="2:33" ht="60" customHeight="1">
      <c r="B1" s="1" t="s">
        <v>0</v>
      </c>
      <c r="G1" s="3"/>
      <c r="H1" s="4"/>
      <c r="I1" s="5"/>
      <c r="J1" s="5"/>
      <c r="K1" s="5"/>
      <c r="M1" s="7" t="s">
        <v>1</v>
      </c>
      <c r="T1" s="31"/>
      <c r="W1" s="311" t="s">
        <v>858</v>
      </c>
      <c r="X1" s="311"/>
      <c r="Y1" s="5" t="s">
        <v>871</v>
      </c>
      <c r="AC1" s="204" t="s">
        <v>880</v>
      </c>
      <c r="AD1" s="204" t="s">
        <v>880</v>
      </c>
      <c r="AG1" s="192" t="s">
        <v>876</v>
      </c>
    </row>
    <row r="2" spans="2:36" s="15" customFormat="1" ht="42" customHeight="1">
      <c r="B2" s="9" t="s">
        <v>2</v>
      </c>
      <c r="C2" s="10" t="s">
        <v>3</v>
      </c>
      <c r="D2" s="9" t="s">
        <v>4</v>
      </c>
      <c r="E2" s="9" t="s">
        <v>5</v>
      </c>
      <c r="F2" s="9" t="s">
        <v>6</v>
      </c>
      <c r="G2" s="11" t="s">
        <v>7</v>
      </c>
      <c r="H2" s="11" t="s">
        <v>8</v>
      </c>
      <c r="I2" s="12" t="s">
        <v>9</v>
      </c>
      <c r="J2" s="13" t="s">
        <v>10</v>
      </c>
      <c r="K2" s="11" t="s">
        <v>881</v>
      </c>
      <c r="L2" s="14"/>
      <c r="M2" s="195" t="s">
        <v>879</v>
      </c>
      <c r="N2" s="5" t="s">
        <v>11</v>
      </c>
      <c r="O2" s="5" t="s">
        <v>854</v>
      </c>
      <c r="P2" s="5" t="s">
        <v>12</v>
      </c>
      <c r="R2" s="186" t="s">
        <v>855</v>
      </c>
      <c r="S2" s="186" t="s">
        <v>883</v>
      </c>
      <c r="T2" s="186" t="s">
        <v>860</v>
      </c>
      <c r="U2" s="186" t="s">
        <v>14</v>
      </c>
      <c r="V2" s="186" t="s">
        <v>862</v>
      </c>
      <c r="W2" s="187" t="s">
        <v>856</v>
      </c>
      <c r="X2" s="187" t="s">
        <v>857</v>
      </c>
      <c r="Y2" s="187" t="s">
        <v>859</v>
      </c>
      <c r="Z2" s="186" t="s">
        <v>861</v>
      </c>
      <c r="AA2" s="188"/>
      <c r="AB2" s="203" t="s">
        <v>878</v>
      </c>
      <c r="AC2" s="203" t="s">
        <v>884</v>
      </c>
      <c r="AD2" s="203" t="s">
        <v>885</v>
      </c>
      <c r="AE2" s="189" t="s">
        <v>870</v>
      </c>
      <c r="AF2" s="189" t="s">
        <v>877</v>
      </c>
      <c r="AG2" s="189" t="s">
        <v>863</v>
      </c>
      <c r="AH2" s="189" t="s">
        <v>874</v>
      </c>
      <c r="AI2" s="189" t="s">
        <v>875</v>
      </c>
      <c r="AJ2" s="189" t="s">
        <v>859</v>
      </c>
    </row>
    <row r="3" spans="2:36" s="15" customFormat="1" ht="24" customHeight="1">
      <c r="B3" s="16"/>
      <c r="C3" s="17" t="s">
        <v>13</v>
      </c>
      <c r="D3" s="18"/>
      <c r="E3" s="18"/>
      <c r="F3" s="18"/>
      <c r="G3" s="18"/>
      <c r="H3" s="18"/>
      <c r="I3" s="19"/>
      <c r="J3" s="19"/>
      <c r="K3" s="211"/>
      <c r="L3" s="1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</row>
    <row r="4" spans="2:36" s="15" customFormat="1" customHeight="1">
      <c r="B4" s="20" t="s">
        <v>15</v>
      </c>
      <c r="C4" s="309"/>
      <c r="D4" s="21"/>
      <c r="E4" s="21"/>
      <c r="F4" s="21"/>
      <c r="G4" s="22"/>
      <c r="H4" s="22"/>
      <c r="I4" s="23"/>
      <c r="J4" s="23"/>
      <c r="K4" s="212"/>
      <c r="L4" s="24"/>
      <c r="R4" s="4"/>
      <c r="S4" s="4"/>
      <c r="T4" s="4"/>
      <c r="U4" s="4"/>
      <c r="V4" s="4"/>
      <c r="W4" s="4"/>
      <c r="X4" s="4"/>
      <c r="Y4" s="4"/>
      <c r="Z4" s="4"/>
      <c r="AB4" s="4"/>
      <c r="AC4" s="4"/>
      <c r="AD4" s="4"/>
      <c r="AE4" s="4"/>
      <c r="AF4" s="4"/>
      <c r="AG4" s="4"/>
      <c r="AH4" s="4"/>
      <c r="AI4" s="4"/>
      <c r="AJ4" s="4"/>
    </row>
    <row r="5" spans="2:36" s="15" customFormat="1">
      <c r="B5" s="25" t="s">
        <v>16</v>
      </c>
      <c r="C5" s="26" t="s">
        <v>864</v>
      </c>
      <c r="D5" s="25" t="s">
        <v>17</v>
      </c>
      <c r="E5" s="25">
        <v>1</v>
      </c>
      <c r="F5" s="27">
        <v>23</v>
      </c>
      <c r="G5" s="28">
        <f ca="1">H5*0.9</f>
        <v>63.018</v>
      </c>
      <c r="H5" s="28">
        <v>70.02</v>
      </c>
      <c r="I5" s="28">
        <v>99.99</v>
      </c>
      <c r="J5" s="41">
        <v>89.99</v>
      </c>
      <c r="K5" s="213"/>
      <c r="L5" s="29">
        <f ca="1">(J5/I5)-1</f>
        <v>-0.10001000100010005</v>
      </c>
      <c r="M5" s="199">
        <v>89.99</v>
      </c>
      <c r="N5" s="31">
        <f ca="1">M5*0.78</f>
        <v>70.1922</v>
      </c>
      <c r="O5" s="31">
        <f ca="1">N5/0.7</f>
        <v>100.27457142857143</v>
      </c>
      <c r="P5" s="31">
        <f ca="1">N5*0.9</f>
        <v>63.17298</v>
      </c>
      <c r="Q5" s="32"/>
      <c r="R5" s="174">
        <v>23.88</v>
      </c>
      <c r="S5" s="174"/>
      <c r="T5" s="176">
        <f ca="1">(W5-R5)/W5</f>
        <v>0.6751948422899581</v>
      </c>
      <c r="U5" s="175">
        <f ca="1">I5</f>
        <v>99.99</v>
      </c>
      <c r="V5" s="175">
        <v>104.99</v>
      </c>
      <c r="W5" s="175">
        <f ca="1">H5*1.05</f>
        <v>73.521</v>
      </c>
      <c r="X5" s="175">
        <f ca="1">W5*0.9</f>
        <v>66.16890000000001</v>
      </c>
      <c r="Y5" s="180">
        <f ca="1">(U5-W5)/U5</f>
        <v>0.26471647164716466</v>
      </c>
      <c r="Z5" s="184">
        <f ca="1">(V5-W5)/V5</f>
        <v>0.2997333079340889</v>
      </c>
      <c r="AB5" s="4"/>
      <c r="AC5" s="4"/>
      <c r="AD5" s="4"/>
      <c r="AE5" s="4"/>
      <c r="AF5" s="4"/>
      <c r="AG5" s="4"/>
      <c r="AH5" s="4"/>
      <c r="AI5" s="4"/>
      <c r="AJ5" s="4"/>
    </row>
    <row r="6" spans="2:36" s="15" customFormat="1">
      <c r="B6" s="33" t="s">
        <v>18</v>
      </c>
      <c r="C6" s="34" t="s">
        <v>869</v>
      </c>
      <c r="D6" s="33" t="s">
        <v>19</v>
      </c>
      <c r="E6" s="33">
        <v>1</v>
      </c>
      <c r="F6" s="35">
        <v>45</v>
      </c>
      <c r="G6" s="28">
        <f ca="1">H6*0.9</f>
        <v>55.485</v>
      </c>
      <c r="H6" s="36">
        <v>61.65</v>
      </c>
      <c r="I6" s="36">
        <v>89.99</v>
      </c>
      <c r="J6" s="41">
        <v>79.99</v>
      </c>
      <c r="K6" s="213"/>
      <c r="L6" s="29">
        <f ca="1">(J6/I6)-1</f>
        <v>-0.11112345816201796</v>
      </c>
      <c r="M6" s="199">
        <v>79.99</v>
      </c>
      <c r="N6" s="31">
        <f ca="1">M6*0.78</f>
        <v>62.392199999999995</v>
      </c>
      <c r="O6" s="31">
        <f ca="1">N6/0.7</f>
        <v>89.13171428571428</v>
      </c>
      <c r="P6" s="31">
        <f ca="1">N6*0.9</f>
        <v>56.15298</v>
      </c>
      <c r="R6" s="174">
        <v>21.011</v>
      </c>
      <c r="S6" s="174"/>
      <c r="T6" s="176">
        <f ca="1">(W6-R6)/W6</f>
        <v>0.6754180666589427</v>
      </c>
      <c r="U6" s="175">
        <f ca="1">I6</f>
        <v>89.99</v>
      </c>
      <c r="V6" s="175">
        <v>92.99</v>
      </c>
      <c r="W6" s="175">
        <f ca="1">H6*1.05</f>
        <v>64.7325</v>
      </c>
      <c r="X6" s="175">
        <f ca="1">W6*0.9</f>
        <v>58.25925</v>
      </c>
      <c r="Y6" s="180">
        <f ca="1">(U6-W6)/U6</f>
        <v>0.2806700744527169</v>
      </c>
      <c r="Z6" s="184">
        <f ca="1">(V6-W6)/V6</f>
        <v>0.3038767609420367</v>
      </c>
      <c r="AB6" s="4"/>
      <c r="AC6" s="4"/>
      <c r="AD6" s="4"/>
      <c r="AE6" s="4"/>
      <c r="AF6" s="4"/>
      <c r="AG6" s="4"/>
      <c r="AH6" s="4"/>
      <c r="AI6" s="4"/>
      <c r="AJ6" s="4"/>
    </row>
    <row r="7" spans="2:36" s="15" customFormat="1">
      <c r="B7" s="33" t="s">
        <v>20</v>
      </c>
      <c r="C7" s="34" t="s">
        <v>868</v>
      </c>
      <c r="D7" s="33" t="s">
        <v>21</v>
      </c>
      <c r="E7" s="33">
        <v>1</v>
      </c>
      <c r="F7" s="35">
        <v>40</v>
      </c>
      <c r="G7" s="28">
        <f ca="1">H7*0.9</f>
        <v>48.906000000000006</v>
      </c>
      <c r="H7" s="36">
        <v>54.34</v>
      </c>
      <c r="I7" s="36">
        <v>79.99</v>
      </c>
      <c r="J7" s="41">
        <v>69.99</v>
      </c>
      <c r="K7" s="213"/>
      <c r="L7" s="29">
        <f ca="1">(J7/I7)-1</f>
        <v>-0.1250156269533692</v>
      </c>
      <c r="M7" s="199">
        <v>69.99</v>
      </c>
      <c r="N7" s="31">
        <f ca="1">M7*0.78</f>
        <v>54.5922</v>
      </c>
      <c r="O7" s="31">
        <f ca="1">N7/0.7</f>
        <v>77.98885714285714</v>
      </c>
      <c r="P7" s="31">
        <f ca="1">N7*0.9</f>
        <v>49.132979999999996</v>
      </c>
      <c r="R7" s="174">
        <v>21.011</v>
      </c>
      <c r="S7" s="174"/>
      <c r="T7" s="176">
        <f ca="1">(W7-R7)/W7</f>
        <v>0.6317542107015791</v>
      </c>
      <c r="U7" s="175">
        <f ca="1">I7</f>
        <v>79.99</v>
      </c>
      <c r="V7" s="175">
        <v>81.99</v>
      </c>
      <c r="W7" s="175">
        <f ca="1">H7*1.05</f>
        <v>57.05700000000001</v>
      </c>
      <c r="X7" s="175">
        <f ca="1">W7*0.9</f>
        <v>51.35130000000001</v>
      </c>
      <c r="Y7" s="180">
        <f ca="1">(U7-W7)/U7</f>
        <v>0.2866983372921614</v>
      </c>
      <c r="Z7" s="184">
        <f ca="1">(V7-W7)/V7</f>
        <v>0.3040980607391144</v>
      </c>
      <c r="AB7" s="4"/>
      <c r="AC7" s="4"/>
      <c r="AD7" s="4"/>
      <c r="AE7" s="4"/>
      <c r="AF7" s="4"/>
      <c r="AG7" s="4"/>
      <c r="AH7" s="4"/>
      <c r="AI7" s="4"/>
      <c r="AJ7" s="4"/>
    </row>
    <row r="8" spans="2:36" s="15" customFormat="1">
      <c r="B8" s="33" t="s">
        <v>22</v>
      </c>
      <c r="C8" s="40" t="s">
        <v>867</v>
      </c>
      <c r="D8" s="37" t="s">
        <v>23</v>
      </c>
      <c r="E8" s="33">
        <v>1</v>
      </c>
      <c r="F8" s="33">
        <v>32</v>
      </c>
      <c r="G8" s="28">
        <f ca="1">H8*0.9</f>
        <v>39.501000000000005</v>
      </c>
      <c r="H8" s="36">
        <v>43.89</v>
      </c>
      <c r="I8" s="36">
        <v>79.99</v>
      </c>
      <c r="J8" s="41">
        <v>64.99</v>
      </c>
      <c r="K8" s="213"/>
      <c r="L8" s="29">
        <f ca="1">(J8/I8)-1</f>
        <v>-0.18752344043005376</v>
      </c>
      <c r="M8" s="198">
        <v>59.99</v>
      </c>
      <c r="N8" s="31">
        <f ca="1">M8*0.78</f>
        <v>46.7922</v>
      </c>
      <c r="O8" s="31">
        <f ca="1">N8/0.7</f>
        <v>66.846</v>
      </c>
      <c r="P8" s="31">
        <f ca="1">N8*0.9</f>
        <v>42.11298</v>
      </c>
      <c r="R8" s="174">
        <v>17.125</v>
      </c>
      <c r="S8" s="174"/>
      <c r="T8" s="176">
        <f ca="1">(W8-R8)/W8</f>
        <v>0.628400004339854</v>
      </c>
      <c r="U8" s="175">
        <f ca="1">I8</f>
        <v>79.99</v>
      </c>
      <c r="V8" s="175">
        <v>65.99</v>
      </c>
      <c r="W8" s="175">
        <f ca="1">H8*1.05</f>
        <v>46.084500000000006</v>
      </c>
      <c r="X8" s="175">
        <f ca="1">W8*0.9</f>
        <v>41.47605000000001</v>
      </c>
      <c r="Y8" s="191">
        <f ca="1">(U8-W8)/U8</f>
        <v>0.4238717339667457</v>
      </c>
      <c r="Z8" s="184">
        <f ca="1">(V8-W8)/V8</f>
        <v>0.30164418851341096</v>
      </c>
      <c r="AB8" s="4"/>
      <c r="AC8" s="4"/>
      <c r="AD8" s="4"/>
      <c r="AE8" s="4"/>
      <c r="AF8" s="4"/>
      <c r="AG8" s="4"/>
      <c r="AH8" s="4"/>
      <c r="AI8" s="4"/>
      <c r="AJ8" s="4"/>
    </row>
    <row r="9" spans="2:36" s="15" customFormat="1">
      <c r="B9" s="33" t="s">
        <v>24</v>
      </c>
      <c r="C9" s="34" t="s">
        <v>866</v>
      </c>
      <c r="D9" s="33" t="s">
        <v>25</v>
      </c>
      <c r="E9" s="33">
        <v>1</v>
      </c>
      <c r="F9" s="33">
        <v>45</v>
      </c>
      <c r="G9" s="28">
        <f ca="1">H9*0.9</f>
        <v>30.770999999999997</v>
      </c>
      <c r="H9" s="36">
        <v>34.19</v>
      </c>
      <c r="I9" s="36">
        <v>59.99</v>
      </c>
      <c r="J9" s="41">
        <v>48.99</v>
      </c>
      <c r="K9" s="213"/>
      <c r="L9" s="29">
        <f ca="1">(J9/I9)-1</f>
        <v>-0.18336389398233033</v>
      </c>
      <c r="M9" s="198">
        <v>49.99</v>
      </c>
      <c r="N9" s="31">
        <f ca="1">M9*0.78</f>
        <v>38.992200000000004</v>
      </c>
      <c r="O9" s="31">
        <f ca="1">N9/0.7</f>
        <v>55.703142857142865</v>
      </c>
      <c r="P9" s="31">
        <f ca="1">N9*0.9</f>
        <v>35.092980000000004</v>
      </c>
      <c r="R9" s="174">
        <v>16.007</v>
      </c>
      <c r="S9" s="174"/>
      <c r="T9" s="176">
        <f ca="1">(W9-R9)/W9</f>
        <v>0.55411635259544</v>
      </c>
      <c r="U9" s="175">
        <f ca="1">I9</f>
        <v>59.99</v>
      </c>
      <c r="V9" s="175">
        <v>50.99</v>
      </c>
      <c r="W9" s="175">
        <f ca="1">H9*1.05</f>
        <v>35.899499999999996</v>
      </c>
      <c r="X9" s="175">
        <f ca="1">W9*0.9</f>
        <v>32.309549999999994</v>
      </c>
      <c r="Y9" s="176">
        <f ca="1">(U9-W9)/U9</f>
        <v>0.40157526254375736</v>
      </c>
      <c r="Z9" s="184">
        <f ca="1">(V9-W9)/V9</f>
        <v>0.2959501863110415</v>
      </c>
      <c r="AB9" s="4"/>
      <c r="AC9" s="4"/>
      <c r="AD9" s="4"/>
      <c r="AE9" s="4"/>
      <c r="AF9" s="4"/>
      <c r="AG9" s="4"/>
      <c r="AH9" s="4"/>
      <c r="AI9" s="4"/>
      <c r="AJ9" s="4"/>
    </row>
    <row r="10" spans="2:36" s="15" customFormat="1">
      <c r="B10" s="33" t="s">
        <v>26</v>
      </c>
      <c r="C10" s="34" t="s">
        <v>865</v>
      </c>
      <c r="D10" s="33" t="s">
        <v>27</v>
      </c>
      <c r="E10" s="33">
        <v>1</v>
      </c>
      <c r="F10" s="33">
        <v>40</v>
      </c>
      <c r="G10" s="28">
        <f ca="1">H10*0.9</f>
        <v>29.016000000000002</v>
      </c>
      <c r="H10" s="36">
        <v>32.24</v>
      </c>
      <c r="I10" s="36">
        <v>49.99</v>
      </c>
      <c r="J10" s="41">
        <v>43.99</v>
      </c>
      <c r="K10" s="213"/>
      <c r="L10" s="29">
        <f ca="1">(J10/I10)-1</f>
        <v>-0.1200240048009602</v>
      </c>
      <c r="M10" s="198">
        <v>39.99</v>
      </c>
      <c r="N10" s="31">
        <f ca="1">M10*0.78</f>
        <v>31.192200000000003</v>
      </c>
      <c r="O10" s="31">
        <f ca="1">N10/0.7</f>
        <v>44.56028571428572</v>
      </c>
      <c r="P10" s="31">
        <f ca="1">N10*0.9</f>
        <v>28.072980000000005</v>
      </c>
      <c r="R10" s="174">
        <v>15.697</v>
      </c>
      <c r="S10" s="174"/>
      <c r="T10" s="176">
        <f ca="1">(W10-R10)/W10</f>
        <v>0.5363050927567058</v>
      </c>
      <c r="U10" s="175">
        <f ca="1">I10</f>
        <v>49.99</v>
      </c>
      <c r="V10" s="175">
        <v>48.99</v>
      </c>
      <c r="W10" s="175">
        <f ca="1">H10*1.05</f>
        <v>33.852000000000004</v>
      </c>
      <c r="X10" s="175">
        <f ca="1">W10*0.9</f>
        <v>30.466800000000003</v>
      </c>
      <c r="Y10" s="176">
        <f ca="1">(U10-W10)/U10</f>
        <v>0.32282456491298256</v>
      </c>
      <c r="Z10" s="184">
        <f ca="1">(V10-W10)/V10</f>
        <v>0.30900183710961415</v>
      </c>
      <c r="AB10" s="4"/>
      <c r="AC10" s="4"/>
      <c r="AD10" s="4"/>
      <c r="AE10" s="4"/>
      <c r="AF10" s="4"/>
      <c r="AG10" s="4"/>
      <c r="AH10" s="4"/>
      <c r="AI10" s="4"/>
      <c r="AJ10" s="4"/>
    </row>
    <row r="11" spans="2:36" s="15" customFormat="1">
      <c r="B11" s="39">
        <v>26030</v>
      </c>
      <c r="C11" s="40" t="s">
        <v>28</v>
      </c>
      <c r="D11" s="39" t="s">
        <v>29</v>
      </c>
      <c r="E11" s="39">
        <v>1</v>
      </c>
      <c r="F11" s="39">
        <v>40</v>
      </c>
      <c r="G11" s="28">
        <f ca="1">H11*0.9</f>
        <v>28.35</v>
      </c>
      <c r="H11" s="194">
        <v>31.5</v>
      </c>
      <c r="I11" s="41">
        <v>49.99</v>
      </c>
      <c r="J11" s="41">
        <v>49.99</v>
      </c>
      <c r="K11" s="213"/>
      <c r="L11" s="14"/>
      <c r="M11" s="197"/>
      <c r="N11" s="31">
        <f ca="1">M11*0.78</f>
        <v>0</v>
      </c>
      <c r="O11" s="31">
        <f ca="1">N11/0.7</f>
        <v>0</v>
      </c>
      <c r="P11" s="31">
        <f ca="1">N11*0.9</f>
        <v>0</v>
      </c>
      <c r="R11" s="174">
        <v>12.095</v>
      </c>
      <c r="S11" s="174"/>
      <c r="T11" s="176">
        <f ca="1">(W11-R11)/W11</f>
        <v>0.634315948601663</v>
      </c>
      <c r="U11" s="175">
        <f ca="1">I11</f>
        <v>49.99</v>
      </c>
      <c r="V11" s="175"/>
      <c r="W11" s="175">
        <f ca="1">H11*1.05</f>
        <v>33.075</v>
      </c>
      <c r="X11" s="175">
        <f ca="1">W11*0.9</f>
        <v>29.767500000000002</v>
      </c>
      <c r="Y11" s="180">
        <f ca="1">(U11-W11)/U11</f>
        <v>0.3383676735347069</v>
      </c>
      <c r="Z11" s="184" t="e">
        <f ca="1">(V11-W11)/V11</f>
        <v>#DIV/0!</v>
      </c>
      <c r="AB11" s="4"/>
      <c r="AC11" s="4"/>
      <c r="AD11" s="4"/>
      <c r="AE11" s="4"/>
      <c r="AF11" s="4"/>
      <c r="AG11" s="4"/>
      <c r="AH11" s="4"/>
      <c r="AI11" s="4"/>
      <c r="AJ11" s="4"/>
    </row>
    <row r="12" spans="2:36" s="15" customFormat="1">
      <c r="B12" s="39">
        <v>26020</v>
      </c>
      <c r="C12" s="40" t="s">
        <v>30</v>
      </c>
      <c r="D12" s="39" t="s">
        <v>31</v>
      </c>
      <c r="E12" s="39">
        <v>1</v>
      </c>
      <c r="F12" s="43">
        <v>50</v>
      </c>
      <c r="G12" s="28">
        <f ca="1">H12*0.9</f>
        <v>26.064</v>
      </c>
      <c r="H12" s="194">
        <v>28.96</v>
      </c>
      <c r="I12" s="41">
        <v>45.99</v>
      </c>
      <c r="J12" s="41">
        <v>45.99</v>
      </c>
      <c r="K12" s="213"/>
      <c r="L12" s="14"/>
      <c r="M12" s="197"/>
      <c r="N12" s="31">
        <f ca="1">M12*0.78</f>
        <v>0</v>
      </c>
      <c r="O12" s="31">
        <f ca="1">N12/0.7</f>
        <v>0</v>
      </c>
      <c r="P12" s="31">
        <f ca="1">N12*0.9</f>
        <v>0</v>
      </c>
      <c r="R12" s="174">
        <v>9.094</v>
      </c>
      <c r="S12" s="174"/>
      <c r="T12" s="176">
        <f ca="1">(W12-R12)/W12</f>
        <v>0.7009339647461195</v>
      </c>
      <c r="U12" s="175">
        <f ca="1">I12</f>
        <v>45.99</v>
      </c>
      <c r="V12" s="175"/>
      <c r="W12" s="175">
        <f ca="1">H12*1.05</f>
        <v>30.408</v>
      </c>
      <c r="X12" s="175">
        <f ca="1">W12*0.9</f>
        <v>27.3672</v>
      </c>
      <c r="Y12" s="180">
        <f ca="1">(U12-W12)/U12</f>
        <v>0.33881278538812787</v>
      </c>
      <c r="Z12" s="184" t="e">
        <f ca="1">(V12-W12)/V12</f>
        <v>#DIV/0!</v>
      </c>
      <c r="AB12" s="4"/>
      <c r="AC12" s="4"/>
      <c r="AD12" s="4"/>
      <c r="AE12" s="4"/>
      <c r="AF12" s="4"/>
      <c r="AG12" s="4"/>
      <c r="AH12" s="4"/>
      <c r="AI12" s="4"/>
      <c r="AJ12" s="4"/>
    </row>
    <row r="13" spans="2:36" s="15" customFormat="1">
      <c r="B13" s="39">
        <v>26010</v>
      </c>
      <c r="C13" s="40" t="s">
        <v>32</v>
      </c>
      <c r="D13" s="39" t="s">
        <v>33</v>
      </c>
      <c r="E13" s="39">
        <v>1</v>
      </c>
      <c r="F13" s="43">
        <v>90</v>
      </c>
      <c r="G13" s="28">
        <f ca="1">H13*0.9</f>
        <v>23.805</v>
      </c>
      <c r="H13" s="194">
        <v>26.45</v>
      </c>
      <c r="I13" s="41">
        <v>41.99</v>
      </c>
      <c r="J13" s="41">
        <v>41.99</v>
      </c>
      <c r="K13" s="213"/>
      <c r="L13" s="14"/>
      <c r="M13" s="197"/>
      <c r="N13" s="31">
        <f ca="1">M13*0.78</f>
        <v>0</v>
      </c>
      <c r="O13" s="31">
        <f ca="1">N13/0.7</f>
        <v>0</v>
      </c>
      <c r="P13" s="31">
        <f ca="1">N13*0.9</f>
        <v>0</v>
      </c>
      <c r="R13" s="174">
        <v>7.5028</v>
      </c>
      <c r="S13" s="174"/>
      <c r="T13" s="176">
        <f ca="1">(W13-R13)/W13</f>
        <v>0.7298478710955081</v>
      </c>
      <c r="U13" s="175">
        <f ca="1">I13</f>
        <v>41.99</v>
      </c>
      <c r="V13" s="175"/>
      <c r="W13" s="175">
        <f ca="1">H13*1.05</f>
        <v>27.7725</v>
      </c>
      <c r="X13" s="175">
        <f ca="1">W13*0.9</f>
        <v>24.995250000000002</v>
      </c>
      <c r="Y13" s="180">
        <f ca="1">(U13-W13)/U13</f>
        <v>0.33859252202905454</v>
      </c>
      <c r="Z13" s="184" t="e">
        <f ca="1">(V13-W13)/V13</f>
        <v>#DIV/0!</v>
      </c>
      <c r="AB13" s="4"/>
      <c r="AC13" s="4"/>
      <c r="AD13" s="4"/>
      <c r="AE13" s="4"/>
      <c r="AF13" s="4"/>
      <c r="AG13" s="4"/>
      <c r="AH13" s="4"/>
      <c r="AI13" s="4"/>
      <c r="AJ13" s="4"/>
    </row>
    <row r="14" spans="2:36" s="15" customFormat="1">
      <c r="B14" s="39">
        <v>27030</v>
      </c>
      <c r="C14" s="40" t="s">
        <v>34</v>
      </c>
      <c r="D14" s="39" t="s">
        <v>35</v>
      </c>
      <c r="E14" s="39">
        <v>1</v>
      </c>
      <c r="F14" s="39">
        <v>40</v>
      </c>
      <c r="G14" s="28">
        <f ca="1">H14*0.9</f>
        <v>22.797</v>
      </c>
      <c r="H14" s="194">
        <v>25.33</v>
      </c>
      <c r="I14" s="41">
        <v>38.99</v>
      </c>
      <c r="J14" s="41">
        <v>38.99</v>
      </c>
      <c r="K14" s="213"/>
      <c r="L14" s="14"/>
      <c r="M14" s="197"/>
      <c r="N14" s="31">
        <f ca="1">M14*0.78</f>
        <v>0</v>
      </c>
      <c r="O14" s="31">
        <f ca="1">N14/0.7</f>
        <v>0</v>
      </c>
      <c r="P14" s="31">
        <f ca="1">N14*0.9</f>
        <v>0</v>
      </c>
      <c r="R14" s="174">
        <v>10.84</v>
      </c>
      <c r="S14" s="174"/>
      <c r="T14" s="176">
        <f ca="1">(W14-R14)/W14</f>
        <v>0.5924275750568684</v>
      </c>
      <c r="U14" s="175">
        <f ca="1">I14</f>
        <v>38.99</v>
      </c>
      <c r="V14" s="175"/>
      <c r="W14" s="175">
        <f ca="1">H14*1.05</f>
        <v>26.5965</v>
      </c>
      <c r="X14" s="175">
        <f ca="1">W14*0.9</f>
        <v>23.93685</v>
      </c>
      <c r="Y14" s="180">
        <f ca="1">(U14-W14)/U14</f>
        <v>0.31786355475763023</v>
      </c>
      <c r="Z14" s="184" t="e">
        <f ca="1">(V14-W14)/V14</f>
        <v>#DIV/0!</v>
      </c>
      <c r="AB14" s="4"/>
      <c r="AC14" s="4"/>
      <c r="AD14" s="4"/>
      <c r="AE14" s="4"/>
      <c r="AF14" s="4"/>
      <c r="AG14" s="4"/>
      <c r="AH14" s="4"/>
      <c r="AI14" s="4"/>
      <c r="AJ14" s="4"/>
    </row>
    <row r="15" spans="2:36" s="15" customFormat="1">
      <c r="B15" s="39">
        <v>27020</v>
      </c>
      <c r="C15" s="40" t="s">
        <v>36</v>
      </c>
      <c r="D15" s="39" t="s">
        <v>37</v>
      </c>
      <c r="E15" s="39">
        <v>1</v>
      </c>
      <c r="F15" s="43">
        <v>50</v>
      </c>
      <c r="G15" s="28">
        <f ca="1">H15*0.9</f>
        <v>19.89</v>
      </c>
      <c r="H15" s="194">
        <v>22.1</v>
      </c>
      <c r="I15" s="41">
        <v>33.99</v>
      </c>
      <c r="J15" s="41">
        <v>33.99</v>
      </c>
      <c r="K15" s="213"/>
      <c r="L15" s="14"/>
      <c r="M15" s="197"/>
      <c r="N15" s="31">
        <f ca="1">M15*0.78</f>
        <v>0</v>
      </c>
      <c r="O15" s="31">
        <f ca="1">N15/0.7</f>
        <v>0</v>
      </c>
      <c r="P15" s="31">
        <f ca="1">N15*0.9</f>
        <v>0</v>
      </c>
      <c r="R15" s="174">
        <v>7.855</v>
      </c>
      <c r="S15" s="174"/>
      <c r="T15" s="176">
        <f ca="1">(W15-R15)/W15</f>
        <v>0.6614953673777203</v>
      </c>
      <c r="U15" s="175">
        <f ca="1">I15</f>
        <v>33.99</v>
      </c>
      <c r="V15" s="175"/>
      <c r="W15" s="175">
        <f ca="1">H15*1.05</f>
        <v>23.205000000000002</v>
      </c>
      <c r="X15" s="175">
        <f ca="1">W15*0.9</f>
        <v>20.884500000000003</v>
      </c>
      <c r="Y15" s="180">
        <f ca="1">(U15-W15)/U15</f>
        <v>0.3172992056487202</v>
      </c>
      <c r="Z15" s="184" t="e">
        <f ca="1">(V15-W15)/V15</f>
        <v>#DIV/0!</v>
      </c>
      <c r="AB15" s="4"/>
      <c r="AC15" s="4"/>
      <c r="AD15" s="4"/>
      <c r="AE15" s="4"/>
      <c r="AF15" s="4"/>
      <c r="AG15" s="4"/>
      <c r="AH15" s="4"/>
      <c r="AI15" s="4"/>
      <c r="AJ15" s="4"/>
    </row>
    <row r="16" spans="2:36" s="15" customFormat="1">
      <c r="B16" s="39">
        <v>27010</v>
      </c>
      <c r="C16" s="40" t="s">
        <v>38</v>
      </c>
      <c r="D16" s="39" t="s">
        <v>39</v>
      </c>
      <c r="E16" s="39">
        <v>1</v>
      </c>
      <c r="F16" s="43">
        <v>90</v>
      </c>
      <c r="G16" s="28">
        <f ca="1">H16*0.9</f>
        <v>16.965000000000003</v>
      </c>
      <c r="H16" s="194">
        <v>18.85</v>
      </c>
      <c r="I16" s="41">
        <v>28.99</v>
      </c>
      <c r="J16" s="41">
        <v>28.99</v>
      </c>
      <c r="K16" s="213"/>
      <c r="L16" s="14"/>
      <c r="M16" s="197"/>
      <c r="N16" s="31">
        <f ca="1">M16*0.78</f>
        <v>0</v>
      </c>
      <c r="O16" s="31">
        <f ca="1">N16/0.7</f>
        <v>0</v>
      </c>
      <c r="P16" s="31">
        <f ca="1">N16*0.9</f>
        <v>0</v>
      </c>
      <c r="R16" s="174">
        <v>6.238</v>
      </c>
      <c r="S16" s="174"/>
      <c r="T16" s="176">
        <f ca="1">(W16-R16)/W16</f>
        <v>0.6848301124163194</v>
      </c>
      <c r="U16" s="175">
        <f ca="1">I16</f>
        <v>28.99</v>
      </c>
      <c r="V16" s="175"/>
      <c r="W16" s="175">
        <f ca="1">H16*1.05</f>
        <v>19.792500000000004</v>
      </c>
      <c r="X16" s="175">
        <f ca="1">W16*0.9</f>
        <v>17.813250000000004</v>
      </c>
      <c r="Y16" s="180">
        <f ca="1">(U16-W16)/U16</f>
        <v>0.3172645739910312</v>
      </c>
      <c r="Z16" s="184" t="e">
        <f ca="1">(V16-W16)/V16</f>
        <v>#DIV/0!</v>
      </c>
      <c r="AB16" s="4"/>
      <c r="AC16" s="4"/>
      <c r="AD16" s="4"/>
      <c r="AE16" s="4"/>
      <c r="AF16" s="4"/>
      <c r="AG16" s="4"/>
      <c r="AH16" s="4"/>
      <c r="AI16" s="4"/>
      <c r="AJ16" s="4"/>
    </row>
    <row r="17" spans="2:36" s="15" customFormat="1">
      <c r="B17" s="39">
        <v>20030</v>
      </c>
      <c r="C17" s="40" t="s">
        <v>40</v>
      </c>
      <c r="D17" s="39" t="s">
        <v>41</v>
      </c>
      <c r="E17" s="39">
        <v>1</v>
      </c>
      <c r="F17" s="39">
        <v>40</v>
      </c>
      <c r="G17" s="28">
        <f ca="1">H17*0.9</f>
        <v>21.051000000000002</v>
      </c>
      <c r="H17" s="194">
        <v>23.39</v>
      </c>
      <c r="I17" s="41">
        <v>35.99</v>
      </c>
      <c r="J17" s="41">
        <v>35.99</v>
      </c>
      <c r="K17" s="213"/>
      <c r="L17" s="14"/>
      <c r="M17" s="197"/>
      <c r="N17" s="31">
        <f ca="1">M17*0.78</f>
        <v>0</v>
      </c>
      <c r="O17" s="31">
        <f ca="1">N17/0.7</f>
        <v>0</v>
      </c>
      <c r="P17" s="31">
        <f ca="1">N17*0.9</f>
        <v>0</v>
      </c>
      <c r="R17" s="174">
        <v>10.696</v>
      </c>
      <c r="S17" s="174"/>
      <c r="T17" s="176">
        <f ca="1">(W17-R17)/W17</f>
        <v>0.5644862476841955</v>
      </c>
      <c r="U17" s="175">
        <f ca="1">I17</f>
        <v>35.99</v>
      </c>
      <c r="V17" s="175"/>
      <c r="W17" s="175">
        <f ca="1">H17*1.05</f>
        <v>24.5595</v>
      </c>
      <c r="X17" s="175">
        <f ca="1">W17*0.9</f>
        <v>22.103550000000002</v>
      </c>
      <c r="Y17" s="180">
        <f ca="1">(U17-W17)/U17</f>
        <v>0.31760211169769387</v>
      </c>
      <c r="Z17" s="184" t="e">
        <f ca="1">(V17-W17)/V17</f>
        <v>#DIV/0!</v>
      </c>
      <c r="AB17" s="4"/>
      <c r="AC17" s="4"/>
      <c r="AD17" s="4"/>
      <c r="AE17" s="4"/>
      <c r="AF17" s="4"/>
      <c r="AG17" s="4"/>
      <c r="AH17" s="4"/>
      <c r="AI17" s="4"/>
      <c r="AJ17" s="4"/>
    </row>
    <row r="18" spans="2:36" s="15" customFormat="1">
      <c r="B18" s="39">
        <v>20020</v>
      </c>
      <c r="C18" s="40" t="s">
        <v>42</v>
      </c>
      <c r="D18" s="39" t="s">
        <v>43</v>
      </c>
      <c r="E18" s="39">
        <v>1</v>
      </c>
      <c r="F18" s="43">
        <v>50</v>
      </c>
      <c r="G18" s="28">
        <f ca="1">H18*0.9</f>
        <v>16.38</v>
      </c>
      <c r="H18" s="194">
        <v>18.2</v>
      </c>
      <c r="I18" s="41">
        <v>25.99</v>
      </c>
      <c r="J18" s="41">
        <v>25.99</v>
      </c>
      <c r="K18" s="213"/>
      <c r="L18" s="14"/>
      <c r="M18" s="197"/>
      <c r="N18" s="31">
        <f ca="1">M18*0.78</f>
        <v>0</v>
      </c>
      <c r="O18" s="31">
        <f ca="1">N18/0.7</f>
        <v>0</v>
      </c>
      <c r="P18" s="31">
        <f ca="1">N18*0.9</f>
        <v>0</v>
      </c>
      <c r="R18" s="174">
        <v>7.888</v>
      </c>
      <c r="S18" s="174"/>
      <c r="T18" s="176">
        <f ca="1">(W18-R18)/W18</f>
        <v>0.5872318158032444</v>
      </c>
      <c r="U18" s="175">
        <f ca="1">I18</f>
        <v>25.99</v>
      </c>
      <c r="V18" s="175"/>
      <c r="W18" s="175">
        <f ca="1">H18*1.05</f>
        <v>19.11</v>
      </c>
      <c r="X18" s="175">
        <f ca="1">W18*0.9</f>
        <v>17.199</v>
      </c>
      <c r="Y18" s="180">
        <f ca="1">(U18-W18)/U18</f>
        <v>0.26471719892266254</v>
      </c>
      <c r="Z18" s="184" t="e">
        <f ca="1">(V18-W18)/V18</f>
        <v>#DIV/0!</v>
      </c>
      <c r="AB18" s="4"/>
      <c r="AC18" s="4"/>
      <c r="AD18" s="4"/>
      <c r="AE18" s="4"/>
      <c r="AF18" s="4"/>
      <c r="AG18" s="4"/>
      <c r="AH18" s="4"/>
      <c r="AI18" s="4"/>
      <c r="AJ18" s="4"/>
    </row>
    <row r="19" spans="2:36" s="15" customFormat="1">
      <c r="B19" s="39">
        <v>20010</v>
      </c>
      <c r="C19" s="40" t="s">
        <v>44</v>
      </c>
      <c r="D19" s="39" t="s">
        <v>45</v>
      </c>
      <c r="E19" s="39">
        <v>1</v>
      </c>
      <c r="F19" s="43">
        <v>90</v>
      </c>
      <c r="G19" s="28">
        <f ca="1">H19*0.9</f>
        <v>14.067</v>
      </c>
      <c r="H19" s="194">
        <v>15.63</v>
      </c>
      <c r="I19" s="41">
        <v>22.99</v>
      </c>
      <c r="J19" s="41">
        <v>22.99</v>
      </c>
      <c r="K19" s="213"/>
      <c r="L19" s="14"/>
      <c r="M19" s="197"/>
      <c r="N19" s="31">
        <f ca="1">M19*0.78</f>
        <v>0</v>
      </c>
      <c r="O19" s="31">
        <f ca="1">N19/0.7</f>
        <v>0</v>
      </c>
      <c r="P19" s="31">
        <f ca="1">N19*0.9</f>
        <v>0</v>
      </c>
      <c r="R19" s="174">
        <v>5.698</v>
      </c>
      <c r="S19" s="174"/>
      <c r="T19" s="176">
        <f ca="1">(W19-R19)/W19</f>
        <v>0.6528044359138409</v>
      </c>
      <c r="U19" s="175">
        <f ca="1">I19</f>
        <v>22.99</v>
      </c>
      <c r="V19" s="175"/>
      <c r="W19" s="175">
        <f ca="1">H19*1.05</f>
        <v>16.4115</v>
      </c>
      <c r="X19" s="175">
        <f ca="1">W19*0.9</f>
        <v>14.77035</v>
      </c>
      <c r="Y19" s="180">
        <f ca="1">(U19-W19)/U19</f>
        <v>0.2861461505002174</v>
      </c>
      <c r="Z19" s="184" t="e">
        <f ca="1">(V19-W19)/V19</f>
        <v>#DIV/0!</v>
      </c>
      <c r="AB19" s="4"/>
      <c r="AC19" s="4"/>
      <c r="AD19" s="4"/>
      <c r="AE19" s="4"/>
      <c r="AF19" s="4"/>
      <c r="AG19" s="4"/>
      <c r="AH19" s="4"/>
      <c r="AI19" s="4"/>
      <c r="AJ19" s="4"/>
    </row>
    <row r="20" spans="2:36" s="15" customFormat="1">
      <c r="B20" s="39">
        <v>20003</v>
      </c>
      <c r="C20" s="40" t="s">
        <v>46</v>
      </c>
      <c r="D20" s="39" t="s">
        <v>47</v>
      </c>
      <c r="E20" s="39">
        <v>1</v>
      </c>
      <c r="F20" s="39">
        <v>40</v>
      </c>
      <c r="G20" s="28">
        <f ca="1">H20*0.9</f>
        <v>18.117</v>
      </c>
      <c r="H20" s="194">
        <v>20.13</v>
      </c>
      <c r="I20" s="41">
        <v>30.99</v>
      </c>
      <c r="J20" s="41">
        <v>30.99</v>
      </c>
      <c r="K20" s="213"/>
      <c r="L20" s="14"/>
      <c r="M20" s="197"/>
      <c r="N20" s="31">
        <f ca="1">M20*0.78</f>
        <v>0</v>
      </c>
      <c r="O20" s="31">
        <f ca="1">N20/0.7</f>
        <v>0</v>
      </c>
      <c r="P20" s="31">
        <f ca="1">N20*0.9</f>
        <v>0</v>
      </c>
      <c r="R20" s="174">
        <v>8.98</v>
      </c>
      <c r="S20" s="174"/>
      <c r="T20" s="176">
        <f ca="1">(W20-R20)/W20</f>
        <v>0.5751425259621981</v>
      </c>
      <c r="U20" s="175">
        <f ca="1">I20</f>
        <v>30.99</v>
      </c>
      <c r="V20" s="175"/>
      <c r="W20" s="175">
        <f ca="1">H20*1.05</f>
        <v>21.1365</v>
      </c>
      <c r="X20" s="175">
        <f ca="1">W20*0.9</f>
        <v>19.022850000000002</v>
      </c>
      <c r="Y20" s="180">
        <f ca="1">(U20-W20)/U20</f>
        <v>0.31795740561471436</v>
      </c>
      <c r="Z20" s="184" t="e">
        <f ca="1">(V20-W20)/V20</f>
        <v>#DIV/0!</v>
      </c>
      <c r="AB20" s="4"/>
      <c r="AC20" s="4"/>
      <c r="AD20" s="4"/>
      <c r="AE20" s="4"/>
      <c r="AF20" s="4"/>
      <c r="AG20" s="4"/>
      <c r="AH20" s="4"/>
      <c r="AI20" s="4"/>
      <c r="AJ20" s="4"/>
    </row>
    <row r="21" spans="2:36" s="15" customFormat="1">
      <c r="B21" s="33">
        <v>20002</v>
      </c>
      <c r="C21" s="34" t="s">
        <v>48</v>
      </c>
      <c r="D21" s="33" t="s">
        <v>49</v>
      </c>
      <c r="E21" s="33">
        <v>1</v>
      </c>
      <c r="F21" s="37">
        <v>50</v>
      </c>
      <c r="G21" s="28">
        <f ca="1">H21*0.9</f>
        <v>17.217</v>
      </c>
      <c r="H21" s="194">
        <v>19.13</v>
      </c>
      <c r="I21" s="36">
        <v>28.99</v>
      </c>
      <c r="J21" s="36">
        <v>28.99</v>
      </c>
      <c r="K21" s="118"/>
      <c r="L21" s="14"/>
      <c r="M21" s="197"/>
      <c r="N21" s="31">
        <f ca="1">M21*0.78</f>
        <v>0</v>
      </c>
      <c r="O21" s="31">
        <f ca="1">N21/0.7</f>
        <v>0</v>
      </c>
      <c r="P21" s="31">
        <f ca="1">N21*0.9</f>
        <v>0</v>
      </c>
      <c r="R21" s="174">
        <v>6.385</v>
      </c>
      <c r="S21" s="174"/>
      <c r="T21" s="176">
        <f ca="1">(W21-R21)/W21</f>
        <v>0.6821248101959028</v>
      </c>
      <c r="U21" s="175">
        <f ca="1">I21</f>
        <v>28.99</v>
      </c>
      <c r="V21" s="175"/>
      <c r="W21" s="175">
        <f ca="1">H21*1.05</f>
        <v>20.0865</v>
      </c>
      <c r="X21" s="175">
        <f ca="1">W21*0.9</f>
        <v>18.07785</v>
      </c>
      <c r="Y21" s="176">
        <f ca="1">(U21-W21)/U21</f>
        <v>0.3071231459123835</v>
      </c>
      <c r="Z21" s="184" t="e">
        <f ca="1">(V21-W21)/V21</f>
        <v>#DIV/0!</v>
      </c>
      <c r="AB21" s="4"/>
      <c r="AC21" s="4"/>
      <c r="AD21" s="4"/>
      <c r="AE21" s="4"/>
      <c r="AF21" s="4"/>
      <c r="AG21" s="4"/>
      <c r="AH21" s="4"/>
      <c r="AI21" s="4"/>
      <c r="AJ21" s="4"/>
    </row>
    <row r="22" spans="2:36" s="15" customFormat="1">
      <c r="B22" s="33">
        <v>20000</v>
      </c>
      <c r="C22" s="34" t="s">
        <v>50</v>
      </c>
      <c r="D22" s="33" t="s">
        <v>51</v>
      </c>
      <c r="E22" s="33">
        <v>1</v>
      </c>
      <c r="F22" s="37">
        <v>90</v>
      </c>
      <c r="G22" s="28">
        <f ca="1">H22*0.9</f>
        <v>13.518</v>
      </c>
      <c r="H22" s="194">
        <v>15.02</v>
      </c>
      <c r="I22" s="36">
        <v>25.99</v>
      </c>
      <c r="J22" s="36">
        <v>25.99</v>
      </c>
      <c r="K22" s="118"/>
      <c r="L22" s="14"/>
      <c r="M22" s="197"/>
      <c r="N22" s="31">
        <f ca="1">M22*0.78</f>
        <v>0</v>
      </c>
      <c r="O22" s="31">
        <f ca="1">N22/0.7</f>
        <v>0</v>
      </c>
      <c r="P22" s="31">
        <f ca="1">N22*0.9</f>
        <v>0</v>
      </c>
      <c r="R22" s="174">
        <v>3.918</v>
      </c>
      <c r="S22" s="174"/>
      <c r="T22" s="176">
        <f ca="1">(W22-R22)/W22</f>
        <v>0.7515693361232643</v>
      </c>
      <c r="U22" s="175">
        <f ca="1">I22</f>
        <v>25.99</v>
      </c>
      <c r="V22" s="175">
        <v>23.99</v>
      </c>
      <c r="W22" s="175">
        <f ca="1">H22*1.05</f>
        <v>15.771</v>
      </c>
      <c r="X22" s="175">
        <f ca="1">W22*0.9</f>
        <v>14.193900000000001</v>
      </c>
      <c r="Y22" s="176">
        <f ca="1">(U22-W22)/U22</f>
        <v>0.3931896883416698</v>
      </c>
      <c r="Z22" s="184">
        <f ca="1">(V22-W22)/V22</f>
        <v>0.3426010837849103</v>
      </c>
      <c r="AB22" s="4"/>
      <c r="AC22" s="4"/>
      <c r="AD22" s="4"/>
      <c r="AE22" s="4"/>
      <c r="AF22" s="4"/>
      <c r="AG22" s="4"/>
      <c r="AH22" s="4"/>
      <c r="AI22" s="4"/>
      <c r="AJ22" s="4"/>
    </row>
    <row r="23" spans="2:36" s="15" customFormat="1">
      <c r="B23" s="33">
        <v>10000</v>
      </c>
      <c r="C23" s="34" t="s">
        <v>52</v>
      </c>
      <c r="D23" s="33" t="s">
        <v>53</v>
      </c>
      <c r="E23" s="33">
        <v>1</v>
      </c>
      <c r="F23" s="37">
        <v>96</v>
      </c>
      <c r="G23" s="28">
        <f ca="1">H23*0.9</f>
        <v>12.870000000000001</v>
      </c>
      <c r="H23" s="36">
        <v>14.3</v>
      </c>
      <c r="I23" s="36">
        <v>22.99</v>
      </c>
      <c r="J23" s="36">
        <v>22.33</v>
      </c>
      <c r="K23" s="118"/>
      <c r="L23" s="14"/>
      <c r="M23" s="197"/>
      <c r="N23" s="31">
        <f ca="1">M23*0.78</f>
        <v>0</v>
      </c>
      <c r="O23" s="31">
        <f ca="1">N23/0.7</f>
        <v>0</v>
      </c>
      <c r="P23" s="31">
        <f ca="1">N23*0.9</f>
        <v>0</v>
      </c>
      <c r="R23" s="174">
        <v>4.651</v>
      </c>
      <c r="S23" s="174"/>
      <c r="T23" s="176">
        <f ca="1">(W23-R23)/W23</f>
        <v>0.6902430902430903</v>
      </c>
      <c r="U23" s="175">
        <f ca="1">I23</f>
        <v>22.99</v>
      </c>
      <c r="V23" s="175">
        <v>21.99</v>
      </c>
      <c r="W23" s="175">
        <f ca="1">H23*1.05</f>
        <v>15.015</v>
      </c>
      <c r="X23" s="175">
        <f ca="1">W23*0.9</f>
        <v>13.5135</v>
      </c>
      <c r="Y23" s="176">
        <f ca="1">(U23-W23)/U23</f>
        <v>0.34688995215310997</v>
      </c>
      <c r="Z23" s="184">
        <f ca="1">(V23-W23)/V23</f>
        <v>0.31718963165075026</v>
      </c>
      <c r="AB23" s="4"/>
      <c r="AC23" s="4"/>
      <c r="AD23" s="4"/>
      <c r="AE23" s="4"/>
      <c r="AF23" s="4"/>
      <c r="AG23" s="4"/>
      <c r="AH23" s="4"/>
      <c r="AI23" s="4"/>
      <c r="AJ23" s="4"/>
    </row>
    <row r="24" spans="2:36" s="15" customFormat="1">
      <c r="B24" s="33">
        <v>16200</v>
      </c>
      <c r="C24" s="34" t="s">
        <v>54</v>
      </c>
      <c r="D24" s="33" t="s">
        <v>55</v>
      </c>
      <c r="E24" s="33">
        <v>1</v>
      </c>
      <c r="F24" s="37">
        <v>50</v>
      </c>
      <c r="G24" s="28">
        <f ca="1">H24*0.9</f>
        <v>14.733</v>
      </c>
      <c r="H24" s="36">
        <v>16.37</v>
      </c>
      <c r="I24" s="36">
        <v>25.99</v>
      </c>
      <c r="J24" s="36">
        <v>25.99</v>
      </c>
      <c r="K24" s="118"/>
      <c r="L24" s="14"/>
      <c r="M24" s="197"/>
      <c r="N24" s="31">
        <f ca="1">M24*0.78</f>
        <v>0</v>
      </c>
      <c r="O24" s="31">
        <f ca="1">N24/0.7</f>
        <v>0</v>
      </c>
      <c r="P24" s="31">
        <f ca="1">N24*0.9</f>
        <v>0</v>
      </c>
      <c r="R24" s="174">
        <v>4.929</v>
      </c>
      <c r="S24" s="174"/>
      <c r="T24" s="176">
        <f ca="1">(W24-R24)/W24</f>
        <v>0.7132385024871281</v>
      </c>
      <c r="U24" s="175">
        <f ca="1">I24</f>
        <v>25.99</v>
      </c>
      <c r="V24" s="175"/>
      <c r="W24" s="175">
        <f ca="1">H24*1.05</f>
        <v>17.1885</v>
      </c>
      <c r="X24" s="175">
        <f ca="1">W24*0.9</f>
        <v>15.469650000000001</v>
      </c>
      <c r="Y24" s="176">
        <f ca="1">(U24-W24)/U24</f>
        <v>0.3386494805694497</v>
      </c>
      <c r="Z24" s="184" t="e">
        <f ca="1">(V24-W24)/V24</f>
        <v>#DIV/0!</v>
      </c>
      <c r="AB24" s="4"/>
      <c r="AC24" s="4"/>
      <c r="AD24" s="4"/>
      <c r="AE24" s="4"/>
      <c r="AF24" s="4"/>
      <c r="AG24" s="4"/>
      <c r="AH24" s="4"/>
      <c r="AI24" s="4"/>
      <c r="AJ24" s="4"/>
    </row>
    <row r="25" spans="2:36" s="15" customFormat="1">
      <c r="B25" s="33">
        <v>16100</v>
      </c>
      <c r="C25" s="34" t="s">
        <v>56</v>
      </c>
      <c r="D25" s="33" t="s">
        <v>57</v>
      </c>
      <c r="E25" s="33">
        <v>1</v>
      </c>
      <c r="F25" s="37">
        <v>90</v>
      </c>
      <c r="G25" s="28">
        <f ca="1">H25*0.9</f>
        <v>11.178</v>
      </c>
      <c r="H25" s="36">
        <v>12.42</v>
      </c>
      <c r="I25" s="36">
        <v>19.99</v>
      </c>
      <c r="J25" s="36">
        <v>19.99</v>
      </c>
      <c r="K25" s="118"/>
      <c r="L25" s="14"/>
      <c r="M25" s="197"/>
      <c r="N25" s="31">
        <f ca="1">M25*0.78</f>
        <v>0</v>
      </c>
      <c r="O25" s="31">
        <f ca="1">N25/0.7</f>
        <v>0</v>
      </c>
      <c r="P25" s="31">
        <f ca="1">N25*0.9</f>
        <v>0</v>
      </c>
      <c r="R25" s="174">
        <v>3.929</v>
      </c>
      <c r="S25" s="174"/>
      <c r="T25" s="176">
        <f ca="1">(W25-R25)/W25</f>
        <v>0.6987194233571045</v>
      </c>
      <c r="U25" s="175">
        <f ca="1">I25</f>
        <v>19.99</v>
      </c>
      <c r="V25" s="175"/>
      <c r="W25" s="175">
        <f ca="1">H25*1.05</f>
        <v>13.041</v>
      </c>
      <c r="X25" s="175">
        <f ca="1">W25*0.9</f>
        <v>11.7369</v>
      </c>
      <c r="Y25" s="176">
        <f ca="1">(U25-W25)/U25</f>
        <v>0.34762381190595293</v>
      </c>
      <c r="Z25" s="184" t="e">
        <f ca="1">(V25-W25)/V25</f>
        <v>#DIV/0!</v>
      </c>
      <c r="AB25" s="4"/>
      <c r="AC25" s="4"/>
      <c r="AD25" s="4"/>
      <c r="AE25" s="4"/>
      <c r="AF25" s="4"/>
      <c r="AG25" s="4"/>
      <c r="AH25" s="4"/>
      <c r="AI25" s="4"/>
      <c r="AJ25" s="4"/>
    </row>
    <row r="26" spans="2:36" s="15" customFormat="1">
      <c r="B26" s="33">
        <v>24029</v>
      </c>
      <c r="C26" s="34" t="s">
        <v>58</v>
      </c>
      <c r="D26" s="37" t="s">
        <v>59</v>
      </c>
      <c r="E26" s="37">
        <v>1</v>
      </c>
      <c r="F26" s="37">
        <v>50</v>
      </c>
      <c r="G26" s="28">
        <f ca="1">H26*0.9</f>
        <v>28.340999999999998</v>
      </c>
      <c r="H26" s="36">
        <v>31.49</v>
      </c>
      <c r="I26" s="36">
        <v>69.99</v>
      </c>
      <c r="J26" s="36">
        <v>69.99</v>
      </c>
      <c r="K26" s="118"/>
      <c r="L26" s="14"/>
      <c r="M26" s="197"/>
      <c r="N26" s="31">
        <f ca="1">M26*0.78</f>
        <v>0</v>
      </c>
      <c r="O26" s="31">
        <f ca="1">N26/0.7</f>
        <v>0</v>
      </c>
      <c r="P26" s="31">
        <f ca="1">N26*0.9</f>
        <v>0</v>
      </c>
      <c r="R26" s="174">
        <v>10.904</v>
      </c>
      <c r="S26" s="174"/>
      <c r="T26" s="176">
        <f ca="1">(W26-R26)/W26</f>
        <v>0.6702203269367448</v>
      </c>
      <c r="U26" s="175">
        <f ca="1">I26</f>
        <v>69.99</v>
      </c>
      <c r="V26" s="175">
        <v>59.99</v>
      </c>
      <c r="W26" s="175">
        <f ca="1">H26*1.05</f>
        <v>33.0645</v>
      </c>
      <c r="X26" s="175">
        <f ca="1">W26*0.9</f>
        <v>29.758050000000004</v>
      </c>
      <c r="Y26" s="191">
        <f ca="1">(U26-W26)/U26</f>
        <v>0.5275825117873981</v>
      </c>
      <c r="Z26" s="184">
        <f ca="1">(V26-W26)/V26</f>
        <v>0.4488331388564761</v>
      </c>
      <c r="AB26" s="4"/>
      <c r="AC26" s="4"/>
      <c r="AD26" s="4"/>
      <c r="AE26" s="4"/>
      <c r="AF26" s="4"/>
      <c r="AG26" s="4"/>
      <c r="AH26" s="4"/>
      <c r="AI26" s="4"/>
      <c r="AJ26" s="4"/>
    </row>
    <row r="27" spans="2:36" s="15" customFormat="1">
      <c r="B27" s="33" t="s">
        <v>60</v>
      </c>
      <c r="C27" s="34" t="s">
        <v>61</v>
      </c>
      <c r="D27" s="37" t="s">
        <v>62</v>
      </c>
      <c r="E27" s="37">
        <v>1</v>
      </c>
      <c r="F27" s="37">
        <v>90</v>
      </c>
      <c r="G27" s="28">
        <f ca="1">H27*0.9</f>
        <v>26.451</v>
      </c>
      <c r="H27" s="36">
        <v>29.39</v>
      </c>
      <c r="I27" s="36">
        <v>64.99</v>
      </c>
      <c r="J27" s="36">
        <v>64.99</v>
      </c>
      <c r="K27" s="118"/>
      <c r="L27" s="14"/>
      <c r="M27" s="197"/>
      <c r="N27" s="31">
        <f ca="1">M27*0.78</f>
        <v>0</v>
      </c>
      <c r="O27" s="31">
        <f ca="1">N27/0.7</f>
        <v>0</v>
      </c>
      <c r="P27" s="31">
        <f ca="1">N27*0.9</f>
        <v>0</v>
      </c>
      <c r="R27" s="174">
        <v>10.036</v>
      </c>
      <c r="S27" s="174"/>
      <c r="T27" s="176">
        <f ca="1">(W27-R27)/W27</f>
        <v>0.6747841021403458</v>
      </c>
      <c r="U27" s="175">
        <f ca="1">I27</f>
        <v>64.99</v>
      </c>
      <c r="V27" s="175">
        <v>49.99</v>
      </c>
      <c r="W27" s="175">
        <f ca="1">H27*1.05</f>
        <v>30.8595</v>
      </c>
      <c r="X27" s="175">
        <f ca="1">W27*0.9</f>
        <v>27.77355</v>
      </c>
      <c r="Y27" s="191">
        <f ca="1">(U27-W27)/U27</f>
        <v>0.5251654100630866</v>
      </c>
      <c r="Z27" s="184">
        <f ca="1">(V27-W27)/V27</f>
        <v>0.3826865373074615</v>
      </c>
      <c r="AB27" s="4"/>
      <c r="AC27" s="4"/>
      <c r="AD27" s="4"/>
      <c r="AE27" s="4"/>
      <c r="AF27" s="4"/>
      <c r="AG27" s="4"/>
      <c r="AH27" s="4"/>
      <c r="AI27" s="4"/>
      <c r="AJ27" s="4"/>
    </row>
    <row r="28" spans="2:36" s="15" customFormat="1">
      <c r="B28" s="33" t="s">
        <v>63</v>
      </c>
      <c r="C28" s="34" t="s">
        <v>64</v>
      </c>
      <c r="D28" s="37" t="s">
        <v>65</v>
      </c>
      <c r="E28" s="33">
        <v>1</v>
      </c>
      <c r="F28" s="33">
        <v>40</v>
      </c>
      <c r="G28" s="28">
        <f ca="1">H28*0.9</f>
        <v>31.797</v>
      </c>
      <c r="H28" s="36">
        <v>35.33</v>
      </c>
      <c r="I28" s="36">
        <v>51.99</v>
      </c>
      <c r="J28" s="41">
        <v>48.99</v>
      </c>
      <c r="K28" s="213"/>
      <c r="L28" s="29">
        <f ca="1">(J28/I28)-1</f>
        <v>-0.05770340450086553</v>
      </c>
      <c r="M28" s="198">
        <v>45.99</v>
      </c>
      <c r="N28" s="31">
        <f ca="1">M28*0.78</f>
        <v>35.8722</v>
      </c>
      <c r="O28" s="31">
        <f ca="1">N28/0.7</f>
        <v>51.246</v>
      </c>
      <c r="P28" s="31">
        <f ca="1">N28*0.9</f>
        <v>32.28498</v>
      </c>
      <c r="R28" s="174">
        <v>15.419</v>
      </c>
      <c r="S28" s="174"/>
      <c r="T28" s="176">
        <f ca="1">(W28-R28)/W28</f>
        <v>0.5843543191406197</v>
      </c>
      <c r="U28" s="175">
        <f ca="1">I28</f>
        <v>51.99</v>
      </c>
      <c r="V28" s="175"/>
      <c r="W28" s="175">
        <f ca="1">H28*1.05</f>
        <v>37.0965</v>
      </c>
      <c r="X28" s="175">
        <f ca="1">W28*0.9</f>
        <v>33.38685</v>
      </c>
      <c r="Y28" s="180">
        <f ca="1">(U28-W28)/U28</f>
        <v>0.2864685516445471</v>
      </c>
      <c r="Z28" s="184" t="e">
        <f ca="1">(V28-W28)/V28</f>
        <v>#DIV/0!</v>
      </c>
      <c r="AB28" s="4"/>
      <c r="AC28" s="4"/>
      <c r="AD28" s="4"/>
      <c r="AE28" s="4"/>
      <c r="AF28" s="4"/>
      <c r="AG28" s="4"/>
      <c r="AH28" s="4"/>
      <c r="AI28" s="4"/>
      <c r="AJ28" s="4"/>
    </row>
    <row r="29" spans="2:36" s="15" customFormat="1">
      <c r="B29" s="33" t="s">
        <v>66</v>
      </c>
      <c r="C29" s="34" t="s">
        <v>67</v>
      </c>
      <c r="D29" s="33" t="s">
        <v>68</v>
      </c>
      <c r="E29" s="33">
        <v>1</v>
      </c>
      <c r="F29" s="33">
        <v>50</v>
      </c>
      <c r="G29" s="28">
        <f ca="1">H29*0.9</f>
        <v>28.152</v>
      </c>
      <c r="H29" s="36">
        <v>31.28</v>
      </c>
      <c r="I29" s="36">
        <v>45.99</v>
      </c>
      <c r="J29" s="41">
        <v>44.99</v>
      </c>
      <c r="K29" s="213"/>
      <c r="L29" s="29">
        <f ca="1">(J29/I29)-1</f>
        <v>-0.021743857360295715</v>
      </c>
      <c r="M29" s="198">
        <v>40.99</v>
      </c>
      <c r="N29" s="31">
        <f ca="1">M29*0.78</f>
        <v>31.972200000000004</v>
      </c>
      <c r="O29" s="31">
        <f ca="1">N29/0.7</f>
        <v>45.67457142857144</v>
      </c>
      <c r="P29" s="31">
        <f ca="1">N29*0.9</f>
        <v>28.774980000000006</v>
      </c>
      <c r="R29" s="174">
        <v>13.866</v>
      </c>
      <c r="S29" s="174"/>
      <c r="T29" s="176">
        <f ca="1">(W29-R29)/W29</f>
        <v>0.5778224333211546</v>
      </c>
      <c r="U29" s="175">
        <f ca="1">I29</f>
        <v>45.99</v>
      </c>
      <c r="V29" s="175"/>
      <c r="W29" s="175">
        <f ca="1">H29*1.05</f>
        <v>32.844</v>
      </c>
      <c r="X29" s="175">
        <f ca="1">W29*0.9</f>
        <v>29.559600000000003</v>
      </c>
      <c r="Y29" s="180">
        <f ca="1">(U29-W29)/U29</f>
        <v>0.2858447488584475</v>
      </c>
      <c r="Z29" s="184" t="e">
        <f ca="1">(V29-W29)/V29</f>
        <v>#DIV/0!</v>
      </c>
      <c r="AB29" s="4"/>
      <c r="AC29" s="4"/>
      <c r="AD29" s="4"/>
      <c r="AE29" s="4"/>
      <c r="AF29" s="4"/>
      <c r="AG29" s="4"/>
      <c r="AH29" s="4"/>
      <c r="AI29" s="4"/>
      <c r="AJ29" s="4"/>
    </row>
    <row r="30" spans="2:36" s="15" customFormat="1">
      <c r="B30" s="33" t="s">
        <v>69</v>
      </c>
      <c r="C30" s="34" t="s">
        <v>70</v>
      </c>
      <c r="D30" s="37" t="s">
        <v>71</v>
      </c>
      <c r="E30" s="33">
        <v>1</v>
      </c>
      <c r="F30" s="33">
        <v>60</v>
      </c>
      <c r="G30" s="28">
        <f ca="1">H30*0.9</f>
        <v>26.433</v>
      </c>
      <c r="H30" s="36">
        <v>29.37</v>
      </c>
      <c r="I30" s="36">
        <v>44.99</v>
      </c>
      <c r="J30" s="41">
        <v>43.99</v>
      </c>
      <c r="K30" s="213"/>
      <c r="L30" s="29">
        <f ca="1">(J30/I30)-1</f>
        <v>-0.02222716159146476</v>
      </c>
      <c r="M30" s="198">
        <v>37.99</v>
      </c>
      <c r="N30" s="31">
        <f ca="1">M30*0.78</f>
        <v>29.6322</v>
      </c>
      <c r="O30" s="31">
        <f ca="1">N30/0.7</f>
        <v>42.33171428571429</v>
      </c>
      <c r="P30" s="31">
        <f ca="1">N30*0.9</f>
        <v>26.66898</v>
      </c>
      <c r="R30" s="174">
        <v>14.003</v>
      </c>
      <c r="S30" s="174"/>
      <c r="T30" s="176">
        <f ca="1">(W30-R30)/W30</f>
        <v>0.545924736935973</v>
      </c>
      <c r="U30" s="175">
        <f ca="1">I30</f>
        <v>44.99</v>
      </c>
      <c r="V30" s="175"/>
      <c r="W30" s="175">
        <f ca="1">H30*1.05</f>
        <v>30.838500000000003</v>
      </c>
      <c r="X30" s="175">
        <f ca="1">W30*0.9</f>
        <v>27.754650000000005</v>
      </c>
      <c r="Y30" s="176">
        <f ca="1">(U30-W30)/U30</f>
        <v>0.31454767726161365</v>
      </c>
      <c r="Z30" s="184" t="e">
        <f ca="1">(V30-W30)/V30</f>
        <v>#DIV/0!</v>
      </c>
      <c r="AB30" s="4"/>
      <c r="AC30" s="4"/>
      <c r="AD30" s="4"/>
      <c r="AE30" s="4"/>
      <c r="AF30" s="4"/>
      <c r="AG30" s="4"/>
      <c r="AH30" s="4"/>
      <c r="AI30" s="4"/>
      <c r="AJ30" s="4"/>
    </row>
    <row r="31" spans="2:36" s="15" customFormat="1">
      <c r="B31" s="33">
        <v>29003</v>
      </c>
      <c r="C31" s="34" t="s">
        <v>72</v>
      </c>
      <c r="D31" s="33" t="s">
        <v>73</v>
      </c>
      <c r="E31" s="33">
        <v>1</v>
      </c>
      <c r="F31" s="33">
        <v>24</v>
      </c>
      <c r="G31" s="28">
        <f ca="1">H31*0.9</f>
        <v>29.691000000000003</v>
      </c>
      <c r="H31" s="36">
        <v>32.99</v>
      </c>
      <c r="I31" s="36">
        <v>49.99</v>
      </c>
      <c r="J31" s="36">
        <v>49.99</v>
      </c>
      <c r="K31" s="118"/>
      <c r="L31" s="14"/>
      <c r="M31" s="197"/>
      <c r="N31" s="31">
        <f ca="1">M31*0.78</f>
        <v>0</v>
      </c>
      <c r="O31" s="31">
        <f ca="1">N31/0.7</f>
        <v>0</v>
      </c>
      <c r="P31" s="31">
        <f ca="1">N31*0.9</f>
        <v>0</v>
      </c>
      <c r="R31" s="174">
        <v>11.479</v>
      </c>
      <c r="S31" s="174"/>
      <c r="T31" s="176">
        <f ca="1">(W31-R31)/W31</f>
        <v>0.6686153091124295</v>
      </c>
      <c r="U31" s="175">
        <f ca="1">I31</f>
        <v>49.99</v>
      </c>
      <c r="V31" s="175"/>
      <c r="W31" s="175">
        <f ca="1">H31*1.05</f>
        <v>34.639500000000005</v>
      </c>
      <c r="X31" s="175">
        <f ca="1">W31*0.9</f>
        <v>31.175550000000005</v>
      </c>
      <c r="Y31" s="176">
        <f ca="1">(U31-W31)/U31</f>
        <v>0.3070714142828565</v>
      </c>
      <c r="Z31" s="184" t="e">
        <f ca="1">(V31-W31)/V31</f>
        <v>#DIV/0!</v>
      </c>
      <c r="AB31" s="4"/>
      <c r="AC31" s="4"/>
      <c r="AD31" s="4"/>
      <c r="AE31" s="4"/>
      <c r="AF31" s="4"/>
      <c r="AG31" s="4"/>
      <c r="AH31" s="4"/>
      <c r="AI31" s="4"/>
      <c r="AJ31" s="4"/>
    </row>
    <row r="32" spans="2:36" s="15" customFormat="1">
      <c r="B32" s="39">
        <v>29002</v>
      </c>
      <c r="C32" s="40" t="s">
        <v>74</v>
      </c>
      <c r="D32" s="39" t="s">
        <v>75</v>
      </c>
      <c r="E32" s="39">
        <v>1</v>
      </c>
      <c r="F32" s="39">
        <v>36</v>
      </c>
      <c r="G32" s="28">
        <f ca="1">H32*0.9</f>
        <v>24.345000000000002</v>
      </c>
      <c r="H32" s="41">
        <v>27.05</v>
      </c>
      <c r="I32" s="41">
        <v>34.99</v>
      </c>
      <c r="J32" s="41">
        <v>34.99</v>
      </c>
      <c r="K32" s="213"/>
      <c r="L32" s="14"/>
      <c r="M32" s="197"/>
      <c r="N32" s="31">
        <f ca="1">M32*0.78</f>
        <v>0</v>
      </c>
      <c r="O32" s="31">
        <f ca="1">N32/0.7</f>
        <v>0</v>
      </c>
      <c r="P32" s="31">
        <f ca="1">N32*0.9</f>
        <v>0</v>
      </c>
      <c r="R32" s="174">
        <v>8.768</v>
      </c>
      <c r="S32" s="174"/>
      <c r="T32" s="176">
        <f ca="1">(W32-R32)/W32</f>
        <v>0.6912947803890502</v>
      </c>
      <c r="U32" s="175">
        <f ca="1">I32</f>
        <v>34.99</v>
      </c>
      <c r="V32" s="175">
        <v>39.99</v>
      </c>
      <c r="W32" s="175">
        <f ca="1">H32*1.05</f>
        <v>28.402500000000003</v>
      </c>
      <c r="X32" s="175">
        <f ca="1">W32*0.9</f>
        <v>25.562250000000002</v>
      </c>
      <c r="Y32" s="180">
        <f ca="1">(U32-W32)/U32</f>
        <v>0.18826807659331232</v>
      </c>
      <c r="Z32" s="184">
        <f ca="1">(V32-W32)/V32</f>
        <v>0.2897599399849962</v>
      </c>
      <c r="AB32" s="4"/>
      <c r="AC32" s="4"/>
      <c r="AD32" s="4"/>
      <c r="AE32" s="4"/>
      <c r="AF32" s="4"/>
      <c r="AG32" s="4"/>
      <c r="AH32" s="4"/>
      <c r="AI32" s="4"/>
      <c r="AJ32" s="4"/>
    </row>
    <row r="33" spans="2:36" s="15" customFormat="1">
      <c r="B33" s="39">
        <v>29001</v>
      </c>
      <c r="C33" s="40" t="s">
        <v>76</v>
      </c>
      <c r="D33" s="39" t="s">
        <v>77</v>
      </c>
      <c r="E33" s="39">
        <v>1</v>
      </c>
      <c r="F33" s="39">
        <v>66</v>
      </c>
      <c r="G33" s="28">
        <f ca="1">H33*0.9</f>
        <v>21.492</v>
      </c>
      <c r="H33" s="41">
        <v>23.88</v>
      </c>
      <c r="I33" s="41">
        <v>29.99</v>
      </c>
      <c r="J33" s="41">
        <v>29.99</v>
      </c>
      <c r="K33" s="213"/>
      <c r="L33" s="14"/>
      <c r="M33" s="197"/>
      <c r="N33" s="31">
        <f ca="1">M33*0.78</f>
        <v>0</v>
      </c>
      <c r="O33" s="31">
        <f ca="1">N33/0.7</f>
        <v>0</v>
      </c>
      <c r="P33" s="31">
        <f ca="1">N33*0.9</f>
        <v>0</v>
      </c>
      <c r="R33" s="174">
        <v>7.046</v>
      </c>
      <c r="S33" s="174"/>
      <c r="T33" s="176">
        <f ca="1">(W33-R33)/W33</f>
        <v>0.7189917843184175</v>
      </c>
      <c r="U33" s="175">
        <f ca="1">I33</f>
        <v>29.99</v>
      </c>
      <c r="V33" s="175">
        <v>34.99</v>
      </c>
      <c r="W33" s="175">
        <f ca="1">H33*1.05</f>
        <v>25.074</v>
      </c>
      <c r="X33" s="175">
        <f ca="1">W33*0.9</f>
        <v>22.5666</v>
      </c>
      <c r="Y33" s="180">
        <f ca="1">(U33-W33)/U33</f>
        <v>0.16392130710236735</v>
      </c>
      <c r="Z33" s="184">
        <f ca="1">(V33-W33)/V33</f>
        <v>0.2833952557873678</v>
      </c>
      <c r="AB33" s="4"/>
      <c r="AC33" s="4"/>
      <c r="AD33" s="4"/>
      <c r="AE33" s="4"/>
      <c r="AF33" s="4"/>
      <c r="AG33" s="4"/>
      <c r="AH33" s="4"/>
      <c r="AI33" s="4"/>
      <c r="AJ33" s="4"/>
    </row>
    <row r="34" spans="2:36" s="15" customFormat="1">
      <c r="B34" s="33">
        <v>10031</v>
      </c>
      <c r="C34" s="34" t="s">
        <v>78</v>
      </c>
      <c r="D34" s="33" t="s">
        <v>79</v>
      </c>
      <c r="E34" s="33">
        <v>6</v>
      </c>
      <c r="F34" s="33">
        <v>180</v>
      </c>
      <c r="G34" s="28">
        <f ca="1">H34*0.9</f>
        <v>7.443</v>
      </c>
      <c r="H34" s="36">
        <v>8.27</v>
      </c>
      <c r="I34" s="36">
        <v>14.99</v>
      </c>
      <c r="J34" s="36">
        <v>14.99</v>
      </c>
      <c r="K34" s="118"/>
      <c r="L34" s="14"/>
      <c r="M34" s="197"/>
      <c r="N34" s="31">
        <f ca="1">M34*0.78</f>
        <v>0</v>
      </c>
      <c r="O34" s="31">
        <f ca="1">N34/0.7</f>
        <v>0</v>
      </c>
      <c r="P34" s="31">
        <f ca="1">N34*0.9</f>
        <v>0</v>
      </c>
      <c r="R34" s="174">
        <v>2.821</v>
      </c>
      <c r="S34" s="174"/>
      <c r="T34" s="176">
        <f ca="1">(W34-R34)/W34</f>
        <v>0.675130995566304</v>
      </c>
      <c r="U34" s="175">
        <f ca="1">I34</f>
        <v>14.99</v>
      </c>
      <c r="V34" s="175">
        <v>12.99</v>
      </c>
      <c r="W34" s="175">
        <f ca="1">H34*1.05</f>
        <v>8.6835</v>
      </c>
      <c r="X34" s="175">
        <f ca="1">W34*0.9</f>
        <v>7.815150000000001</v>
      </c>
      <c r="Y34" s="176">
        <f ca="1">(U34-W34)/U34</f>
        <v>0.4207138092061374</v>
      </c>
      <c r="Z34" s="184">
        <f ca="1">(V34-W34)/V34</f>
        <v>0.33152424942263276</v>
      </c>
      <c r="AB34" s="4"/>
      <c r="AC34" s="4"/>
      <c r="AD34" s="4"/>
      <c r="AE34" s="4"/>
      <c r="AF34" s="4"/>
      <c r="AG34" s="4"/>
      <c r="AH34" s="4"/>
      <c r="AI34" s="4"/>
      <c r="AJ34" s="4"/>
    </row>
    <row r="35" spans="2:36" s="15" customFormat="1">
      <c r="B35" s="44"/>
      <c r="C35" s="44"/>
      <c r="D35" s="45"/>
      <c r="E35" s="45"/>
      <c r="F35" s="45"/>
      <c r="G35" s="46"/>
      <c r="H35" s="46"/>
      <c r="I35" s="46"/>
      <c r="J35" s="46"/>
      <c r="K35" s="105"/>
      <c r="L35" s="14"/>
      <c r="M35" s="197"/>
      <c r="N35" s="31"/>
      <c r="O35" s="31"/>
      <c r="P35" s="31"/>
      <c r="R35" s="174"/>
      <c r="S35" s="174"/>
      <c r="T35" s="4"/>
      <c r="U35" s="175"/>
      <c r="V35" s="175"/>
      <c r="W35" s="175"/>
      <c r="X35" s="175"/>
      <c r="Y35" s="176"/>
      <c r="Z35" s="185"/>
      <c r="AB35" s="4"/>
      <c r="AC35" s="4"/>
      <c r="AD35" s="4"/>
      <c r="AE35" s="4"/>
      <c r="AF35" s="4"/>
      <c r="AG35" s="4"/>
      <c r="AH35" s="4"/>
      <c r="AI35" s="4"/>
      <c r="AJ35" s="4"/>
    </row>
    <row r="36" spans="2:36" s="15" customFormat="1" customHeight="1">
      <c r="B36" s="20" t="s">
        <v>80</v>
      </c>
      <c r="C36" s="309"/>
      <c r="D36" s="21"/>
      <c r="E36" s="21"/>
      <c r="F36" s="21"/>
      <c r="G36" s="22"/>
      <c r="H36" s="22"/>
      <c r="I36" s="47"/>
      <c r="J36" s="47"/>
      <c r="K36" s="212"/>
      <c r="L36" s="14"/>
      <c r="M36" s="197"/>
      <c r="N36" s="31"/>
      <c r="O36" s="31"/>
      <c r="P36" s="31"/>
      <c r="R36" s="174"/>
      <c r="S36" s="174"/>
      <c r="T36" s="4"/>
      <c r="U36" s="175"/>
      <c r="V36" s="175"/>
      <c r="W36" s="175"/>
      <c r="X36" s="175"/>
      <c r="Y36" s="176"/>
      <c r="Z36" s="185"/>
      <c r="AB36" s="4"/>
      <c r="AC36" s="4"/>
      <c r="AD36" s="4"/>
      <c r="AE36" s="4"/>
      <c r="AF36" s="4"/>
      <c r="AG36" s="4"/>
      <c r="AH36" s="4"/>
      <c r="AI36" s="4"/>
      <c r="AJ36" s="4"/>
    </row>
    <row r="37" spans="2:36" s="15" customFormat="1">
      <c r="B37" s="25" t="s">
        <v>81</v>
      </c>
      <c r="C37" s="26" t="s">
        <v>82</v>
      </c>
      <c r="D37" s="25" t="s">
        <v>83</v>
      </c>
      <c r="E37" s="25">
        <v>1</v>
      </c>
      <c r="F37" s="48">
        <v>25</v>
      </c>
      <c r="G37" s="28">
        <f ca="1">H37*0.9</f>
        <v>121.91400000000002</v>
      </c>
      <c r="H37" s="28">
        <v>135.46</v>
      </c>
      <c r="I37" s="28">
        <v>199.99</v>
      </c>
      <c r="J37" s="62">
        <v>189.99</v>
      </c>
      <c r="K37" s="213"/>
      <c r="L37" s="29">
        <f ca="1">(J37/I37)-1</f>
        <v>-0.05000250012500629</v>
      </c>
      <c r="M37" s="198">
        <v>189.99</v>
      </c>
      <c r="N37" s="31">
        <f ca="1">M37*0.78</f>
        <v>148.1922</v>
      </c>
      <c r="O37" s="31">
        <f ca="1">N37/0.7</f>
        <v>211.7031428571429</v>
      </c>
      <c r="P37" s="31">
        <f ca="1">N37*0.9</f>
        <v>133.37298</v>
      </c>
      <c r="R37" s="174">
        <v>75.946</v>
      </c>
      <c r="S37" s="174"/>
      <c r="T37" s="176">
        <f ca="1">(W37-R37)/W37</f>
        <v>0.46604515126588064</v>
      </c>
      <c r="U37" s="175">
        <f ca="1">I37</f>
        <v>199.99</v>
      </c>
      <c r="V37" s="175"/>
      <c r="W37" s="175">
        <f ca="1">H37*1.05</f>
        <v>142.233</v>
      </c>
      <c r="X37" s="175">
        <f ca="1">W37*0.9</f>
        <v>128.0097</v>
      </c>
      <c r="Y37" s="176">
        <f ca="1">(U37-W37)/U37</f>
        <v>0.28879943997199864</v>
      </c>
      <c r="Z37" s="184" t="e">
        <f ca="1">(V37-W37)/V37</f>
        <v>#DIV/0!</v>
      </c>
      <c r="AB37" s="4"/>
      <c r="AC37" s="4"/>
      <c r="AD37" s="4"/>
      <c r="AE37" s="4"/>
      <c r="AF37" s="4"/>
      <c r="AG37" s="4"/>
      <c r="AH37" s="4"/>
      <c r="AI37" s="4"/>
      <c r="AJ37" s="4"/>
    </row>
    <row r="38" spans="2:36" s="15" customFormat="1">
      <c r="B38" s="33" t="s">
        <v>84</v>
      </c>
      <c r="C38" s="34" t="s">
        <v>85</v>
      </c>
      <c r="D38" s="33" t="s">
        <v>86</v>
      </c>
      <c r="E38" s="33">
        <v>1</v>
      </c>
      <c r="F38" s="49">
        <v>32</v>
      </c>
      <c r="G38" s="28">
        <f ca="1">H38*0.9</f>
        <v>111.23100000000001</v>
      </c>
      <c r="H38" s="36">
        <v>123.59</v>
      </c>
      <c r="I38" s="36">
        <v>199.99</v>
      </c>
      <c r="J38" s="41">
        <v>174.99</v>
      </c>
      <c r="K38" s="213"/>
      <c r="L38" s="29">
        <f ca="1">(J38/I38)-1</f>
        <v>-0.12500625031251567</v>
      </c>
      <c r="M38" s="50">
        <v>159.99</v>
      </c>
      <c r="N38" s="31">
        <f ca="1">M38*0.78</f>
        <v>124.79220000000001</v>
      </c>
      <c r="O38" s="31">
        <f ca="1">N38/0.7</f>
        <v>178.27457142857145</v>
      </c>
      <c r="P38" s="31">
        <f ca="1">N38*0.9</f>
        <v>112.31298000000001</v>
      </c>
      <c r="R38" s="174">
        <v>74.486</v>
      </c>
      <c r="S38" s="174"/>
      <c r="T38" s="176">
        <f ca="1">(W38-R38)/W38</f>
        <v>0.426013046208855</v>
      </c>
      <c r="U38" s="175">
        <f ca="1">I38</f>
        <v>199.99</v>
      </c>
      <c r="V38" s="175"/>
      <c r="W38" s="175">
        <f ca="1">H38*1.05</f>
        <v>129.76950000000002</v>
      </c>
      <c r="X38" s="175">
        <f ca="1">W38*0.9</f>
        <v>116.79255000000002</v>
      </c>
      <c r="Y38" s="176">
        <f ca="1">(U38-W38)/U38</f>
        <v>0.35112005600280005</v>
      </c>
      <c r="Z38" s="184" t="e">
        <f ca="1">(V38-W38)/V38</f>
        <v>#DIV/0!</v>
      </c>
      <c r="AB38" s="4"/>
      <c r="AC38" s="4"/>
      <c r="AD38" s="4"/>
      <c r="AE38" s="4"/>
      <c r="AF38" s="4"/>
      <c r="AG38" s="4"/>
      <c r="AH38" s="4"/>
      <c r="AI38" s="4"/>
      <c r="AJ38" s="4"/>
    </row>
    <row r="39" spans="2:36" s="15" customFormat="1">
      <c r="B39" s="33" t="s">
        <v>87</v>
      </c>
      <c r="C39" s="34" t="s">
        <v>88</v>
      </c>
      <c r="D39" s="33" t="s">
        <v>89</v>
      </c>
      <c r="E39" s="33">
        <v>1</v>
      </c>
      <c r="F39" s="49">
        <v>32</v>
      </c>
      <c r="G39" s="28">
        <f ca="1">H39*0.9</f>
        <v>80.325</v>
      </c>
      <c r="H39" s="36">
        <v>89.25</v>
      </c>
      <c r="I39" s="36">
        <v>129.99</v>
      </c>
      <c r="J39" s="41">
        <v>123.99</v>
      </c>
      <c r="K39" s="213"/>
      <c r="L39" s="29">
        <f ca="1">(J39/I39)-1</f>
        <v>-0.04615739672282493</v>
      </c>
      <c r="M39" s="50">
        <v>114.99</v>
      </c>
      <c r="N39" s="31">
        <f ca="1">M39*0.78</f>
        <v>89.6922</v>
      </c>
      <c r="O39" s="31">
        <f ca="1">N39/0.7</f>
        <v>128.13171428571428</v>
      </c>
      <c r="P39" s="31">
        <f ca="1">N39*0.9</f>
        <v>80.72298</v>
      </c>
      <c r="R39" s="174">
        <v>26.85</v>
      </c>
      <c r="S39" s="174"/>
      <c r="T39" s="176">
        <f ca="1">(W39-R39)/W39</f>
        <v>0.7134853941576631</v>
      </c>
      <c r="U39" s="175">
        <f ca="1">I39</f>
        <v>129.99</v>
      </c>
      <c r="V39" s="175"/>
      <c r="W39" s="175">
        <f ca="1">H39*1.05</f>
        <v>93.7125</v>
      </c>
      <c r="X39" s="175">
        <f ca="1">W39*0.9</f>
        <v>84.34125</v>
      </c>
      <c r="Y39" s="180">
        <f ca="1">(U39-W39)/U39</f>
        <v>0.27907915993537963</v>
      </c>
      <c r="Z39" s="184" t="e">
        <f ca="1">(V39-W39)/V39</f>
        <v>#DIV/0!</v>
      </c>
      <c r="AB39" s="4"/>
      <c r="AC39" s="4"/>
      <c r="AD39" s="4"/>
      <c r="AE39" s="4"/>
      <c r="AF39" s="4"/>
      <c r="AG39" s="4"/>
      <c r="AH39" s="4"/>
      <c r="AI39" s="4"/>
      <c r="AJ39" s="4"/>
    </row>
    <row r="40" spans="2:36" s="15" customFormat="1">
      <c r="B40" s="33" t="s">
        <v>90</v>
      </c>
      <c r="C40" s="34" t="s">
        <v>91</v>
      </c>
      <c r="D40" s="33" t="s">
        <v>92</v>
      </c>
      <c r="E40" s="33">
        <v>1</v>
      </c>
      <c r="F40" s="49">
        <v>32</v>
      </c>
      <c r="G40" s="28">
        <f ca="1">H40*0.9</f>
        <v>63.342</v>
      </c>
      <c r="H40" s="36">
        <v>70.38</v>
      </c>
      <c r="I40" s="36">
        <v>149.99</v>
      </c>
      <c r="J40" s="41">
        <v>101.99</v>
      </c>
      <c r="K40" s="213"/>
      <c r="L40" s="29">
        <f ca="1">(J40/I40)-1</f>
        <v>-0.3200213347556504</v>
      </c>
      <c r="M40" s="50">
        <v>89.99</v>
      </c>
      <c r="N40" s="31">
        <f ca="1">M40*0.78</f>
        <v>70.1922</v>
      </c>
      <c r="O40" s="31">
        <f ca="1">N40/0.7</f>
        <v>100.27457142857143</v>
      </c>
      <c r="P40" s="31">
        <f ca="1">N40*0.9</f>
        <v>63.17298</v>
      </c>
      <c r="R40" s="174">
        <v>26.301</v>
      </c>
      <c r="S40" s="174"/>
      <c r="T40" s="176">
        <f ca="1">(W40-R40)/W40</f>
        <v>0.6440953192871351</v>
      </c>
      <c r="U40" s="175">
        <f ca="1">I40</f>
        <v>149.99</v>
      </c>
      <c r="V40" s="175"/>
      <c r="W40" s="175">
        <f ca="1">H40*1.05</f>
        <v>73.899</v>
      </c>
      <c r="X40" s="175">
        <f ca="1">W40*0.9</f>
        <v>66.5091</v>
      </c>
      <c r="Y40" s="191">
        <f ca="1">(U40-W40)/U40</f>
        <v>0.507307153810254</v>
      </c>
      <c r="Z40" s="184" t="e">
        <f ca="1">(V40-W40)/V40</f>
        <v>#DIV/0!</v>
      </c>
      <c r="AB40" s="4"/>
      <c r="AC40" s="4"/>
      <c r="AD40" s="4"/>
      <c r="AE40" s="4"/>
      <c r="AF40" s="4"/>
      <c r="AG40" s="4"/>
      <c r="AH40" s="4"/>
      <c r="AI40" s="4"/>
      <c r="AJ40" s="4"/>
    </row>
    <row r="41" spans="2:36" s="15" customFormat="1">
      <c r="B41" s="33" t="s">
        <v>93</v>
      </c>
      <c r="C41" s="34" t="s">
        <v>94</v>
      </c>
      <c r="D41" s="33" t="s">
        <v>95</v>
      </c>
      <c r="E41" s="33">
        <v>1</v>
      </c>
      <c r="F41" s="49">
        <v>32</v>
      </c>
      <c r="G41" s="28">
        <f ca="1">H41*0.9</f>
        <v>76.00500000000001</v>
      </c>
      <c r="H41" s="36">
        <v>84.45</v>
      </c>
      <c r="I41" s="36">
        <v>139.99</v>
      </c>
      <c r="J41" s="41">
        <v>123.99</v>
      </c>
      <c r="K41" s="213"/>
      <c r="L41" s="29">
        <f ca="1">(J41/I41)-1</f>
        <v>-0.11429387813415248</v>
      </c>
      <c r="M41" s="50">
        <v>109.99</v>
      </c>
      <c r="N41" s="31">
        <f ca="1">M41*0.78</f>
        <v>85.7922</v>
      </c>
      <c r="O41" s="31">
        <f ca="1">N41/0.7</f>
        <v>122.56028571428571</v>
      </c>
      <c r="P41" s="31">
        <f ca="1">N41*0.9</f>
        <v>77.21298</v>
      </c>
      <c r="R41" s="174">
        <v>26.538</v>
      </c>
      <c r="S41" s="174"/>
      <c r="T41" s="176">
        <f ca="1">(W41-R41)/W41</f>
        <v>0.7007189376638756</v>
      </c>
      <c r="U41" s="175">
        <f ca="1">I41</f>
        <v>139.99</v>
      </c>
      <c r="V41" s="175"/>
      <c r="W41" s="175">
        <f ca="1">H41*1.05</f>
        <v>88.67250000000001</v>
      </c>
      <c r="X41" s="175">
        <f ca="1">W41*0.9</f>
        <v>79.80525000000002</v>
      </c>
      <c r="Y41" s="176">
        <f ca="1">(U41-W41)/U41</f>
        <v>0.36657975569683543</v>
      </c>
      <c r="Z41" s="184" t="e">
        <f ca="1">(V41-W41)/V41</f>
        <v>#DIV/0!</v>
      </c>
      <c r="AB41" s="4"/>
      <c r="AC41" s="4"/>
      <c r="AD41" s="4"/>
      <c r="AE41" s="4"/>
      <c r="AF41" s="4"/>
      <c r="AG41" s="4"/>
      <c r="AH41" s="4"/>
      <c r="AI41" s="4"/>
      <c r="AJ41" s="4"/>
    </row>
    <row r="42" spans="2:36" s="15" customFormat="1">
      <c r="B42" s="33" t="s">
        <v>96</v>
      </c>
      <c r="C42" s="34" t="s">
        <v>97</v>
      </c>
      <c r="D42" s="33" t="s">
        <v>98</v>
      </c>
      <c r="E42" s="33">
        <v>1</v>
      </c>
      <c r="F42" s="49">
        <v>32</v>
      </c>
      <c r="G42" s="28">
        <f ca="1">H42*0.9</f>
        <v>64.215</v>
      </c>
      <c r="H42" s="36">
        <v>71.35</v>
      </c>
      <c r="I42" s="36">
        <v>119.99</v>
      </c>
      <c r="J42" s="41">
        <v>103.99</v>
      </c>
      <c r="K42" s="213"/>
      <c r="L42" s="29">
        <f ca="1">(J42/I42)-1</f>
        <v>-0.13334444537044754</v>
      </c>
      <c r="M42" s="50">
        <v>92.99</v>
      </c>
      <c r="N42" s="31">
        <f ca="1">M42*0.78</f>
        <v>72.5322</v>
      </c>
      <c r="O42" s="31">
        <f ca="1">N42/0.7</f>
        <v>103.61742857142858</v>
      </c>
      <c r="P42" s="31">
        <f ca="1">N42*0.9</f>
        <v>65.27898</v>
      </c>
      <c r="R42" s="174">
        <v>24.026</v>
      </c>
      <c r="S42" s="174"/>
      <c r="T42" s="176">
        <f ca="1">(W42-R42)/W42</f>
        <v>0.6793005639536824</v>
      </c>
      <c r="U42" s="175">
        <f ca="1">I42</f>
        <v>119.99</v>
      </c>
      <c r="V42" s="175"/>
      <c r="W42" s="175">
        <f ca="1">H42*1.05</f>
        <v>74.9175</v>
      </c>
      <c r="X42" s="175">
        <f ca="1">W42*0.9</f>
        <v>67.42575000000001</v>
      </c>
      <c r="Y42" s="176">
        <f ca="1">(U42-W42)/U42</f>
        <v>0.37563546962246847</v>
      </c>
      <c r="Z42" s="184" t="e">
        <f ca="1">(V42-W42)/V42</f>
        <v>#DIV/0!</v>
      </c>
      <c r="AB42" s="4"/>
      <c r="AC42" s="4"/>
      <c r="AD42" s="4"/>
      <c r="AE42" s="4"/>
      <c r="AF42" s="4"/>
      <c r="AG42" s="4"/>
      <c r="AH42" s="4"/>
      <c r="AI42" s="4"/>
      <c r="AJ42" s="4"/>
    </row>
    <row r="43" spans="2:36" s="15" customFormat="1">
      <c r="B43" s="33" t="s">
        <v>99</v>
      </c>
      <c r="C43" s="34" t="s">
        <v>100</v>
      </c>
      <c r="D43" s="33" t="s">
        <v>101</v>
      </c>
      <c r="E43" s="33">
        <v>1</v>
      </c>
      <c r="F43" s="33">
        <v>32</v>
      </c>
      <c r="G43" s="28">
        <f ca="1">H43*0.9</f>
        <v>38.376000000000005</v>
      </c>
      <c r="H43" s="36">
        <v>42.64</v>
      </c>
      <c r="I43" s="36">
        <v>119.99</v>
      </c>
      <c r="J43" s="41">
        <v>57.99</v>
      </c>
      <c r="K43" s="213"/>
      <c r="L43" s="29">
        <f ca="1">(J43/I43)-1</f>
        <v>-0.5167097258104842</v>
      </c>
      <c r="M43" s="50">
        <v>54.99</v>
      </c>
      <c r="N43" s="31">
        <f ca="1">M43*0.78</f>
        <v>42.8922</v>
      </c>
      <c r="O43" s="31">
        <f ca="1">N43/0.7</f>
        <v>61.274571428571434</v>
      </c>
      <c r="P43" s="31">
        <f ca="1">N43*0.9</f>
        <v>38.60298</v>
      </c>
      <c r="R43" s="174">
        <v>13.042</v>
      </c>
      <c r="S43" s="174"/>
      <c r="T43" s="176">
        <f ca="1">(W43-R43)/W43</f>
        <v>0.7087018672384526</v>
      </c>
      <c r="U43" s="175">
        <f ca="1">I43</f>
        <v>119.99</v>
      </c>
      <c r="V43" s="175"/>
      <c r="W43" s="175">
        <f ca="1">H43*1.05</f>
        <v>44.772000000000006</v>
      </c>
      <c r="X43" s="175">
        <f ca="1">W43*0.9</f>
        <v>40.29480000000001</v>
      </c>
      <c r="Y43" s="191">
        <f ca="1">(U43-W43)/U43</f>
        <v>0.6268689057421452</v>
      </c>
      <c r="Z43" s="184" t="e">
        <f ca="1">(V43-W43)/V43</f>
        <v>#DIV/0!</v>
      </c>
      <c r="AB43" s="4"/>
      <c r="AC43" s="4"/>
      <c r="AD43" s="4"/>
      <c r="AE43" s="4"/>
      <c r="AF43" s="4"/>
      <c r="AG43" s="4"/>
      <c r="AH43" s="4"/>
      <c r="AI43" s="4"/>
      <c r="AJ43" s="4"/>
    </row>
    <row r="44" spans="2:36" s="15" customFormat="1">
      <c r="B44" s="33" t="s">
        <v>102</v>
      </c>
      <c r="C44" s="34" t="s">
        <v>103</v>
      </c>
      <c r="D44" s="33" t="s">
        <v>104</v>
      </c>
      <c r="E44" s="33">
        <v>1</v>
      </c>
      <c r="F44" s="33">
        <v>25</v>
      </c>
      <c r="G44" s="28">
        <f ca="1">H44*0.9</f>
        <v>90.315</v>
      </c>
      <c r="H44" s="36">
        <v>100.35</v>
      </c>
      <c r="I44" s="36">
        <v>149.99</v>
      </c>
      <c r="J44" s="41">
        <v>146.99</v>
      </c>
      <c r="K44" s="213"/>
      <c r="L44" s="29">
        <f ca="1">(J44/I44)-1</f>
        <v>-0.020001333422228096</v>
      </c>
      <c r="M44" s="50">
        <v>129.99</v>
      </c>
      <c r="N44" s="31">
        <f ca="1">M44*0.78</f>
        <v>101.39220000000002</v>
      </c>
      <c r="O44" s="31">
        <f ca="1">N44/0.7</f>
        <v>144.84600000000003</v>
      </c>
      <c r="P44" s="31">
        <f ca="1">N44*0.9</f>
        <v>91.25298000000002</v>
      </c>
      <c r="R44" s="174">
        <v>45.612</v>
      </c>
      <c r="S44" s="174"/>
      <c r="T44" s="176">
        <f ca="1">(W44-R44)/W44</f>
        <v>0.5671150971599401</v>
      </c>
      <c r="U44" s="175">
        <f ca="1">I44</f>
        <v>149.99</v>
      </c>
      <c r="V44" s="175"/>
      <c r="W44" s="175">
        <f ca="1">H44*1.05</f>
        <v>105.36749999999999</v>
      </c>
      <c r="X44" s="175">
        <f ca="1">W44*0.9</f>
        <v>94.83075</v>
      </c>
      <c r="Y44" s="176">
        <f ca="1">(U44-W44)/U44</f>
        <v>0.29750316687779194</v>
      </c>
      <c r="Z44" s="184" t="e">
        <f ca="1">(V44-W44)/V44</f>
        <v>#DIV/0!</v>
      </c>
      <c r="AB44" s="4"/>
      <c r="AC44" s="4"/>
      <c r="AD44" s="4"/>
      <c r="AE44" s="4"/>
      <c r="AF44" s="4"/>
      <c r="AG44" s="4"/>
      <c r="AH44" s="4"/>
      <c r="AI44" s="4"/>
      <c r="AJ44" s="4"/>
    </row>
    <row r="45" spans="2:36" s="15" customFormat="1">
      <c r="B45" s="33">
        <v>26127</v>
      </c>
      <c r="C45" s="34" t="s">
        <v>105</v>
      </c>
      <c r="D45" s="33" t="s">
        <v>106</v>
      </c>
      <c r="E45" s="33">
        <v>1</v>
      </c>
      <c r="F45" s="51">
        <v>50</v>
      </c>
      <c r="G45" s="28">
        <f ca="1">H45*0.9</f>
        <v>61.632000000000005</v>
      </c>
      <c r="H45" s="36">
        <v>68.48</v>
      </c>
      <c r="I45" s="36">
        <v>99.99</v>
      </c>
      <c r="J45" s="41">
        <v>87.99</v>
      </c>
      <c r="K45" s="213"/>
      <c r="L45" s="29">
        <f ca="1">(J45/I45)-1</f>
        <v>-0.12001200120012001</v>
      </c>
      <c r="M45" s="50">
        <v>87.99</v>
      </c>
      <c r="N45" s="31">
        <f ca="1">M45*0.78</f>
        <v>68.6322</v>
      </c>
      <c r="O45" s="31">
        <f ca="1">N45/0.7</f>
        <v>98.046</v>
      </c>
      <c r="P45" s="31">
        <f ca="1">N45*0.9</f>
        <v>61.76898</v>
      </c>
      <c r="R45" s="174">
        <v>24.889</v>
      </c>
      <c r="S45" s="174"/>
      <c r="T45" s="176">
        <f ca="1">(W45-R45)/W45</f>
        <v>0.6538579216733423</v>
      </c>
      <c r="U45" s="175">
        <f ca="1">I45</f>
        <v>99.99</v>
      </c>
      <c r="V45" s="175"/>
      <c r="W45" s="175">
        <f ca="1">H45*1.05</f>
        <v>71.90400000000001</v>
      </c>
      <c r="X45" s="175">
        <f ca="1">W45*0.9</f>
        <v>64.71360000000001</v>
      </c>
      <c r="Y45" s="180">
        <f ca="1">(U45-W45)/U45</f>
        <v>0.2808880888088807</v>
      </c>
      <c r="Z45" s="184" t="e">
        <f ca="1">(V45-W45)/V45</f>
        <v>#DIV/0!</v>
      </c>
      <c r="AB45" s="4"/>
      <c r="AC45" s="4"/>
      <c r="AD45" s="4"/>
      <c r="AE45" s="4"/>
      <c r="AF45" s="4"/>
      <c r="AG45" s="4"/>
      <c r="AH45" s="4"/>
      <c r="AI45" s="4"/>
      <c r="AJ45" s="4"/>
    </row>
    <row r="46" spans="2:36" s="15" customFormat="1">
      <c r="B46" s="33" t="s">
        <v>107</v>
      </c>
      <c r="C46" s="34" t="s">
        <v>108</v>
      </c>
      <c r="D46" s="33" t="s">
        <v>109</v>
      </c>
      <c r="E46" s="33">
        <v>1</v>
      </c>
      <c r="F46" s="33">
        <v>32</v>
      </c>
      <c r="G46" s="28">
        <f ca="1">H46*0.9</f>
        <v>74.097</v>
      </c>
      <c r="H46" s="36">
        <v>82.33</v>
      </c>
      <c r="I46" s="36">
        <v>129.99</v>
      </c>
      <c r="J46" s="41">
        <v>114.99</v>
      </c>
      <c r="K46" s="213"/>
      <c r="L46" s="29">
        <f ca="1">(J46/I46)-1</f>
        <v>-0.11539349180706215</v>
      </c>
      <c r="M46" s="50">
        <v>104.99</v>
      </c>
      <c r="N46" s="31">
        <f ca="1">M46*0.78</f>
        <v>81.8922</v>
      </c>
      <c r="O46" s="31">
        <f ca="1">N46/0.7</f>
        <v>116.98885714285716</v>
      </c>
      <c r="P46" s="31">
        <f ca="1">N46*0.9</f>
        <v>73.70298000000001</v>
      </c>
      <c r="R46" s="174">
        <v>21.46</v>
      </c>
      <c r="S46" s="174"/>
      <c r="T46" s="176">
        <f ca="1">(W46-R46)/W46</f>
        <v>0.7517539750018799</v>
      </c>
      <c r="U46" s="175">
        <f ca="1">I46</f>
        <v>129.99</v>
      </c>
      <c r="V46" s="175"/>
      <c r="W46" s="175">
        <f ca="1">H46*1.05</f>
        <v>86.4465</v>
      </c>
      <c r="X46" s="175">
        <f ca="1">W46*0.9</f>
        <v>77.80185</v>
      </c>
      <c r="Y46" s="176">
        <f ca="1">(U46-W46)/U46</f>
        <v>0.3349757673667206</v>
      </c>
      <c r="Z46" s="184" t="e">
        <f ca="1">(V46-W46)/V46</f>
        <v>#DIV/0!</v>
      </c>
      <c r="AB46" s="4"/>
      <c r="AC46" s="4"/>
      <c r="AD46" s="4"/>
      <c r="AE46" s="4"/>
      <c r="AF46" s="4"/>
      <c r="AG46" s="4"/>
      <c r="AH46" s="4"/>
      <c r="AI46" s="4"/>
      <c r="AJ46" s="4"/>
    </row>
    <row r="47" spans="2:36" s="15" customFormat="1">
      <c r="B47" s="33" t="s">
        <v>110</v>
      </c>
      <c r="C47" s="34" t="s">
        <v>111</v>
      </c>
      <c r="D47" s="33" t="s">
        <v>112</v>
      </c>
      <c r="E47" s="33">
        <v>1</v>
      </c>
      <c r="F47" s="37">
        <v>45</v>
      </c>
      <c r="G47" s="28">
        <f ca="1">H47*0.9</f>
        <v>66.195</v>
      </c>
      <c r="H47" s="36">
        <v>73.55</v>
      </c>
      <c r="I47" s="36">
        <v>124.99</v>
      </c>
      <c r="J47" s="41">
        <v>101.99</v>
      </c>
      <c r="K47" s="213"/>
      <c r="L47" s="29">
        <f ca="1">(J47/I47)-1</f>
        <v>-0.18401472117769424</v>
      </c>
      <c r="M47" s="50">
        <v>94.99</v>
      </c>
      <c r="N47" s="31">
        <f ca="1">M47*0.78</f>
        <v>74.0922</v>
      </c>
      <c r="O47" s="31">
        <f ca="1">N47/0.7</f>
        <v>105.84600000000002</v>
      </c>
      <c r="P47" s="31">
        <f ca="1">N47*0.9</f>
        <v>66.68298</v>
      </c>
      <c r="R47" s="174">
        <v>18.83</v>
      </c>
      <c r="S47" s="174"/>
      <c r="T47" s="176">
        <f ca="1">(W47-R47)/W47</f>
        <v>0.7561749376841151</v>
      </c>
      <c r="U47" s="175">
        <f ca="1">I47</f>
        <v>124.99</v>
      </c>
      <c r="V47" s="175"/>
      <c r="W47" s="175">
        <f ca="1">H47*1.05</f>
        <v>77.2275</v>
      </c>
      <c r="X47" s="175">
        <f ca="1">W47*0.9</f>
        <v>69.50475</v>
      </c>
      <c r="Y47" s="176">
        <f ca="1">(U47-W47)/U47</f>
        <v>0.3821305704456356</v>
      </c>
      <c r="Z47" s="184" t="e">
        <f ca="1">(V47-W47)/V47</f>
        <v>#DIV/0!</v>
      </c>
      <c r="AB47" s="4"/>
      <c r="AC47" s="4"/>
      <c r="AD47" s="4"/>
      <c r="AE47" s="4"/>
      <c r="AF47" s="4"/>
      <c r="AG47" s="4"/>
      <c r="AH47" s="4"/>
      <c r="AI47" s="4"/>
      <c r="AJ47" s="4"/>
    </row>
    <row r="48" spans="2:36" s="15" customFormat="1">
      <c r="B48" s="33" t="s">
        <v>113</v>
      </c>
      <c r="C48" s="34" t="s">
        <v>114</v>
      </c>
      <c r="D48" s="33" t="s">
        <v>115</v>
      </c>
      <c r="E48" s="33">
        <v>1</v>
      </c>
      <c r="F48" s="37">
        <v>25</v>
      </c>
      <c r="G48" s="28">
        <f ca="1">H48*0.9</f>
        <v>69.903</v>
      </c>
      <c r="H48" s="36">
        <v>77.67</v>
      </c>
      <c r="I48" s="36">
        <v>129.99</v>
      </c>
      <c r="J48" s="41">
        <v>114.99</v>
      </c>
      <c r="K48" s="213"/>
      <c r="L48" s="29">
        <f ca="1">(J48/I48)-1</f>
        <v>-0.11539349180706215</v>
      </c>
      <c r="M48" s="50">
        <v>99.99</v>
      </c>
      <c r="N48" s="31">
        <f ca="1">M48*0.78</f>
        <v>77.9922</v>
      </c>
      <c r="O48" s="31">
        <f ca="1">N48/0.7</f>
        <v>111.41742857142857</v>
      </c>
      <c r="P48" s="31">
        <f ca="1">N48*0.9</f>
        <v>70.19298</v>
      </c>
      <c r="R48" s="174">
        <v>34.52</v>
      </c>
      <c r="S48" s="174"/>
      <c r="T48" s="176">
        <f ca="1">(W48-R48)/W48</f>
        <v>0.5767195767195766</v>
      </c>
      <c r="U48" s="175">
        <f ca="1">I48</f>
        <v>129.99</v>
      </c>
      <c r="V48" s="175"/>
      <c r="W48" s="175">
        <f ca="1">H48*1.05</f>
        <v>81.5535</v>
      </c>
      <c r="X48" s="175">
        <f ca="1">W48*0.9</f>
        <v>73.39815</v>
      </c>
      <c r="Y48" s="176">
        <f ca="1">(U48-W48)/U48</f>
        <v>0.3726171243941842</v>
      </c>
      <c r="Z48" s="184" t="e">
        <f ca="1">(V48-W48)/V48</f>
        <v>#DIV/0!</v>
      </c>
      <c r="AB48" s="4"/>
      <c r="AC48" s="4"/>
      <c r="AD48" s="4"/>
      <c r="AE48" s="4"/>
      <c r="AF48" s="4"/>
      <c r="AG48" s="4"/>
      <c r="AH48" s="4"/>
      <c r="AI48" s="4"/>
      <c r="AJ48" s="4"/>
    </row>
    <row r="49" spans="2:36" s="15" customFormat="1">
      <c r="B49" s="33" t="s">
        <v>116</v>
      </c>
      <c r="C49" s="34" t="s">
        <v>117</v>
      </c>
      <c r="D49" s="33" t="s">
        <v>118</v>
      </c>
      <c r="E49" s="33">
        <v>1</v>
      </c>
      <c r="F49" s="33">
        <v>45</v>
      </c>
      <c r="G49" s="28">
        <f ca="1">H49*0.9</f>
        <v>63.648</v>
      </c>
      <c r="H49" s="36">
        <v>70.72</v>
      </c>
      <c r="I49" s="36">
        <v>124.99</v>
      </c>
      <c r="J49" s="41">
        <v>101.99</v>
      </c>
      <c r="K49" s="213"/>
      <c r="L49" s="29">
        <f ca="1">(J49/I49)-1</f>
        <v>-0.18401472117769424</v>
      </c>
      <c r="M49" s="50">
        <v>89.99</v>
      </c>
      <c r="N49" s="31">
        <f ca="1">M49*0.78</f>
        <v>70.1922</v>
      </c>
      <c r="O49" s="31">
        <f ca="1">N49/0.7</f>
        <v>100.27457142857143</v>
      </c>
      <c r="P49" s="31">
        <f ca="1">N49*0.9</f>
        <v>63.17298</v>
      </c>
      <c r="R49" s="174">
        <v>23.466</v>
      </c>
      <c r="S49" s="174"/>
      <c r="T49" s="176">
        <f ca="1">(W49-R49)/W49</f>
        <v>0.6839851325145443</v>
      </c>
      <c r="U49" s="175">
        <f ca="1">I49</f>
        <v>124.99</v>
      </c>
      <c r="V49" s="175"/>
      <c r="W49" s="175">
        <f ca="1">H49*1.05</f>
        <v>74.256</v>
      </c>
      <c r="X49" s="175">
        <f ca="1">W49*0.9</f>
        <v>66.8304</v>
      </c>
      <c r="Y49" s="190">
        <f ca="1">(U49-W49)/U49</f>
        <v>0.4059044723577886</v>
      </c>
      <c r="Z49" s="184" t="e">
        <f ca="1">(V49-W49)/V49</f>
        <v>#DIV/0!</v>
      </c>
      <c r="AB49" s="4"/>
      <c r="AC49" s="4"/>
      <c r="AD49" s="4"/>
      <c r="AE49" s="4"/>
      <c r="AF49" s="4"/>
      <c r="AG49" s="4"/>
      <c r="AH49" s="4"/>
      <c r="AI49" s="4"/>
      <c r="AJ49" s="4"/>
    </row>
    <row r="50" spans="2:36" s="15" customFormat="1">
      <c r="B50" s="33" t="s">
        <v>119</v>
      </c>
      <c r="C50" s="34" t="s">
        <v>120</v>
      </c>
      <c r="D50" s="33" t="s">
        <v>121</v>
      </c>
      <c r="E50" s="33">
        <v>1</v>
      </c>
      <c r="F50" s="33">
        <v>40</v>
      </c>
      <c r="G50" s="28">
        <f ca="1">H50*0.9</f>
        <v>54.387</v>
      </c>
      <c r="H50" s="36">
        <v>60.43</v>
      </c>
      <c r="I50" s="36">
        <v>99.99</v>
      </c>
      <c r="J50" s="41">
        <v>87.99</v>
      </c>
      <c r="K50" s="213"/>
      <c r="L50" s="29">
        <f ca="1">(J50/I50)-1</f>
        <v>-0.12001200120012001</v>
      </c>
      <c r="M50" s="50">
        <v>79.99</v>
      </c>
      <c r="N50" s="31">
        <f ca="1">M50*0.78</f>
        <v>62.392199999999995</v>
      </c>
      <c r="O50" s="31">
        <f ca="1">N50/0.7</f>
        <v>89.13171428571428</v>
      </c>
      <c r="P50" s="31">
        <f ca="1">N50*0.9</f>
        <v>56.15298</v>
      </c>
      <c r="R50" s="174">
        <v>22.983</v>
      </c>
      <c r="S50" s="174"/>
      <c r="T50" s="176">
        <f ca="1">(W50-R50)/W50</f>
        <v>0.6377863407484458</v>
      </c>
      <c r="U50" s="175">
        <f ca="1">I50</f>
        <v>99.99</v>
      </c>
      <c r="V50" s="175"/>
      <c r="W50" s="175">
        <f ca="1">H50*1.05</f>
        <v>63.4515</v>
      </c>
      <c r="X50" s="175">
        <f ca="1">W50*0.9</f>
        <v>57.106350000000006</v>
      </c>
      <c r="Y50" s="176">
        <f ca="1">(U50-W50)/U50</f>
        <v>0.36542154215421535</v>
      </c>
      <c r="Z50" s="184" t="e">
        <f ca="1">(V50-W50)/V50</f>
        <v>#DIV/0!</v>
      </c>
      <c r="AB50" s="4"/>
      <c r="AC50" s="4"/>
      <c r="AD50" s="4"/>
      <c r="AE50" s="4"/>
      <c r="AF50" s="4"/>
      <c r="AG50" s="4"/>
      <c r="AH50" s="4"/>
      <c r="AI50" s="4"/>
      <c r="AJ50" s="4"/>
    </row>
    <row r="51" spans="2:36" s="15" customFormat="1">
      <c r="B51" s="33" t="s">
        <v>122</v>
      </c>
      <c r="C51" s="34" t="s">
        <v>123</v>
      </c>
      <c r="D51" s="33" t="s">
        <v>124</v>
      </c>
      <c r="E51" s="33">
        <v>1</v>
      </c>
      <c r="F51" s="49">
        <v>32</v>
      </c>
      <c r="G51" s="28">
        <f ca="1">H51*0.9</f>
        <v>61.163999999999994</v>
      </c>
      <c r="H51" s="36">
        <v>67.96</v>
      </c>
      <c r="I51" s="36">
        <v>99.99</v>
      </c>
      <c r="J51" s="41">
        <v>93.99</v>
      </c>
      <c r="K51" s="213"/>
      <c r="L51" s="29">
        <f ca="1">(J51/I51)-1</f>
        <v>-0.060006000600060005</v>
      </c>
      <c r="M51" s="50">
        <v>88.99</v>
      </c>
      <c r="N51" s="31">
        <f ca="1">M51*0.78</f>
        <v>69.4122</v>
      </c>
      <c r="O51" s="31">
        <f ca="1">N51/0.7</f>
        <v>99.16028571428572</v>
      </c>
      <c r="P51" s="31">
        <f ca="1">N51*0.9</f>
        <v>62.47098</v>
      </c>
      <c r="R51" s="174">
        <v>25.35</v>
      </c>
      <c r="S51" s="174"/>
      <c r="T51" s="176">
        <f ca="1">(W51-R51)/W51</f>
        <v>0.6447490120238796</v>
      </c>
      <c r="U51" s="175">
        <f ca="1">I51</f>
        <v>99.99</v>
      </c>
      <c r="V51" s="175"/>
      <c r="W51" s="175">
        <f ca="1">H51*1.05</f>
        <v>71.35799999999999</v>
      </c>
      <c r="X51" s="175">
        <f ca="1">W51*0.9</f>
        <v>64.22219999999999</v>
      </c>
      <c r="Y51" s="180">
        <f ca="1">(U51-W51)/U51</f>
        <v>0.28634863486348644</v>
      </c>
      <c r="Z51" s="184" t="e">
        <f ca="1">(V51-W51)/V51</f>
        <v>#DIV/0!</v>
      </c>
      <c r="AB51" s="4"/>
      <c r="AC51" s="4"/>
      <c r="AD51" s="4"/>
      <c r="AE51" s="4"/>
      <c r="AF51" s="4"/>
      <c r="AG51" s="4"/>
      <c r="AH51" s="4"/>
      <c r="AI51" s="4"/>
      <c r="AJ51" s="4"/>
    </row>
    <row r="52" spans="2:36" s="15" customFormat="1">
      <c r="B52" s="33" t="s">
        <v>125</v>
      </c>
      <c r="C52" s="34" t="s">
        <v>126</v>
      </c>
      <c r="D52" s="33" t="s">
        <v>127</v>
      </c>
      <c r="E52" s="33">
        <v>1</v>
      </c>
      <c r="F52" s="49">
        <v>45</v>
      </c>
      <c r="G52" s="28">
        <f ca="1">H52*0.9</f>
        <v>55.080000000000005</v>
      </c>
      <c r="H52" s="36">
        <v>61.2</v>
      </c>
      <c r="I52" s="36">
        <v>89.99</v>
      </c>
      <c r="J52" s="41">
        <v>84.99</v>
      </c>
      <c r="K52" s="213"/>
      <c r="L52" s="29">
        <f ca="1">(J52/I52)-1</f>
        <v>-0.05556172908100898</v>
      </c>
      <c r="M52" s="50">
        <v>78.99</v>
      </c>
      <c r="N52" s="31">
        <f ca="1">M52*0.78</f>
        <v>61.6122</v>
      </c>
      <c r="O52" s="31">
        <f ca="1">N52/0.7</f>
        <v>88.01742857142858</v>
      </c>
      <c r="P52" s="31">
        <f ca="1">N52*0.9</f>
        <v>55.45098</v>
      </c>
      <c r="R52" s="174">
        <v>22.95</v>
      </c>
      <c r="S52" s="174"/>
      <c r="T52" s="176">
        <f ca="1">(W52-R52)/W52</f>
        <v>0.6428571428571428</v>
      </c>
      <c r="U52" s="175">
        <f ca="1">I52</f>
        <v>89.99</v>
      </c>
      <c r="V52" s="175"/>
      <c r="W52" s="175">
        <f ca="1">H52*1.05</f>
        <v>64.26</v>
      </c>
      <c r="X52" s="175">
        <f ca="1">W52*0.9</f>
        <v>57.834</v>
      </c>
      <c r="Y52" s="180">
        <f ca="1">(U52-W52)/U52</f>
        <v>0.28592065785087223</v>
      </c>
      <c r="Z52" s="184" t="e">
        <f ca="1">(V52-W52)/V52</f>
        <v>#DIV/0!</v>
      </c>
      <c r="AB52" s="4"/>
      <c r="AC52" s="4"/>
      <c r="AD52" s="4"/>
      <c r="AE52" s="4"/>
      <c r="AF52" s="4"/>
      <c r="AG52" s="4"/>
      <c r="AH52" s="4"/>
      <c r="AI52" s="4"/>
      <c r="AJ52" s="4"/>
    </row>
    <row r="53" spans="2:36" s="15" customFormat="1">
      <c r="B53" s="33" t="s">
        <v>128</v>
      </c>
      <c r="C53" s="34" t="s">
        <v>129</v>
      </c>
      <c r="D53" s="33" t="s">
        <v>130</v>
      </c>
      <c r="E53" s="33">
        <v>1</v>
      </c>
      <c r="F53" s="49">
        <v>32</v>
      </c>
      <c r="G53" s="28">
        <f ca="1">H53*0.9</f>
        <v>35.730000000000004</v>
      </c>
      <c r="H53" s="36">
        <v>39.7</v>
      </c>
      <c r="I53" s="36">
        <v>69.99</v>
      </c>
      <c r="J53" s="41">
        <v>46.99</v>
      </c>
      <c r="K53" s="213"/>
      <c r="L53" s="29">
        <f ca="1">(J53/I53)-1</f>
        <v>-0.3286183740534361</v>
      </c>
      <c r="M53" s="50">
        <v>50.99</v>
      </c>
      <c r="N53" s="31">
        <f ca="1">M53*0.78</f>
        <v>39.772200000000005</v>
      </c>
      <c r="O53" s="31">
        <f ca="1">N53/0.7</f>
        <v>56.817428571428586</v>
      </c>
      <c r="P53" s="31">
        <f ca="1">N53*0.9</f>
        <v>35.79498</v>
      </c>
      <c r="R53" s="174">
        <v>10.837</v>
      </c>
      <c r="S53" s="174"/>
      <c r="T53" s="176">
        <f ca="1">(W53-R53)/W53</f>
        <v>0.7400263883891088</v>
      </c>
      <c r="U53" s="175">
        <f ca="1">I53</f>
        <v>69.99</v>
      </c>
      <c r="V53" s="175"/>
      <c r="W53" s="175">
        <f ca="1">H53*1.05</f>
        <v>41.685</v>
      </c>
      <c r="X53" s="175">
        <f ca="1">W53*0.9</f>
        <v>37.5165</v>
      </c>
      <c r="Y53" s="176">
        <f ca="1">(U53-W53)/U53</f>
        <v>0.40441491641663085</v>
      </c>
      <c r="Z53" s="184" t="e">
        <f ca="1">(V53-W53)/V53</f>
        <v>#DIV/0!</v>
      </c>
      <c r="AB53" s="4"/>
      <c r="AC53" s="4"/>
      <c r="AD53" s="4"/>
      <c r="AE53" s="4"/>
      <c r="AF53" s="4"/>
      <c r="AG53" s="4"/>
      <c r="AH53" s="4"/>
      <c r="AI53" s="4"/>
      <c r="AJ53" s="4"/>
    </row>
    <row r="54" spans="2:36" s="15" customFormat="1">
      <c r="B54" s="33" t="s">
        <v>131</v>
      </c>
      <c r="C54" s="34" t="s">
        <v>132</v>
      </c>
      <c r="D54" s="33" t="s">
        <v>133</v>
      </c>
      <c r="E54" s="33">
        <v>1</v>
      </c>
      <c r="F54" s="49">
        <v>50</v>
      </c>
      <c r="G54" s="28">
        <f ca="1">H54*0.9</f>
        <v>31.157999999999998</v>
      </c>
      <c r="H54" s="36">
        <v>34.62</v>
      </c>
      <c r="I54" s="36">
        <v>64.99</v>
      </c>
      <c r="J54" s="41">
        <v>43.99</v>
      </c>
      <c r="K54" s="213"/>
      <c r="L54" s="29">
        <f ca="1">(J54/I54)-1</f>
        <v>-0.3231266348669025</v>
      </c>
      <c r="M54" s="50">
        <v>43.99</v>
      </c>
      <c r="N54" s="31">
        <f ca="1">M54*0.78</f>
        <v>34.312200000000004</v>
      </c>
      <c r="O54" s="31">
        <f ca="1">N54/0.7</f>
        <v>49.01742857142858</v>
      </c>
      <c r="P54" s="31">
        <f ca="1">N54*0.9</f>
        <v>30.880980000000005</v>
      </c>
      <c r="R54" s="174">
        <v>8.887</v>
      </c>
      <c r="S54" s="174"/>
      <c r="T54" s="176">
        <f ca="1">(W54-R54)/W54</f>
        <v>0.7555225440840692</v>
      </c>
      <c r="U54" s="175">
        <f ca="1">I54</f>
        <v>64.99</v>
      </c>
      <c r="V54" s="175"/>
      <c r="W54" s="175">
        <f ca="1">H54*1.05</f>
        <v>36.351</v>
      </c>
      <c r="X54" s="175">
        <f ca="1">W54*0.9</f>
        <v>32.7159</v>
      </c>
      <c r="Y54" s="191">
        <f ca="1">(U54-W54)/U54</f>
        <v>0.44066779504539155</v>
      </c>
      <c r="Z54" s="184" t="e">
        <f ca="1">(V54-W54)/V54</f>
        <v>#DIV/0!</v>
      </c>
      <c r="AB54" s="4"/>
      <c r="AC54" s="4"/>
      <c r="AD54" s="4"/>
      <c r="AE54" s="4"/>
      <c r="AF54" s="4"/>
      <c r="AG54" s="4"/>
      <c r="AH54" s="4"/>
      <c r="AI54" s="4"/>
      <c r="AJ54" s="4"/>
    </row>
    <row r="55" spans="2:36" s="15" customFormat="1">
      <c r="B55" s="33" t="s">
        <v>134</v>
      </c>
      <c r="C55" s="34" t="s">
        <v>135</v>
      </c>
      <c r="D55" s="33" t="s">
        <v>136</v>
      </c>
      <c r="E55" s="33">
        <v>1</v>
      </c>
      <c r="F55" s="33">
        <v>32</v>
      </c>
      <c r="G55" s="28">
        <f ca="1">H55*0.9</f>
        <v>40.923</v>
      </c>
      <c r="H55" s="36">
        <v>45.47</v>
      </c>
      <c r="I55" s="36">
        <v>119.99</v>
      </c>
      <c r="J55" s="41">
        <v>70.99</v>
      </c>
      <c r="K55" s="213"/>
      <c r="L55" s="29">
        <f ca="1">(J55/I55)-1</f>
        <v>-0.4083673639469956</v>
      </c>
      <c r="M55" s="50">
        <v>59.99</v>
      </c>
      <c r="N55" s="31">
        <f ca="1">M55*0.78</f>
        <v>46.7922</v>
      </c>
      <c r="O55" s="31">
        <f ca="1">N55/0.7</f>
        <v>66.846</v>
      </c>
      <c r="P55" s="31">
        <f ca="1">N55*0.9</f>
        <v>42.11298</v>
      </c>
      <c r="R55" s="174">
        <v>10.407</v>
      </c>
      <c r="S55" s="174"/>
      <c r="T55" s="176">
        <f ca="1">(W55-R55)/W55</f>
        <v>0.7820226837161081</v>
      </c>
      <c r="U55" s="175">
        <f ca="1">I55</f>
        <v>119.99</v>
      </c>
      <c r="V55" s="175"/>
      <c r="W55" s="175">
        <f ca="1">H55*1.05</f>
        <v>47.7435</v>
      </c>
      <c r="X55" s="175">
        <f ca="1">W55*0.9</f>
        <v>42.96915</v>
      </c>
      <c r="Y55" s="191">
        <f ca="1">(U55-W55)/U55</f>
        <v>0.6021043420285024</v>
      </c>
      <c r="Z55" s="184" t="e">
        <f ca="1">(V55-W55)/V55</f>
        <v>#DIV/0!</v>
      </c>
      <c r="AB55" s="4"/>
      <c r="AC55" s="4"/>
      <c r="AD55" s="4"/>
      <c r="AE55" s="4"/>
      <c r="AF55" s="4"/>
      <c r="AG55" s="4"/>
      <c r="AH55" s="4"/>
      <c r="AI55" s="4"/>
      <c r="AJ55" s="4"/>
    </row>
    <row r="56" spans="2:36" s="15" customFormat="1">
      <c r="B56" s="33" t="s">
        <v>137</v>
      </c>
      <c r="C56" s="34" t="s">
        <v>138</v>
      </c>
      <c r="D56" s="33" t="s">
        <v>139</v>
      </c>
      <c r="E56" s="33">
        <v>1</v>
      </c>
      <c r="F56" s="33">
        <v>50</v>
      </c>
      <c r="G56" s="28">
        <f ca="1">H56*0.9</f>
        <v>38.322</v>
      </c>
      <c r="H56" s="36">
        <v>42.58</v>
      </c>
      <c r="I56" s="36">
        <v>99.99</v>
      </c>
      <c r="J56" s="41">
        <v>65.99</v>
      </c>
      <c r="K56" s="213"/>
      <c r="L56" s="29">
        <f ca="1">(J56/I56)-1</f>
        <v>-0.34003400340034007</v>
      </c>
      <c r="M56" s="50">
        <v>54.99</v>
      </c>
      <c r="N56" s="31">
        <f ca="1">M56*0.78</f>
        <v>42.8922</v>
      </c>
      <c r="O56" s="31">
        <f ca="1">N56/0.7</f>
        <v>61.274571428571434</v>
      </c>
      <c r="P56" s="31">
        <f ca="1">N56*0.9</f>
        <v>38.60298</v>
      </c>
      <c r="R56" s="174">
        <v>8.845</v>
      </c>
      <c r="S56" s="174"/>
      <c r="T56" s="176">
        <f ca="1">(W56-R56)/W56</f>
        <v>0.8021651121698092</v>
      </c>
      <c r="U56" s="175">
        <f ca="1">I56</f>
        <v>99.99</v>
      </c>
      <c r="V56" s="175"/>
      <c r="W56" s="175">
        <f ca="1">H56*1.05</f>
        <v>44.709</v>
      </c>
      <c r="X56" s="175">
        <f ca="1">W56*0.9</f>
        <v>40.2381</v>
      </c>
      <c r="Y56" s="191">
        <f ca="1">(U56-W56)/U56</f>
        <v>0.5528652865286529</v>
      </c>
      <c r="Z56" s="184" t="e">
        <f ca="1">(V56-W56)/V56</f>
        <v>#DIV/0!</v>
      </c>
      <c r="AB56" s="4"/>
      <c r="AC56" s="4"/>
      <c r="AD56" s="4"/>
      <c r="AE56" s="4"/>
      <c r="AF56" s="4"/>
      <c r="AG56" s="4"/>
      <c r="AH56" s="4"/>
      <c r="AI56" s="4"/>
      <c r="AJ56" s="4"/>
    </row>
    <row r="57" spans="2:36" s="15" customFormat="1">
      <c r="B57" s="33" t="s">
        <v>140</v>
      </c>
      <c r="C57" s="34" t="s">
        <v>141</v>
      </c>
      <c r="D57" s="33" t="s">
        <v>142</v>
      </c>
      <c r="E57" s="33">
        <v>1</v>
      </c>
      <c r="F57" s="33">
        <v>62</v>
      </c>
      <c r="G57" s="28">
        <f ca="1">H57*0.9</f>
        <v>35.685</v>
      </c>
      <c r="H57" s="36">
        <v>39.65</v>
      </c>
      <c r="I57" s="36">
        <v>59.99</v>
      </c>
      <c r="J57" s="41">
        <v>52.99</v>
      </c>
      <c r="K57" s="213"/>
      <c r="L57" s="29">
        <f ca="1">(J57/I57)-1</f>
        <v>-0.11668611435239207</v>
      </c>
      <c r="M57" s="50">
        <v>50.99</v>
      </c>
      <c r="N57" s="31">
        <f ca="1">M57*0.78</f>
        <v>39.772200000000005</v>
      </c>
      <c r="O57" s="31">
        <f ca="1">N57/0.7</f>
        <v>56.817428571428586</v>
      </c>
      <c r="P57" s="31">
        <f ca="1">N57*0.9</f>
        <v>35.79498</v>
      </c>
      <c r="R57" s="174">
        <v>7.853</v>
      </c>
      <c r="S57" s="174"/>
      <c r="T57" s="176">
        <f ca="1">(W57-R57)/W57</f>
        <v>0.8113733261274244</v>
      </c>
      <c r="U57" s="175">
        <f ca="1">I57</f>
        <v>59.99</v>
      </c>
      <c r="V57" s="175"/>
      <c r="W57" s="175">
        <f ca="1">H57*1.05</f>
        <v>41.6325</v>
      </c>
      <c r="X57" s="175">
        <f ca="1">W57*0.9</f>
        <v>37.46925</v>
      </c>
      <c r="Y57" s="176">
        <f ca="1">(U57-W57)/U57</f>
        <v>0.3060093348891482</v>
      </c>
      <c r="Z57" s="184" t="e">
        <f ca="1">(V57-W57)/V57</f>
        <v>#DIV/0!</v>
      </c>
      <c r="AB57" s="4"/>
      <c r="AC57" s="4"/>
      <c r="AD57" s="4"/>
      <c r="AE57" s="4"/>
      <c r="AF57" s="4"/>
      <c r="AG57" s="4"/>
      <c r="AH57" s="4"/>
      <c r="AI57" s="4"/>
      <c r="AJ57" s="4"/>
    </row>
    <row r="58" spans="2:36" s="15" customFormat="1">
      <c r="B58" s="33" t="s">
        <v>143</v>
      </c>
      <c r="C58" s="34" t="s">
        <v>144</v>
      </c>
      <c r="D58" s="33" t="s">
        <v>145</v>
      </c>
      <c r="E58" s="33">
        <v>1</v>
      </c>
      <c r="F58" s="33">
        <v>32</v>
      </c>
      <c r="G58" s="28">
        <f ca="1">H58*0.9</f>
        <v>76.00500000000001</v>
      </c>
      <c r="H58" s="36">
        <v>84.45</v>
      </c>
      <c r="I58" s="36">
        <v>149.99</v>
      </c>
      <c r="J58" s="41">
        <v>123.99</v>
      </c>
      <c r="K58" s="213"/>
      <c r="L58" s="29">
        <f ca="1">(J58/I58)-1</f>
        <v>-0.17334488965931072</v>
      </c>
      <c r="M58" s="50">
        <v>109.99</v>
      </c>
      <c r="N58" s="31">
        <f ca="1">M58*0.78</f>
        <v>85.7922</v>
      </c>
      <c r="O58" s="31">
        <f ca="1">N58/0.7</f>
        <v>122.56028571428571</v>
      </c>
      <c r="P58" s="31">
        <f ca="1">N58*0.9</f>
        <v>77.21298</v>
      </c>
      <c r="R58" s="178">
        <v>0</v>
      </c>
      <c r="S58" s="178"/>
      <c r="T58" s="180">
        <f ca="1">(W58-R58)/W58</f>
        <v>1</v>
      </c>
      <c r="U58" s="179">
        <f ca="1">I58</f>
        <v>149.99</v>
      </c>
      <c r="V58" s="179"/>
      <c r="W58" s="179">
        <f ca="1">H58*1.05</f>
        <v>88.67250000000001</v>
      </c>
      <c r="X58" s="179">
        <f ca="1">W58*0.9</f>
        <v>79.80525000000002</v>
      </c>
      <c r="Y58" s="180">
        <f ca="1">(U58-W58)/U58</f>
        <v>0.40881058737249143</v>
      </c>
      <c r="Z58" s="184" t="e">
        <f ca="1">(V58-W58)/V58</f>
        <v>#DIV/0!</v>
      </c>
      <c r="AB58" s="4"/>
      <c r="AC58" s="4"/>
      <c r="AD58" s="4"/>
      <c r="AE58" s="4"/>
      <c r="AF58" s="4"/>
      <c r="AG58" s="4"/>
      <c r="AH58" s="4"/>
      <c r="AI58" s="4"/>
      <c r="AJ58" s="4"/>
    </row>
    <row r="59" spans="2:36" s="15" customFormat="1">
      <c r="B59" s="33" t="s">
        <v>146</v>
      </c>
      <c r="C59" s="34" t="s">
        <v>147</v>
      </c>
      <c r="D59" s="33" t="s">
        <v>148</v>
      </c>
      <c r="E59" s="33">
        <v>1</v>
      </c>
      <c r="F59" s="33">
        <v>50</v>
      </c>
      <c r="G59" s="28">
        <f ca="1">H59*0.9</f>
        <v>68.36399999999999</v>
      </c>
      <c r="H59" s="36">
        <v>75.96</v>
      </c>
      <c r="I59" s="36">
        <v>129.99</v>
      </c>
      <c r="J59" s="41">
        <v>109.99</v>
      </c>
      <c r="K59" s="213"/>
      <c r="L59" s="29">
        <f ca="1">(J59/I59)-1</f>
        <v>-0.15385798907608284</v>
      </c>
      <c r="M59" s="50">
        <v>99.99</v>
      </c>
      <c r="N59" s="31">
        <f ca="1">M59*0.78</f>
        <v>77.9922</v>
      </c>
      <c r="O59" s="31">
        <f ca="1">N59/0.7</f>
        <v>111.41742857142857</v>
      </c>
      <c r="P59" s="31">
        <f ca="1">N59*0.9</f>
        <v>70.19298</v>
      </c>
      <c r="R59" s="174">
        <v>11.934</v>
      </c>
      <c r="S59" s="174"/>
      <c r="T59" s="176">
        <f ca="1">(W59-R59)/W59</f>
        <v>0.8503723764387272</v>
      </c>
      <c r="U59" s="175">
        <f ca="1">I59</f>
        <v>129.99</v>
      </c>
      <c r="V59" s="175"/>
      <c r="W59" s="175">
        <f ca="1">H59*1.05</f>
        <v>79.758</v>
      </c>
      <c r="X59" s="175">
        <f ca="1">W59*0.9</f>
        <v>71.7822</v>
      </c>
      <c r="Y59" s="176">
        <f ca="1">(U59-W59)/U59</f>
        <v>0.3864297253634896</v>
      </c>
      <c r="Z59" s="184" t="e">
        <f ca="1">(V59-W59)/V59</f>
        <v>#DIV/0!</v>
      </c>
      <c r="AB59" s="4"/>
      <c r="AC59" s="4"/>
      <c r="AD59" s="4"/>
      <c r="AE59" s="4"/>
      <c r="AF59" s="4"/>
      <c r="AG59" s="4"/>
      <c r="AH59" s="4"/>
      <c r="AI59" s="4"/>
      <c r="AJ59" s="4"/>
    </row>
    <row r="60" spans="2:36" s="15" customFormat="1">
      <c r="B60" s="52" t="s">
        <v>149</v>
      </c>
      <c r="C60" s="53" t="s">
        <v>150</v>
      </c>
      <c r="D60" s="52" t="s">
        <v>151</v>
      </c>
      <c r="E60" s="52">
        <v>1</v>
      </c>
      <c r="F60" s="52">
        <v>62</v>
      </c>
      <c r="G60" s="28">
        <f ca="1">H60*0.9</f>
        <v>62.721</v>
      </c>
      <c r="H60" s="54">
        <v>69.69</v>
      </c>
      <c r="I60" s="54">
        <v>109.99</v>
      </c>
      <c r="J60" s="182">
        <v>93.99</v>
      </c>
      <c r="K60" s="213"/>
      <c r="L60" s="29">
        <f ca="1">(J60/I60)-1</f>
        <v>-0.1454677697972543</v>
      </c>
      <c r="M60" s="50">
        <v>89.99</v>
      </c>
      <c r="N60" s="31">
        <f ca="1">M60*0.78</f>
        <v>70.1922</v>
      </c>
      <c r="O60" s="31">
        <f ca="1">N60/0.7</f>
        <v>100.27457142857143</v>
      </c>
      <c r="P60" s="31">
        <f ca="1">N60*0.9</f>
        <v>63.17298</v>
      </c>
      <c r="R60" s="174">
        <v>11.588</v>
      </c>
      <c r="S60" s="174"/>
      <c r="T60" s="176">
        <f ca="1">(W60-R60)/W60</f>
        <v>0.8416388222673199</v>
      </c>
      <c r="U60" s="175">
        <f ca="1">I60</f>
        <v>109.99</v>
      </c>
      <c r="V60" s="175"/>
      <c r="W60" s="175">
        <f ca="1">H60*1.05</f>
        <v>73.1745</v>
      </c>
      <c r="X60" s="175">
        <f ca="1">W60*0.9</f>
        <v>65.85705</v>
      </c>
      <c r="Y60" s="176">
        <f ca="1">(U60-W60)/U60</f>
        <v>0.334716792435676</v>
      </c>
      <c r="Z60" s="184" t="e">
        <f ca="1">(V60-W60)/V60</f>
        <v>#DIV/0!</v>
      </c>
      <c r="AB60" s="4"/>
      <c r="AC60" s="4"/>
      <c r="AD60" s="4"/>
      <c r="AE60" s="4"/>
      <c r="AF60" s="4"/>
      <c r="AG60" s="4"/>
      <c r="AH60" s="4"/>
      <c r="AI60" s="4"/>
      <c r="AJ60" s="4"/>
    </row>
    <row r="61" spans="2:36" s="15" customFormat="1">
      <c r="B61" s="55"/>
      <c r="C61" s="56"/>
      <c r="D61" s="57"/>
      <c r="E61" s="57"/>
      <c r="F61" s="57"/>
      <c r="G61" s="58"/>
      <c r="H61" s="58"/>
      <c r="I61" s="59"/>
      <c r="J61" s="59"/>
      <c r="K61" s="118"/>
      <c r="L61" s="14"/>
      <c r="M61" s="197"/>
      <c r="N61" s="31"/>
      <c r="O61" s="31"/>
      <c r="P61" s="31"/>
      <c r="R61" s="174"/>
      <c r="S61" s="174"/>
      <c r="T61" s="4"/>
      <c r="U61" s="175"/>
      <c r="V61" s="175"/>
      <c r="W61" s="175"/>
      <c r="X61" s="175"/>
      <c r="Y61" s="176"/>
      <c r="Z61" s="184"/>
      <c r="AB61" s="4"/>
      <c r="AC61" s="4"/>
      <c r="AD61" s="4"/>
      <c r="AE61" s="4"/>
      <c r="AF61" s="4"/>
      <c r="AG61" s="4"/>
      <c r="AH61" s="4"/>
      <c r="AI61" s="4"/>
      <c r="AJ61" s="4"/>
    </row>
    <row r="62" spans="2:36" s="15" customFormat="1" customHeight="1">
      <c r="B62" s="20" t="s">
        <v>152</v>
      </c>
      <c r="C62" s="309"/>
      <c r="D62" s="21"/>
      <c r="E62" s="21"/>
      <c r="F62" s="21"/>
      <c r="G62" s="22"/>
      <c r="H62" s="22"/>
      <c r="I62" s="47"/>
      <c r="J62" s="47"/>
      <c r="K62" s="212"/>
      <c r="L62" s="14"/>
      <c r="M62" s="197"/>
      <c r="N62" s="31"/>
      <c r="O62" s="31"/>
      <c r="P62" s="31"/>
      <c r="R62" s="174"/>
      <c r="S62" s="174"/>
      <c r="T62" s="4"/>
      <c r="U62" s="175"/>
      <c r="V62" s="175"/>
      <c r="W62" s="175"/>
      <c r="X62" s="175"/>
      <c r="Y62" s="176"/>
      <c r="Z62" s="184"/>
      <c r="AB62" s="4"/>
      <c r="AC62" s="4"/>
      <c r="AD62" s="4"/>
      <c r="AE62" s="4"/>
      <c r="AF62" s="4"/>
      <c r="AG62" s="4"/>
      <c r="AH62" s="4"/>
      <c r="AI62" s="4"/>
      <c r="AJ62" s="4"/>
    </row>
    <row r="63" spans="2:36" s="15" customFormat="1">
      <c r="B63" s="60">
        <v>25022</v>
      </c>
      <c r="C63" s="61" t="s">
        <v>153</v>
      </c>
      <c r="D63" s="60" t="s">
        <v>154</v>
      </c>
      <c r="E63" s="60">
        <v>1</v>
      </c>
      <c r="F63" s="60">
        <v>50</v>
      </c>
      <c r="G63" s="28">
        <f ca="1">H63*0.9</f>
        <v>30.519</v>
      </c>
      <c r="H63" s="62">
        <v>33.91</v>
      </c>
      <c r="I63" s="62">
        <v>39.99</v>
      </c>
      <c r="J63" s="62">
        <v>35.99</v>
      </c>
      <c r="K63" s="213"/>
      <c r="L63" s="29">
        <f ca="1">(J63/I63)-1</f>
        <v>-0.10002500625156285</v>
      </c>
      <c r="M63" s="50">
        <v>42.99</v>
      </c>
      <c r="N63" s="31">
        <f ca="1">M63*0.78</f>
        <v>33.5322</v>
      </c>
      <c r="O63" s="31">
        <f ca="1">N63/0.7</f>
        <v>47.90314285714287</v>
      </c>
      <c r="P63" s="31">
        <f ca="1">N63*0.9</f>
        <v>30.178980000000003</v>
      </c>
      <c r="R63" s="174">
        <v>9.964</v>
      </c>
      <c r="S63" s="174"/>
      <c r="T63" s="176">
        <f ca="1">(W63-R63)/W63</f>
        <v>0.7201555939391386</v>
      </c>
      <c r="U63" s="175">
        <f ca="1">I63</f>
        <v>39.99</v>
      </c>
      <c r="V63" s="175"/>
      <c r="W63" s="175">
        <f ca="1">H63*1.05</f>
        <v>35.6055</v>
      </c>
      <c r="X63" s="175">
        <f ca="1">W63*0.9</f>
        <v>32.04495</v>
      </c>
      <c r="Y63" s="180">
        <f ca="1">(U63-W63)/U63</f>
        <v>0.10963990997749444</v>
      </c>
      <c r="Z63" s="184" t="e">
        <f ca="1">(V63-W63)/V63</f>
        <v>#DIV/0!</v>
      </c>
      <c r="AB63" s="4"/>
      <c r="AC63" s="4"/>
      <c r="AD63" s="4"/>
      <c r="AE63" s="4"/>
      <c r="AF63" s="4"/>
      <c r="AG63" s="4"/>
      <c r="AH63" s="4"/>
      <c r="AI63" s="4"/>
      <c r="AJ63" s="4"/>
    </row>
    <row r="64" spans="2:36" s="15" customFormat="1">
      <c r="B64" s="39">
        <v>25020</v>
      </c>
      <c r="C64" s="40" t="s">
        <v>155</v>
      </c>
      <c r="D64" s="39" t="s">
        <v>156</v>
      </c>
      <c r="E64" s="39">
        <v>1</v>
      </c>
      <c r="F64" s="39">
        <v>50</v>
      </c>
      <c r="G64" s="28">
        <f ca="1">H64*0.9</f>
        <v>27.765</v>
      </c>
      <c r="H64" s="41">
        <v>30.85</v>
      </c>
      <c r="I64" s="41">
        <v>34.99</v>
      </c>
      <c r="J64" s="41">
        <v>30.99</v>
      </c>
      <c r="K64" s="213"/>
      <c r="L64" s="29">
        <f ca="1">(J64/I64)-1</f>
        <v>-0.1143183766790512</v>
      </c>
      <c r="M64" s="50">
        <v>38.99</v>
      </c>
      <c r="N64" s="31">
        <f ca="1">M64*0.78</f>
        <v>30.412200000000002</v>
      </c>
      <c r="O64" s="31">
        <f ca="1">N64/0.7</f>
        <v>43.446000000000005</v>
      </c>
      <c r="P64" s="31">
        <f ca="1">N64*0.9</f>
        <v>27.370980000000003</v>
      </c>
      <c r="R64" s="174">
        <v>10.227</v>
      </c>
      <c r="S64" s="174"/>
      <c r="T64" s="176">
        <f ca="1">(W64-R64)/W64</f>
        <v>0.6842787682333874</v>
      </c>
      <c r="U64" s="175">
        <f ca="1">I64</f>
        <v>34.99</v>
      </c>
      <c r="V64" s="175"/>
      <c r="W64" s="175">
        <f ca="1">H64*1.05</f>
        <v>32.392500000000005</v>
      </c>
      <c r="X64" s="175">
        <f ca="1">W64*0.9</f>
        <v>29.153250000000007</v>
      </c>
      <c r="Y64" s="180">
        <f ca="1">(U64-W64)/U64</f>
        <v>0.07423549585595875</v>
      </c>
      <c r="Z64" s="184" t="e">
        <f ca="1">(V64-W64)/V64</f>
        <v>#DIV/0!</v>
      </c>
      <c r="AB64" s="4"/>
      <c r="AC64" s="4"/>
      <c r="AD64" s="4"/>
      <c r="AE64" s="4"/>
      <c r="AF64" s="4"/>
      <c r="AG64" s="4"/>
      <c r="AH64" s="4"/>
      <c r="AI64" s="4"/>
      <c r="AJ64" s="4"/>
    </row>
    <row r="65" spans="2:36" s="15" customFormat="1">
      <c r="B65" s="33">
        <v>25012</v>
      </c>
      <c r="C65" s="34" t="s">
        <v>157</v>
      </c>
      <c r="D65" s="33" t="s">
        <v>158</v>
      </c>
      <c r="E65" s="33">
        <v>1</v>
      </c>
      <c r="F65" s="33">
        <v>90</v>
      </c>
      <c r="G65" s="28">
        <f ca="1">H65*0.9</f>
        <v>19.989</v>
      </c>
      <c r="H65" s="36">
        <v>22.21</v>
      </c>
      <c r="I65" s="36">
        <v>29.99</v>
      </c>
      <c r="J65" s="41">
        <v>22.99</v>
      </c>
      <c r="K65" s="213"/>
      <c r="L65" s="29">
        <f ca="1">(J65/I65)-1</f>
        <v>-0.23341113704568195</v>
      </c>
      <c r="M65" s="50">
        <v>28.99</v>
      </c>
      <c r="N65" s="31">
        <f ca="1">M65*0.78</f>
        <v>22.612199999999998</v>
      </c>
      <c r="O65" s="31">
        <f ca="1">N65/0.7</f>
        <v>32.30314285714286</v>
      </c>
      <c r="P65" s="31">
        <f ca="1">N65*0.9</f>
        <v>20.35098</v>
      </c>
      <c r="R65" s="174">
        <v>5.976</v>
      </c>
      <c r="S65" s="174"/>
      <c r="T65" s="176">
        <f ca="1">(W65-R65)/W65</f>
        <v>0.7437447739113656</v>
      </c>
      <c r="U65" s="175">
        <f ca="1">I65</f>
        <v>29.99</v>
      </c>
      <c r="V65" s="175"/>
      <c r="W65" s="175">
        <f ca="1">H65*1.05</f>
        <v>23.320500000000003</v>
      </c>
      <c r="X65" s="175">
        <f ca="1">W65*0.9</f>
        <v>20.988450000000004</v>
      </c>
      <c r="Y65" s="180">
        <f ca="1">(U65-W65)/U65</f>
        <v>0.22239079693231065</v>
      </c>
      <c r="Z65" s="184" t="e">
        <f ca="1">(V65-W65)/V65</f>
        <v>#DIV/0!</v>
      </c>
      <c r="AB65" s="4"/>
      <c r="AC65" s="4"/>
      <c r="AD65" s="4"/>
      <c r="AE65" s="4"/>
      <c r="AF65" s="4"/>
      <c r="AG65" s="4"/>
      <c r="AH65" s="4"/>
      <c r="AI65" s="4"/>
      <c r="AJ65" s="4"/>
    </row>
    <row r="66" spans="2:36" s="15" customFormat="1">
      <c r="B66" s="33">
        <v>25010</v>
      </c>
      <c r="C66" s="34" t="s">
        <v>159</v>
      </c>
      <c r="D66" s="33" t="s">
        <v>160</v>
      </c>
      <c r="E66" s="33">
        <v>1</v>
      </c>
      <c r="F66" s="33">
        <v>90</v>
      </c>
      <c r="G66" s="28">
        <f ca="1">H66*0.9</f>
        <v>13.221</v>
      </c>
      <c r="H66" s="36">
        <v>14.69</v>
      </c>
      <c r="I66" s="36">
        <v>24.99</v>
      </c>
      <c r="J66" s="36">
        <v>24.99</v>
      </c>
      <c r="K66" s="118"/>
      <c r="L66" s="14"/>
      <c r="M66" s="197"/>
      <c r="N66" s="31">
        <f ca="1">M66*0.78</f>
        <v>0</v>
      </c>
      <c r="O66" s="31">
        <f ca="1">N66/0.7</f>
        <v>0</v>
      </c>
      <c r="P66" s="31">
        <f ca="1">N66*0.9</f>
        <v>0</v>
      </c>
      <c r="R66" s="174">
        <v>6.304</v>
      </c>
      <c r="S66" s="174"/>
      <c r="T66" s="176">
        <f ca="1">(W66-R66)/W66</f>
        <v>0.5912995559013258</v>
      </c>
      <c r="U66" s="175">
        <f ca="1">I66</f>
        <v>24.99</v>
      </c>
      <c r="V66" s="175"/>
      <c r="W66" s="175">
        <f ca="1">H66*1.05</f>
        <v>15.4245</v>
      </c>
      <c r="X66" s="175">
        <f ca="1">W66*0.9</f>
        <v>13.88205</v>
      </c>
      <c r="Y66" s="176">
        <f ca="1">(U66-W66)/U66</f>
        <v>0.38277310924369745</v>
      </c>
      <c r="Z66" s="184" t="e">
        <f ca="1">(V66-W66)/V66</f>
        <v>#DIV/0!</v>
      </c>
      <c r="AB66" s="4"/>
      <c r="AC66" s="4"/>
      <c r="AD66" s="4"/>
      <c r="AE66" s="4"/>
      <c r="AF66" s="4"/>
      <c r="AG66" s="4"/>
      <c r="AH66" s="4"/>
      <c r="AI66" s="4"/>
      <c r="AJ66" s="4"/>
    </row>
    <row r="67" spans="2:36" s="15" customFormat="1">
      <c r="B67" s="52"/>
      <c r="C67" s="53"/>
      <c r="D67" s="52"/>
      <c r="E67" s="52"/>
      <c r="F67" s="52"/>
      <c r="G67" s="54"/>
      <c r="H67" s="54"/>
      <c r="I67" s="54"/>
      <c r="J67" s="54"/>
      <c r="K67" s="118"/>
      <c r="L67" s="14"/>
      <c r="M67" s="197"/>
      <c r="N67" s="31"/>
      <c r="O67" s="31"/>
      <c r="P67" s="31"/>
      <c r="R67" s="174"/>
      <c r="S67" s="174"/>
      <c r="T67" s="4"/>
      <c r="U67" s="175"/>
      <c r="V67" s="175"/>
      <c r="W67" s="175"/>
      <c r="X67" s="175"/>
      <c r="Y67" s="176"/>
      <c r="Z67" s="184"/>
      <c r="AB67" s="4"/>
      <c r="AC67" s="4"/>
      <c r="AD67" s="4"/>
      <c r="AE67" s="4"/>
      <c r="AF67" s="4"/>
      <c r="AG67" s="4"/>
      <c r="AH67" s="4"/>
      <c r="AI67" s="4"/>
      <c r="AJ67" s="4"/>
    </row>
    <row r="68" spans="2:36" s="15" customFormat="1" customHeight="1">
      <c r="B68" s="20" t="s">
        <v>161</v>
      </c>
      <c r="C68" s="309"/>
      <c r="D68" s="21"/>
      <c r="E68" s="21"/>
      <c r="F68" s="21"/>
      <c r="G68" s="22"/>
      <c r="H68" s="22"/>
      <c r="I68" s="47"/>
      <c r="J68" s="47"/>
      <c r="K68" s="212"/>
      <c r="L68" s="14"/>
      <c r="M68" s="197"/>
      <c r="N68" s="31"/>
      <c r="O68" s="31"/>
      <c r="P68" s="31"/>
      <c r="R68" s="174"/>
      <c r="S68" s="174"/>
      <c r="T68" s="4"/>
      <c r="U68" s="175"/>
      <c r="V68" s="175"/>
      <c r="W68" s="175"/>
      <c r="X68" s="175"/>
      <c r="Y68" s="176"/>
      <c r="Z68" s="184"/>
      <c r="AB68" s="4"/>
      <c r="AC68" s="4"/>
      <c r="AD68" s="4"/>
      <c r="AE68" s="4"/>
      <c r="AF68" s="4"/>
      <c r="AG68" s="4"/>
      <c r="AH68" s="4"/>
      <c r="AI68" s="4"/>
      <c r="AJ68" s="4"/>
    </row>
    <row r="69" spans="2:36" s="15" customFormat="1">
      <c r="B69" s="25" t="s">
        <v>162</v>
      </c>
      <c r="C69" s="26" t="s">
        <v>163</v>
      </c>
      <c r="D69" s="25" t="s">
        <v>164</v>
      </c>
      <c r="E69" s="25">
        <v>1</v>
      </c>
      <c r="F69" s="48">
        <v>50</v>
      </c>
      <c r="G69" s="28">
        <f ca="1">H69*0.9</f>
        <v>27.513</v>
      </c>
      <c r="H69" s="28">
        <v>30.57</v>
      </c>
      <c r="I69" s="28">
        <v>69.99</v>
      </c>
      <c r="J69" s="28">
        <v>69.99</v>
      </c>
      <c r="K69" s="118"/>
      <c r="L69" s="14"/>
      <c r="M69" s="197"/>
      <c r="N69" s="31">
        <f ca="1">M69*0.78</f>
        <v>0</v>
      </c>
      <c r="O69" s="31">
        <f ca="1">N69/0.7</f>
        <v>0</v>
      </c>
      <c r="P69" s="31">
        <f ca="1">N69*0.9</f>
        <v>0</v>
      </c>
      <c r="R69" s="174">
        <v>13.495</v>
      </c>
      <c r="S69" s="174"/>
      <c r="T69" s="176">
        <f ca="1">(W69-R69)/W69</f>
        <v>0.5795753695655561</v>
      </c>
      <c r="U69" s="175">
        <f ca="1">I69</f>
        <v>69.99</v>
      </c>
      <c r="V69" s="175"/>
      <c r="W69" s="175">
        <f ca="1">H69*1.05</f>
        <v>32.0985</v>
      </c>
      <c r="X69" s="175">
        <f ca="1">W69*0.9</f>
        <v>28.888650000000002</v>
      </c>
      <c r="Y69" s="191">
        <f ca="1">(U69-W69)/U69</f>
        <v>0.5413844834976425</v>
      </c>
      <c r="Z69" s="184" t="e">
        <f ca="1">(V69-W69)/V69</f>
        <v>#DIV/0!</v>
      </c>
      <c r="AB69" s="4"/>
      <c r="AC69" s="4"/>
      <c r="AD69" s="4"/>
      <c r="AE69" s="4"/>
      <c r="AF69" s="4"/>
      <c r="AG69" s="4"/>
      <c r="AH69" s="4"/>
      <c r="AI69" s="4"/>
      <c r="AJ69" s="4"/>
    </row>
    <row r="70" spans="2:36" s="15" customFormat="1">
      <c r="B70" s="33">
        <v>20075</v>
      </c>
      <c r="C70" s="34" t="s">
        <v>165</v>
      </c>
      <c r="D70" s="33" t="s">
        <v>166</v>
      </c>
      <c r="E70" s="33">
        <v>1</v>
      </c>
      <c r="F70" s="49">
        <v>90</v>
      </c>
      <c r="G70" s="36">
        <v>17.91</v>
      </c>
      <c r="H70" s="36">
        <v>19.7</v>
      </c>
      <c r="I70" s="36">
        <v>39.99</v>
      </c>
      <c r="J70" s="36">
        <v>39.99</v>
      </c>
      <c r="K70" s="118"/>
      <c r="L70" s="14"/>
      <c r="M70" s="197"/>
      <c r="N70" s="31">
        <f ca="1">M70*0.78</f>
        <v>0</v>
      </c>
      <c r="O70" s="31">
        <f ca="1">N70/0.7</f>
        <v>0</v>
      </c>
      <c r="P70" s="31">
        <f ca="1">N70*0.9</f>
        <v>0</v>
      </c>
      <c r="R70" s="174">
        <v>4.988</v>
      </c>
      <c r="S70" s="174"/>
      <c r="T70" s="176">
        <f ca="1">(W70-R70)/W70</f>
        <v>0.7588590766255741</v>
      </c>
      <c r="U70" s="175">
        <f ca="1">I70</f>
        <v>39.99</v>
      </c>
      <c r="V70" s="175"/>
      <c r="W70" s="175">
        <f ca="1">H70*1.05</f>
        <v>20.685</v>
      </c>
      <c r="X70" s="175">
        <f ca="1">W70*0.9</f>
        <v>18.6165</v>
      </c>
      <c r="Y70" s="191">
        <f ca="1">(U70-W70)/U70</f>
        <v>0.4827456864216055</v>
      </c>
      <c r="Z70" s="184" t="e">
        <f ca="1">(V70-W70)/V70</f>
        <v>#DIV/0!</v>
      </c>
      <c r="AB70" s="4"/>
      <c r="AC70" s="4"/>
      <c r="AD70" s="4"/>
      <c r="AE70" s="4"/>
      <c r="AF70" s="4"/>
      <c r="AG70" s="4"/>
      <c r="AH70" s="4"/>
      <c r="AI70" s="4"/>
      <c r="AJ70" s="4"/>
    </row>
    <row r="71" spans="2:36" s="15" customFormat="1">
      <c r="B71" s="33" t="s">
        <v>167</v>
      </c>
      <c r="C71" s="34" t="s">
        <v>168</v>
      </c>
      <c r="D71" s="33" t="s">
        <v>169</v>
      </c>
      <c r="E71" s="33">
        <v>1</v>
      </c>
      <c r="F71" s="49">
        <v>62</v>
      </c>
      <c r="G71" s="36">
        <v>34.23</v>
      </c>
      <c r="H71" s="36">
        <v>37.65</v>
      </c>
      <c r="I71" s="36">
        <v>59.99</v>
      </c>
      <c r="J71" s="41">
        <v>53.99</v>
      </c>
      <c r="K71" s="213"/>
      <c r="L71" s="29">
        <f ca="1">(J71/I71)-1</f>
        <v>-0.1000166694449075</v>
      </c>
      <c r="M71" s="198">
        <v>47.99</v>
      </c>
      <c r="N71" s="31">
        <f ca="1">M71*0.78</f>
        <v>37.4322</v>
      </c>
      <c r="O71" s="31">
        <f ca="1">N71/0.7</f>
        <v>53.47457142857144</v>
      </c>
      <c r="P71" s="31">
        <f ca="1">N71*0.9</f>
        <v>33.68898</v>
      </c>
      <c r="R71" s="174">
        <v>10.322</v>
      </c>
      <c r="S71" s="174"/>
      <c r="T71" s="176">
        <f ca="1">(W71-R71)/W71</f>
        <v>0.7388983747549485</v>
      </c>
      <c r="U71" s="175">
        <f ca="1">I71</f>
        <v>59.99</v>
      </c>
      <c r="V71" s="175"/>
      <c r="W71" s="175">
        <f ca="1">H71*1.05</f>
        <v>39.5325</v>
      </c>
      <c r="X71" s="175">
        <f ca="1">W71*0.9</f>
        <v>35.57925</v>
      </c>
      <c r="Y71" s="176">
        <f ca="1">(U71-W71)/U71</f>
        <v>0.34101516919486585</v>
      </c>
      <c r="Z71" s="184" t="e">
        <f ca="1">(V71-W71)/V71</f>
        <v>#DIV/0!</v>
      </c>
      <c r="AB71" s="4"/>
      <c r="AC71" s="4"/>
      <c r="AD71" s="4"/>
      <c r="AE71" s="4"/>
      <c r="AF71" s="4"/>
      <c r="AG71" s="4"/>
      <c r="AH71" s="4"/>
      <c r="AI71" s="4"/>
      <c r="AJ71" s="4"/>
    </row>
    <row r="72" spans="2:36" s="15" customFormat="1">
      <c r="B72" s="33">
        <v>2014</v>
      </c>
      <c r="C72" s="34" t="s">
        <v>170</v>
      </c>
      <c r="D72" s="33" t="s">
        <v>171</v>
      </c>
      <c r="E72" s="33">
        <v>1</v>
      </c>
      <c r="F72" s="49">
        <v>75</v>
      </c>
      <c r="G72" s="36">
        <v>16.92</v>
      </c>
      <c r="H72" s="36">
        <v>18.62</v>
      </c>
      <c r="I72" s="36">
        <v>39.99</v>
      </c>
      <c r="J72" s="41">
        <v>21.99</v>
      </c>
      <c r="K72" s="213"/>
      <c r="L72" s="29">
        <f ca="1">(J72/I72)-1</f>
        <v>-0.45011252813203306</v>
      </c>
      <c r="M72" s="198">
        <v>23.99</v>
      </c>
      <c r="N72" s="31">
        <f ca="1">M72*0.78</f>
        <v>18.7122</v>
      </c>
      <c r="O72" s="31">
        <f ca="1">N72/0.7</f>
        <v>26.731714285714286</v>
      </c>
      <c r="P72" s="31">
        <f ca="1">N72*0.9</f>
        <v>16.84098</v>
      </c>
      <c r="R72" s="174">
        <v>8.784</v>
      </c>
      <c r="S72" s="174"/>
      <c r="T72" s="176">
        <f ca="1">(W72-R72)/W72</f>
        <v>0.5507135184901029</v>
      </c>
      <c r="U72" s="175">
        <f ca="1">I72</f>
        <v>39.99</v>
      </c>
      <c r="V72" s="175"/>
      <c r="W72" s="175">
        <f ca="1">H72*1.05</f>
        <v>19.551000000000002</v>
      </c>
      <c r="X72" s="175">
        <f ca="1">W72*0.9</f>
        <v>17.595900000000004</v>
      </c>
      <c r="Y72" s="191">
        <f ca="1">(U72-W72)/U72</f>
        <v>0.5111027756939235</v>
      </c>
      <c r="Z72" s="184" t="e">
        <f ca="1">(V72-W72)/V72</f>
        <v>#DIV/0!</v>
      </c>
      <c r="AB72" s="4"/>
      <c r="AC72" s="4"/>
      <c r="AD72" s="4"/>
      <c r="AE72" s="4"/>
      <c r="AF72" s="4"/>
      <c r="AG72" s="4"/>
      <c r="AH72" s="4"/>
      <c r="AI72" s="4"/>
      <c r="AJ72" s="4"/>
    </row>
    <row r="73" spans="2:36" s="15" customFormat="1">
      <c r="B73" s="33">
        <v>41330</v>
      </c>
      <c r="C73" s="34" t="s">
        <v>172</v>
      </c>
      <c r="D73" s="33" t="s">
        <v>173</v>
      </c>
      <c r="E73" s="33">
        <v>1</v>
      </c>
      <c r="F73" s="49">
        <v>32</v>
      </c>
      <c r="G73" s="36">
        <v>61.43</v>
      </c>
      <c r="H73" s="36">
        <v>67.58</v>
      </c>
      <c r="I73" s="36">
        <v>139.99</v>
      </c>
      <c r="J73" s="41">
        <v>60.99</v>
      </c>
      <c r="K73" s="213"/>
      <c r="L73" s="29">
        <f ca="1">(J73/I73)-1</f>
        <v>-0.5643260232873777</v>
      </c>
      <c r="M73" s="198">
        <v>86.99</v>
      </c>
      <c r="N73" s="31">
        <f ca="1">M73*0.78</f>
        <v>67.8522</v>
      </c>
      <c r="O73" s="31">
        <f ca="1">N73/0.7</f>
        <v>96.93171428571429</v>
      </c>
      <c r="P73" s="31">
        <f ca="1">N73*0.9</f>
        <v>61.06698</v>
      </c>
      <c r="R73" s="174">
        <v>18.901</v>
      </c>
      <c r="S73" s="174"/>
      <c r="T73" s="176">
        <f ca="1">(W73-R73)/W73</f>
        <v>0.7336349159373724</v>
      </c>
      <c r="U73" s="175">
        <f ca="1">I73</f>
        <v>139.99</v>
      </c>
      <c r="V73" s="175"/>
      <c r="W73" s="175">
        <f ca="1">H73*1.05</f>
        <v>70.959</v>
      </c>
      <c r="X73" s="175">
        <f ca="1">W73*0.9</f>
        <v>63.8631</v>
      </c>
      <c r="Y73" s="191">
        <f ca="1">(U73-W73)/U73</f>
        <v>0.4931137938424173</v>
      </c>
      <c r="Z73" s="184" t="e">
        <f ca="1">(V73-W73)/V73</f>
        <v>#DIV/0!</v>
      </c>
      <c r="AB73" s="4"/>
      <c r="AC73" s="4"/>
      <c r="AD73" s="4"/>
      <c r="AE73" s="4"/>
      <c r="AF73" s="4"/>
      <c r="AG73" s="4"/>
      <c r="AH73" s="4"/>
      <c r="AI73" s="4"/>
      <c r="AJ73" s="4"/>
    </row>
    <row r="74" spans="2:36" s="15" customFormat="1">
      <c r="B74" s="33">
        <v>26029</v>
      </c>
      <c r="C74" s="34" t="s">
        <v>174</v>
      </c>
      <c r="D74" s="37" t="s">
        <v>175</v>
      </c>
      <c r="E74" s="37">
        <v>1</v>
      </c>
      <c r="F74" s="37">
        <v>50</v>
      </c>
      <c r="G74" s="36">
        <v>17.72</v>
      </c>
      <c r="H74" s="36">
        <v>19.49</v>
      </c>
      <c r="I74" s="36">
        <v>29.99</v>
      </c>
      <c r="J74" s="41">
        <v>29.99</v>
      </c>
      <c r="K74" s="213"/>
      <c r="L74" s="14"/>
      <c r="M74" s="197"/>
      <c r="N74" s="31">
        <f ca="1">M74*0.78</f>
        <v>0</v>
      </c>
      <c r="O74" s="31">
        <f ca="1">N74/0.7</f>
        <v>0</v>
      </c>
      <c r="P74" s="31">
        <f ca="1">N74*0.9</f>
        <v>0</v>
      </c>
      <c r="R74" s="174">
        <v>8.086</v>
      </c>
      <c r="S74" s="174"/>
      <c r="T74" s="176">
        <f ca="1">(W74-R74)/W74</f>
        <v>0.6048767377653985</v>
      </c>
      <c r="U74" s="175">
        <f ca="1">I74</f>
        <v>29.99</v>
      </c>
      <c r="V74" s="175"/>
      <c r="W74" s="175">
        <f ca="1">H74*1.05</f>
        <v>20.464499999999997</v>
      </c>
      <c r="X74" s="175">
        <f ca="1">W74*0.9</f>
        <v>18.418049999999997</v>
      </c>
      <c r="Y74" s="176">
        <f ca="1">(U74-W74)/U74</f>
        <v>0.317622540846949</v>
      </c>
      <c r="Z74" s="184" t="e">
        <f ca="1">(V74-W74)/V74</f>
        <v>#DIV/0!</v>
      </c>
      <c r="AB74" s="4"/>
      <c r="AC74" s="4"/>
      <c r="AD74" s="4"/>
      <c r="AE74" s="4"/>
      <c r="AF74" s="4"/>
      <c r="AG74" s="4"/>
      <c r="AH74" s="4"/>
      <c r="AI74" s="4"/>
      <c r="AJ74" s="4"/>
    </row>
    <row r="75" spans="2:36" s="15" customFormat="1">
      <c r="B75" s="33">
        <v>27019</v>
      </c>
      <c r="C75" s="34" t="s">
        <v>176</v>
      </c>
      <c r="D75" s="37" t="s">
        <v>177</v>
      </c>
      <c r="E75" s="37">
        <v>1</v>
      </c>
      <c r="F75" s="37">
        <v>90</v>
      </c>
      <c r="G75" s="36">
        <v>14.76</v>
      </c>
      <c r="H75" s="36">
        <v>16.24</v>
      </c>
      <c r="I75" s="36">
        <v>24.99</v>
      </c>
      <c r="J75" s="41">
        <v>24.99</v>
      </c>
      <c r="K75" s="213"/>
      <c r="L75" s="14"/>
      <c r="M75" s="197"/>
      <c r="N75" s="31">
        <f ca="1">M75*0.78</f>
        <v>0</v>
      </c>
      <c r="O75" s="31">
        <f ca="1">N75/0.7</f>
        <v>0</v>
      </c>
      <c r="P75" s="31">
        <f ca="1">N75*0.9</f>
        <v>0</v>
      </c>
      <c r="R75" s="174">
        <v>6.279</v>
      </c>
      <c r="S75" s="174"/>
      <c r="T75" s="176">
        <f ca="1">(W75-R75)/W75</f>
        <v>0.6317733990147784</v>
      </c>
      <c r="U75" s="175">
        <f ca="1">I75</f>
        <v>24.99</v>
      </c>
      <c r="V75" s="175"/>
      <c r="W75" s="175">
        <f ca="1">H75*1.05</f>
        <v>17.052</v>
      </c>
      <c r="X75" s="175">
        <f ca="1">W75*0.9</f>
        <v>15.3468</v>
      </c>
      <c r="Y75" s="176">
        <f ca="1">(U75-W75)/U75</f>
        <v>0.3176470588235294</v>
      </c>
      <c r="Z75" s="184" t="e">
        <f ca="1">(V75-W75)/V75</f>
        <v>#DIV/0!</v>
      </c>
      <c r="AB75" s="4"/>
      <c r="AC75" s="4"/>
      <c r="AD75" s="4"/>
      <c r="AE75" s="4"/>
      <c r="AF75" s="4"/>
      <c r="AG75" s="4"/>
      <c r="AH75" s="4"/>
      <c r="AI75" s="4"/>
      <c r="AJ75" s="4"/>
    </row>
    <row r="76" spans="2:36" s="15" customFormat="1">
      <c r="B76" s="33">
        <v>6002</v>
      </c>
      <c r="C76" s="34" t="s">
        <v>178</v>
      </c>
      <c r="D76" s="33" t="s">
        <v>179</v>
      </c>
      <c r="E76" s="33">
        <v>1</v>
      </c>
      <c r="F76" s="33" t="s">
        <v>180</v>
      </c>
      <c r="G76" s="36">
        <v>140.31</v>
      </c>
      <c r="H76" s="36">
        <v>154.34</v>
      </c>
      <c r="I76" s="36">
        <v>249.99</v>
      </c>
      <c r="J76" s="41">
        <v>236.99</v>
      </c>
      <c r="K76" s="213"/>
      <c r="L76" s="29">
        <f ca="1">(J76/I76)-1</f>
        <v>-0.052002080083203284</v>
      </c>
      <c r="M76" s="198">
        <v>197.99</v>
      </c>
      <c r="N76" s="31">
        <f ca="1">M76*0.78</f>
        <v>154.43220000000002</v>
      </c>
      <c r="O76" s="31">
        <f ca="1">N76/0.7</f>
        <v>220.6174285714286</v>
      </c>
      <c r="P76" s="31">
        <f ca="1">N76*0.9</f>
        <v>138.98898000000003</v>
      </c>
      <c r="R76" s="174">
        <v>99.793</v>
      </c>
      <c r="S76" s="174"/>
      <c r="T76" s="176">
        <f ca="1">(W76-R76)/W76</f>
        <v>0.3842104938385877</v>
      </c>
      <c r="U76" s="175">
        <f ca="1">I76</f>
        <v>249.99</v>
      </c>
      <c r="V76" s="175"/>
      <c r="W76" s="175">
        <f ca="1">H76*1.05</f>
        <v>162.05700000000002</v>
      </c>
      <c r="X76" s="175">
        <f ca="1">W76*0.9</f>
        <v>145.8513</v>
      </c>
      <c r="Y76" s="176">
        <f ca="1">(U76-W76)/U76</f>
        <v>0.35174606984279366</v>
      </c>
      <c r="Z76" s="184" t="e">
        <f ca="1">(V76-W76)/V76</f>
        <v>#DIV/0!</v>
      </c>
      <c r="AB76" s="4"/>
      <c r="AC76" s="4"/>
      <c r="AD76" s="4"/>
      <c r="AE76" s="4"/>
      <c r="AF76" s="4"/>
      <c r="AG76" s="4"/>
      <c r="AH76" s="4"/>
      <c r="AI76" s="4"/>
      <c r="AJ76" s="4"/>
    </row>
    <row r="77" spans="2:36" s="15" customFormat="1">
      <c r="B77" s="63"/>
      <c r="C77" s="53"/>
      <c r="D77" s="63"/>
      <c r="E77" s="52"/>
      <c r="F77" s="63"/>
      <c r="G77" s="54"/>
      <c r="H77" s="54"/>
      <c r="I77" s="54"/>
      <c r="J77" s="54"/>
      <c r="K77" s="118"/>
      <c r="L77" s="14"/>
      <c r="M77" s="197"/>
      <c r="N77" s="31"/>
      <c r="O77" s="31"/>
      <c r="P77" s="31"/>
      <c r="R77" s="174"/>
      <c r="S77" s="174"/>
      <c r="T77" s="4"/>
      <c r="U77" s="175"/>
      <c r="V77" s="175"/>
      <c r="W77" s="175"/>
      <c r="X77" s="175"/>
      <c r="Y77" s="176"/>
      <c r="Z77" s="184"/>
      <c r="AB77" s="4"/>
      <c r="AC77" s="4"/>
      <c r="AD77" s="4"/>
      <c r="AE77" s="4"/>
      <c r="AF77" s="4"/>
      <c r="AG77" s="4"/>
      <c r="AH77" s="4"/>
      <c r="AI77" s="4"/>
      <c r="AJ77" s="4"/>
    </row>
    <row r="78" spans="2:36" s="15" customFormat="1" customHeight="1">
      <c r="B78" s="20" t="s">
        <v>181</v>
      </c>
      <c r="C78" s="309"/>
      <c r="D78" s="21"/>
      <c r="E78" s="21"/>
      <c r="F78" s="21"/>
      <c r="G78" s="22"/>
      <c r="H78" s="22"/>
      <c r="I78" s="47"/>
      <c r="J78" s="47"/>
      <c r="K78" s="224"/>
      <c r="L78" s="14"/>
      <c r="M78" s="197"/>
      <c r="N78" s="31"/>
      <c r="O78" s="31"/>
      <c r="P78" s="31"/>
      <c r="R78" s="174"/>
      <c r="S78" s="174"/>
      <c r="T78" s="4"/>
      <c r="U78" s="175"/>
      <c r="V78" s="175"/>
      <c r="W78" s="175"/>
      <c r="X78" s="175"/>
      <c r="Y78" s="176"/>
      <c r="Z78" s="184"/>
      <c r="AB78" s="4"/>
      <c r="AC78" s="4"/>
      <c r="AD78" s="4"/>
      <c r="AE78" s="4"/>
      <c r="AF78" s="4"/>
      <c r="AG78" s="4"/>
      <c r="AH78" s="4"/>
      <c r="AI78" s="4"/>
      <c r="AJ78" s="4"/>
    </row>
    <row r="79" spans="2:36" s="15" customFormat="1">
      <c r="B79" s="25">
        <v>1949</v>
      </c>
      <c r="C79" s="26" t="s">
        <v>182</v>
      </c>
      <c r="D79" s="25" t="s">
        <v>183</v>
      </c>
      <c r="E79" s="25">
        <v>1</v>
      </c>
      <c r="F79" s="25">
        <v>41</v>
      </c>
      <c r="G79" s="28">
        <f ca="1">H79*0.9</f>
        <v>102.456</v>
      </c>
      <c r="H79" s="28">
        <v>113.84</v>
      </c>
      <c r="I79" s="28">
        <v>209.99</v>
      </c>
      <c r="J79" s="62">
        <v>169.99</v>
      </c>
      <c r="K79" s="225">
        <f ca="1">AB79*H79</f>
        <v>10488648.4</v>
      </c>
      <c r="L79" s="29">
        <f ca="1">(J79/I79)-1</f>
        <v>-0.19048526120291442</v>
      </c>
      <c r="M79" s="196">
        <v>169.99</v>
      </c>
      <c r="N79" s="31">
        <f ca="1">M79*0.78</f>
        <v>132.59220000000002</v>
      </c>
      <c r="O79" s="31">
        <f ca="1">N79/0.7</f>
        <v>189.41742857142862</v>
      </c>
      <c r="P79" s="31">
        <f ca="1">N79*0.9</f>
        <v>119.33298000000002</v>
      </c>
      <c r="R79" s="174">
        <v>69.049</v>
      </c>
      <c r="S79" s="205">
        <f ca="1">R79*AB79</f>
        <v>6361829.615</v>
      </c>
      <c r="T79" s="176">
        <f ca="1">(W79-R79)/W79</f>
        <v>0.44859611576055713</v>
      </c>
      <c r="U79" s="175">
        <f ca="1">I79</f>
        <v>209.99</v>
      </c>
      <c r="V79" s="200">
        <v>199.99</v>
      </c>
      <c r="W79" s="175">
        <f ca="1">H79*1.1</f>
        <v>125.22400000000002</v>
      </c>
      <c r="X79" s="175">
        <f ca="1">W79*0.9</f>
        <v>112.70160000000001</v>
      </c>
      <c r="Y79" s="176">
        <f ca="1">(U79-W79)/U79</f>
        <v>0.40366684127815605</v>
      </c>
      <c r="Z79" s="184">
        <f ca="1">(V79-W79)/V79</f>
        <v>0.37384869243462165</v>
      </c>
      <c r="AB79" s="173">
        <v>92135</v>
      </c>
      <c r="AC79" s="201">
        <f ca="1">AB79*W79</f>
        <v>11537513.240000002</v>
      </c>
      <c r="AD79" s="201">
        <f ca="1">AC79-K79</f>
        <v>1048864.8400000017</v>
      </c>
      <c r="AE79" s="4" t="s">
        <v>873</v>
      </c>
      <c r="AF79" s="31">
        <v>181.99</v>
      </c>
      <c r="AG79" s="193">
        <v>199.99</v>
      </c>
      <c r="AH79" s="31">
        <f ca="1">130.11*1.1</f>
        <v>143.12100000000004</v>
      </c>
      <c r="AI79" s="31">
        <f ca="1">AH79*0.9</f>
        <v>128.80890000000005</v>
      </c>
      <c r="AJ79" s="176">
        <f ca="1">(AG79-AH79)/AG79</f>
        <v>0.2843592179608979</v>
      </c>
    </row>
    <row r="80" spans="2:36" s="15" customFormat="1">
      <c r="B80" s="33">
        <v>19049</v>
      </c>
      <c r="C80" s="34" t="s">
        <v>184</v>
      </c>
      <c r="D80" s="33" t="s">
        <v>185</v>
      </c>
      <c r="E80" s="33">
        <v>1</v>
      </c>
      <c r="F80" s="33">
        <v>41</v>
      </c>
      <c r="G80" s="28">
        <f ca="1">H80*0.9</f>
        <v>135.04500000000002</v>
      </c>
      <c r="H80" s="36">
        <v>150.05</v>
      </c>
      <c r="I80" s="36">
        <v>234.99</v>
      </c>
      <c r="J80" s="41">
        <v>209.99</v>
      </c>
      <c r="K80" s="225">
        <f ca="1">AB80*H80</f>
        <v>2877358.8000000003</v>
      </c>
      <c r="L80" s="29">
        <f ca="1">(J80/I80)-1</f>
        <v>-0.10638750585131285</v>
      </c>
      <c r="M80" s="196">
        <v>199.99</v>
      </c>
      <c r="N80" s="31">
        <f ca="1">M80*0.78</f>
        <v>155.99220000000003</v>
      </c>
      <c r="O80" s="31">
        <f ca="1">N80/0.7</f>
        <v>222.84600000000006</v>
      </c>
      <c r="P80" s="31">
        <f ca="1">N80*0.9</f>
        <v>140.39298000000002</v>
      </c>
      <c r="R80" s="174">
        <v>90.56</v>
      </c>
      <c r="S80" s="205">
        <f ca="1">R80*AB80</f>
        <v>1736578.56</v>
      </c>
      <c r="T80" s="176">
        <f ca="1">(W80-R80)/W80</f>
        <v>0.4513344036836207</v>
      </c>
      <c r="U80" s="175">
        <f ca="1">I80</f>
        <v>234.99</v>
      </c>
      <c r="V80" s="175"/>
      <c r="W80" s="175">
        <f ca="1">H80*1.1</f>
        <v>165.05500000000004</v>
      </c>
      <c r="X80" s="175">
        <f ca="1">W80*0.9</f>
        <v>148.54950000000002</v>
      </c>
      <c r="Y80" s="176">
        <f ca="1">(U80-W80)/U80</f>
        <v>0.29760840886846235</v>
      </c>
      <c r="Z80" s="184"/>
      <c r="AB80" s="173">
        <v>19176</v>
      </c>
      <c r="AC80" s="201">
        <f ca="1">AB80*W80</f>
        <v>3165094.6800000006</v>
      </c>
      <c r="AD80" s="201">
        <f ca="1">AC80-K80</f>
        <v>287735.88000000035</v>
      </c>
      <c r="AE80" s="4"/>
      <c r="AF80" s="31"/>
      <c r="AG80" s="31"/>
      <c r="AH80" s="31"/>
      <c r="AI80" s="31"/>
      <c r="AJ80" s="176"/>
    </row>
    <row r="81" spans="2:36" s="15" customFormat="1">
      <c r="B81" s="33">
        <v>19069</v>
      </c>
      <c r="C81" s="34" t="s">
        <v>186</v>
      </c>
      <c r="D81" s="33" t="s">
        <v>187</v>
      </c>
      <c r="E81" s="33">
        <v>1</v>
      </c>
      <c r="F81" s="33">
        <v>16</v>
      </c>
      <c r="G81" s="28">
        <f ca="1">H81*0.9</f>
        <v>188.883</v>
      </c>
      <c r="H81" s="36">
        <v>209.87</v>
      </c>
      <c r="I81" s="36">
        <v>329.99</v>
      </c>
      <c r="J81" s="41">
        <v>291.99</v>
      </c>
      <c r="K81" s="225">
        <f ca="1">AB81*H81</f>
        <v>669065.56</v>
      </c>
      <c r="L81" s="29">
        <f ca="1">(J81/I81)-1</f>
        <v>-0.11515500469711204</v>
      </c>
      <c r="M81" s="196">
        <v>269.99</v>
      </c>
      <c r="N81" s="31">
        <f ca="1">M81*0.78</f>
        <v>210.59220000000002</v>
      </c>
      <c r="O81" s="31">
        <f ca="1">N81/0.7</f>
        <v>300.84600000000006</v>
      </c>
      <c r="P81" s="31">
        <f ca="1">N81*0.9</f>
        <v>189.53298</v>
      </c>
      <c r="R81" s="174">
        <v>117.283</v>
      </c>
      <c r="S81" s="205">
        <f ca="1">R81*AB81</f>
        <v>373898.204</v>
      </c>
      <c r="T81" s="176">
        <f ca="1">(W81-R81)/W81</f>
        <v>0.49196688859337173</v>
      </c>
      <c r="U81" s="175">
        <f ca="1">I81</f>
        <v>329.99</v>
      </c>
      <c r="V81" s="175"/>
      <c r="W81" s="175">
        <f ca="1">H81*1.1</f>
        <v>230.85700000000003</v>
      </c>
      <c r="X81" s="175">
        <f ca="1">W81*0.9</f>
        <v>207.77130000000002</v>
      </c>
      <c r="Y81" s="176">
        <f ca="1">(U81-W81)/U81</f>
        <v>0.30041213370102116</v>
      </c>
      <c r="Z81" s="184"/>
      <c r="AB81" s="4">
        <v>3188</v>
      </c>
      <c r="AC81" s="201">
        <f ca="1">AB81*W81</f>
        <v>735972.116</v>
      </c>
      <c r="AD81" s="201">
        <f ca="1">AC81-K81</f>
        <v>66906.55599999998</v>
      </c>
      <c r="AE81" s="4" t="s">
        <v>872</v>
      </c>
      <c r="AF81" s="31">
        <v>304.99</v>
      </c>
      <c r="AG81" s="193">
        <v>334.99</v>
      </c>
      <c r="AH81" s="31">
        <f ca="1">217.56*1.1</f>
        <v>239.31600000000003</v>
      </c>
      <c r="AI81" s="31">
        <f ca="1">AH81*0.9</f>
        <v>215.38440000000003</v>
      </c>
      <c r="AJ81" s="176">
        <f ca="1">(AG81-AH81)/AG81</f>
        <v>0.28560255530015816</v>
      </c>
    </row>
    <row r="82" spans="2:36" s="15" customFormat="1">
      <c r="B82" s="33">
        <v>19099</v>
      </c>
      <c r="C82" s="34" t="s">
        <v>188</v>
      </c>
      <c r="D82" s="33" t="s">
        <v>189</v>
      </c>
      <c r="E82" s="33">
        <v>1</v>
      </c>
      <c r="F82" s="33">
        <v>16</v>
      </c>
      <c r="G82" s="28">
        <f ca="1">H82*0.9</f>
        <v>275.49</v>
      </c>
      <c r="H82" s="36">
        <v>306.1</v>
      </c>
      <c r="I82" s="36">
        <v>549.99</v>
      </c>
      <c r="J82" s="41">
        <v>462.99</v>
      </c>
      <c r="K82" s="225">
        <f ca="1">AB82*H82</f>
        <v>119685.1</v>
      </c>
      <c r="L82" s="29">
        <f ca="1">(J82/I82)-1</f>
        <v>-0.15818469426716852</v>
      </c>
      <c r="M82" s="30">
        <v>479.99</v>
      </c>
      <c r="N82" s="31">
        <f ca="1">M82*0.78</f>
        <v>374.3922</v>
      </c>
      <c r="O82" s="31">
        <f ca="1">N82/0.7</f>
        <v>534.846</v>
      </c>
      <c r="P82" s="31">
        <f ca="1">N82*0.9</f>
        <v>336.95298</v>
      </c>
      <c r="R82" s="174">
        <v>143.91</v>
      </c>
      <c r="S82" s="205">
        <f ca="1">R82*AB82</f>
        <v>56268.81</v>
      </c>
      <c r="T82" s="176">
        <f ca="1">(W82-R82)/W82</f>
        <v>0.5725995663924446</v>
      </c>
      <c r="U82" s="175">
        <f ca="1">I82</f>
        <v>549.99</v>
      </c>
      <c r="V82" s="175">
        <v>499.99</v>
      </c>
      <c r="W82" s="175">
        <f ca="1">H82*1.1</f>
        <v>336.71000000000004</v>
      </c>
      <c r="X82" s="175">
        <f ca="1">W82*0.9</f>
        <v>303.03900000000004</v>
      </c>
      <c r="Y82" s="176">
        <f ca="1">(U82-W82)/U82</f>
        <v>0.3877888688885252</v>
      </c>
      <c r="Z82" s="184">
        <f ca="1">(V82-W82)/V82</f>
        <v>0.3265665313306266</v>
      </c>
      <c r="AB82" s="4">
        <v>391</v>
      </c>
      <c r="AC82" s="202">
        <f ca="1">AB82*W82</f>
        <v>131653.61000000002</v>
      </c>
      <c r="AD82" s="207">
        <f ca="1">AC82-K82</f>
        <v>11968.51000000001</v>
      </c>
      <c r="AE82" s="4"/>
      <c r="AF82" s="4"/>
      <c r="AG82" s="4"/>
      <c r="AH82" s="4"/>
      <c r="AI82" s="4"/>
      <c r="AJ82" s="4"/>
    </row>
    <row r="83" spans="2:36" s="15" customFormat="1">
      <c r="B83" s="33">
        <v>19249</v>
      </c>
      <c r="C83" s="34" t="s">
        <v>190</v>
      </c>
      <c r="D83" s="33" t="s">
        <v>191</v>
      </c>
      <c r="E83" s="33">
        <v>1</v>
      </c>
      <c r="F83" s="33">
        <v>25</v>
      </c>
      <c r="G83" s="28">
        <f ca="1">H83*0.9</f>
        <v>158.067</v>
      </c>
      <c r="H83" s="36">
        <v>175.63</v>
      </c>
      <c r="I83" s="181">
        <v>219.99</v>
      </c>
      <c r="J83" s="183">
        <v>215.99</v>
      </c>
      <c r="K83" s="225">
        <f ca="1">AB83*H83</f>
        <v>335453.3</v>
      </c>
      <c r="L83" s="29">
        <f ca="1">(J83/I83)-1</f>
        <v>-0.01818264466566666</v>
      </c>
      <c r="M83" s="30">
        <f ca="1">J83</f>
        <v>215.99</v>
      </c>
      <c r="N83" s="31">
        <f ca="1">M83*0.78</f>
        <v>168.47220000000002</v>
      </c>
      <c r="O83" s="31">
        <f ca="1">N83/0.7</f>
        <v>240.67457142857145</v>
      </c>
      <c r="P83" s="31">
        <f ca="1">N83*0.9</f>
        <v>151.62498000000002</v>
      </c>
      <c r="R83" s="174">
        <v>92.762</v>
      </c>
      <c r="S83" s="205">
        <f ca="1">R83*AB83</f>
        <v>177175.42</v>
      </c>
      <c r="T83" s="176">
        <f ca="1">(W83-R83)/W83</f>
        <v>0.5198480276200483</v>
      </c>
      <c r="U83" s="175">
        <f ca="1">I83</f>
        <v>219.99</v>
      </c>
      <c r="V83" s="175">
        <v>279.99</v>
      </c>
      <c r="W83" s="175">
        <f ca="1">H83*1.1</f>
        <v>193.193</v>
      </c>
      <c r="X83" s="175">
        <f ca="1">W83*0.9</f>
        <v>173.8737</v>
      </c>
      <c r="Y83" s="176">
        <f ca="1">(U83-W83)/U83</f>
        <v>0.1218100822764671</v>
      </c>
      <c r="Z83" s="184">
        <f ca="1">(V83-W83)/V83</f>
        <v>0.3100003571556127</v>
      </c>
      <c r="AB83" s="4">
        <v>1910</v>
      </c>
      <c r="AC83" s="207">
        <f ca="1">AB83*W83</f>
        <v>368998.63</v>
      </c>
      <c r="AD83" s="207">
        <f ca="1">AC83-K83</f>
        <v>33545.330000000016</v>
      </c>
      <c r="AE83" s="4"/>
      <c r="AF83" s="4"/>
      <c r="AG83" s="4"/>
      <c r="AH83" s="4"/>
      <c r="AI83" s="4"/>
      <c r="AJ83" s="4"/>
    </row>
    <row r="84" spans="2:36" s="15" customFormat="1">
      <c r="B84" s="33">
        <v>19149</v>
      </c>
      <c r="C84" s="34" t="s">
        <v>192</v>
      </c>
      <c r="D84" s="33" t="s">
        <v>193</v>
      </c>
      <c r="E84" s="33">
        <v>1</v>
      </c>
      <c r="F84" s="33">
        <v>25</v>
      </c>
      <c r="G84" s="28">
        <f ca="1">H84*0.9</f>
        <v>130.059</v>
      </c>
      <c r="H84" s="36">
        <v>144.51</v>
      </c>
      <c r="I84" s="36">
        <v>229.99</v>
      </c>
      <c r="J84" s="183">
        <v>199.99</v>
      </c>
      <c r="K84" s="225">
        <f ca="1">AB84*H84</f>
        <v>162718.25999999998</v>
      </c>
      <c r="L84" s="29">
        <f ca="1">(J84/I84)-1</f>
        <v>-0.1304404539327797</v>
      </c>
      <c r="M84" s="30">
        <v>184.99</v>
      </c>
      <c r="N84" s="31">
        <f ca="1">M84*0.78</f>
        <v>144.2922</v>
      </c>
      <c r="O84" s="31">
        <f ca="1">N84/0.7</f>
        <v>206.1317142857143</v>
      </c>
      <c r="P84" s="31">
        <f ca="1">N84*0.9</f>
        <v>129.86298000000002</v>
      </c>
      <c r="R84" s="174">
        <v>76.732</v>
      </c>
      <c r="S84" s="205">
        <f ca="1">R84*AB84</f>
        <v>86400.232</v>
      </c>
      <c r="T84" s="176">
        <f ca="1">(W84-R84)/W84</f>
        <v>0.5172904045646417</v>
      </c>
      <c r="U84" s="175">
        <f ca="1">I84</f>
        <v>229.99</v>
      </c>
      <c r="V84" s="175"/>
      <c r="W84" s="175">
        <f ca="1">H84*1.1</f>
        <v>158.961</v>
      </c>
      <c r="X84" s="175">
        <f ca="1">W84*0.9</f>
        <v>143.06490000000002</v>
      </c>
      <c r="Y84" s="176">
        <f ca="1">(U84-W84)/U84</f>
        <v>0.30883516674638023</v>
      </c>
      <c r="Z84" s="184"/>
      <c r="AB84" s="4">
        <v>1126</v>
      </c>
      <c r="AC84" s="205">
        <f ca="1">AB84*W84</f>
        <v>178990.086</v>
      </c>
      <c r="AD84" s="207">
        <f ca="1">AC84-K84</f>
        <v>16271.82600000003</v>
      </c>
      <c r="AE84" s="4"/>
      <c r="AF84" s="4"/>
      <c r="AG84" s="4"/>
      <c r="AH84" s="4"/>
      <c r="AI84" s="4"/>
      <c r="AJ84" s="4"/>
    </row>
    <row r="85" spans="2:36" s="15" customFormat="1">
      <c r="B85" s="33">
        <v>1999</v>
      </c>
      <c r="C85" s="34" t="s">
        <v>194</v>
      </c>
      <c r="D85" s="33" t="s">
        <v>195</v>
      </c>
      <c r="E85" s="33">
        <v>1</v>
      </c>
      <c r="F85" s="33">
        <v>41</v>
      </c>
      <c r="G85" s="28">
        <f ca="1">H85*0.9</f>
        <v>138.69</v>
      </c>
      <c r="H85" s="36">
        <v>154.1</v>
      </c>
      <c r="I85" s="36">
        <v>239.99</v>
      </c>
      <c r="J85" s="41">
        <v>228.99</v>
      </c>
      <c r="K85" s="225">
        <f ca="1">AB85*H85</f>
        <v>48695.6</v>
      </c>
      <c r="L85" s="29">
        <f ca="1">(J85/I85)-1</f>
        <v>-0.045835243135130654</v>
      </c>
      <c r="M85" s="30">
        <v>197.99</v>
      </c>
      <c r="N85" s="31">
        <f ca="1">M85*0.78</f>
        <v>154.43220000000002</v>
      </c>
      <c r="O85" s="31">
        <f ca="1">N85/0.7</f>
        <v>220.6174285714286</v>
      </c>
      <c r="P85" s="31">
        <f ca="1">N85*0.9</f>
        <v>138.98898000000003</v>
      </c>
      <c r="R85" s="174">
        <v>85.923</v>
      </c>
      <c r="S85" s="205">
        <f ca="1">R85*AB85</f>
        <v>27151.668</v>
      </c>
      <c r="T85" s="176">
        <f ca="1">(W85-R85)/W85</f>
        <v>0.4931095510589346</v>
      </c>
      <c r="U85" s="175">
        <f ca="1">I85</f>
        <v>239.99</v>
      </c>
      <c r="V85" s="175"/>
      <c r="W85" s="175">
        <f ca="1">H85*1.1</f>
        <v>169.51000000000002</v>
      </c>
      <c r="X85" s="175">
        <f ca="1">W85*0.9</f>
        <v>152.55900000000003</v>
      </c>
      <c r="Y85" s="176">
        <f ca="1">(U85-W85)/U85</f>
        <v>0.2936789032876369</v>
      </c>
      <c r="Z85" s="184"/>
      <c r="AB85" s="4">
        <v>316</v>
      </c>
      <c r="AC85" s="205">
        <f ca="1">AB85*W85</f>
        <v>53565.16</v>
      </c>
      <c r="AD85" s="207">
        <f ca="1">AC85-K85</f>
        <v>4869.560000000005</v>
      </c>
      <c r="AE85" s="4"/>
      <c r="AF85" s="4"/>
      <c r="AG85" s="4"/>
      <c r="AH85" s="4"/>
      <c r="AI85" s="4"/>
      <c r="AJ85" s="4"/>
    </row>
    <row r="86" spans="2:36" s="15" customFormat="1">
      <c r="B86" s="33">
        <v>1979</v>
      </c>
      <c r="C86" s="34" t="s">
        <v>196</v>
      </c>
      <c r="D86" s="33" t="s">
        <v>197</v>
      </c>
      <c r="E86" s="33">
        <v>1</v>
      </c>
      <c r="F86" s="33">
        <v>41</v>
      </c>
      <c r="G86" s="28">
        <f ca="1">H86*0.9</f>
        <v>126.01800000000001</v>
      </c>
      <c r="H86" s="36">
        <v>140.02</v>
      </c>
      <c r="I86" s="64">
        <v>219.99</v>
      </c>
      <c r="J86" s="183">
        <v>194.99</v>
      </c>
      <c r="K86" s="225">
        <f ca="1">AB86*H86</f>
        <v>173624.80000000002</v>
      </c>
      <c r="L86" s="29">
        <f ca="1">(J86/I86)-1</f>
        <v>-0.11364152916041637</v>
      </c>
      <c r="M86" s="30">
        <v>179.99</v>
      </c>
      <c r="N86" s="31">
        <f ca="1">M86*0.78</f>
        <v>140.3922</v>
      </c>
      <c r="O86" s="31">
        <f ca="1">N86/0.7</f>
        <v>200.56028571428573</v>
      </c>
      <c r="P86" s="31">
        <f ca="1">N86*0.9</f>
        <v>126.35298</v>
      </c>
      <c r="R86" s="174">
        <v>83.364</v>
      </c>
      <c r="S86" s="205">
        <f ca="1">R86*AB86</f>
        <v>103371.36</v>
      </c>
      <c r="T86" s="176">
        <f ca="1">(W86-R86)/W86</f>
        <v>0.45875264572593527</v>
      </c>
      <c r="U86" s="175">
        <f ca="1">I86</f>
        <v>219.99</v>
      </c>
      <c r="V86" s="175"/>
      <c r="W86" s="175">
        <f ca="1">H86*1.1</f>
        <v>154.02200000000002</v>
      </c>
      <c r="X86" s="175">
        <f ca="1">W86*0.9</f>
        <v>138.61980000000003</v>
      </c>
      <c r="Y86" s="176">
        <f ca="1">(U86-W86)/U86</f>
        <v>0.29986817582617387</v>
      </c>
      <c r="Z86" s="184"/>
      <c r="AB86" s="4">
        <v>1240</v>
      </c>
      <c r="AC86" s="205">
        <f ca="1">AB86*W86</f>
        <v>190987.28000000003</v>
      </c>
      <c r="AD86" s="207">
        <f ca="1">AC86-K86</f>
        <v>17362.48000000001</v>
      </c>
      <c r="AE86" s="4"/>
      <c r="AF86" s="4"/>
      <c r="AG86" s="4"/>
      <c r="AH86" s="4"/>
      <c r="AI86" s="4"/>
      <c r="AJ86" s="4"/>
    </row>
    <row r="87" spans="2:36" s="15" customFormat="1">
      <c r="B87" s="37">
        <v>1941</v>
      </c>
      <c r="C87" s="34" t="s">
        <v>198</v>
      </c>
      <c r="D87" s="37" t="s">
        <v>199</v>
      </c>
      <c r="E87" s="33">
        <v>1</v>
      </c>
      <c r="F87" s="37">
        <v>41</v>
      </c>
      <c r="G87" s="28">
        <f ca="1">H87*0.9</f>
        <v>97.596</v>
      </c>
      <c r="H87" s="36">
        <v>108.44</v>
      </c>
      <c r="I87" s="36">
        <v>184.99</v>
      </c>
      <c r="J87" s="41">
        <v>157.99</v>
      </c>
      <c r="K87" s="225">
        <f ca="1">AB87*H87</f>
        <v>117332.08</v>
      </c>
      <c r="L87" s="29">
        <f ca="1">(J87/I87)-1</f>
        <v>-0.145953835342451</v>
      </c>
      <c r="M87" s="30">
        <f ca="1">J87</f>
        <v>157.99</v>
      </c>
      <c r="N87" s="31">
        <f ca="1">M87*0.78</f>
        <v>123.2322</v>
      </c>
      <c r="O87" s="31">
        <f ca="1">N87/0.7</f>
        <v>176.04600000000002</v>
      </c>
      <c r="P87" s="31">
        <f ca="1">N87*0.9</f>
        <v>110.90898000000001</v>
      </c>
      <c r="R87" s="174">
        <v>58.643</v>
      </c>
      <c r="S87" s="205">
        <f ca="1">R87*AB87</f>
        <v>63451.726</v>
      </c>
      <c r="T87" s="176">
        <f ca="1">(W87-R87)/W87</f>
        <v>0.508374970658261</v>
      </c>
      <c r="U87" s="175">
        <f ca="1">I87</f>
        <v>184.99</v>
      </c>
      <c r="V87" s="175">
        <v>179.99</v>
      </c>
      <c r="W87" s="175">
        <f ca="1">H87*1.1</f>
        <v>119.284</v>
      </c>
      <c r="X87" s="175">
        <f ca="1">W87*0.9</f>
        <v>107.35560000000001</v>
      </c>
      <c r="Y87" s="176">
        <f ca="1">(U87-W87)/U87</f>
        <v>0.3551867668522623</v>
      </c>
      <c r="Z87" s="184">
        <f ca="1">(V87-W87)/V87</f>
        <v>0.3372742930162787</v>
      </c>
      <c r="AB87" s="4">
        <v>1082</v>
      </c>
      <c r="AC87" s="205">
        <f ca="1">AB87*W87</f>
        <v>129065.288</v>
      </c>
      <c r="AD87" s="207">
        <f ca="1">AC87-K87</f>
        <v>11733.207999999999</v>
      </c>
      <c r="AE87" s="4"/>
      <c r="AF87" s="4"/>
      <c r="AG87" s="4"/>
      <c r="AH87" s="4"/>
      <c r="AI87" s="4"/>
      <c r="AJ87" s="4"/>
    </row>
    <row r="88" spans="2:36" s="15" customFormat="1">
      <c r="B88" s="33">
        <v>1831</v>
      </c>
      <c r="C88" s="34" t="s">
        <v>200</v>
      </c>
      <c r="D88" s="33" t="s">
        <v>201</v>
      </c>
      <c r="E88" s="33">
        <v>1</v>
      </c>
      <c r="F88" s="33">
        <v>41</v>
      </c>
      <c r="G88" s="28">
        <f ca="1">H88*0.9</f>
        <v>89.50500000000001</v>
      </c>
      <c r="H88" s="36">
        <v>99.45</v>
      </c>
      <c r="I88" s="36">
        <v>154.99</v>
      </c>
      <c r="J88" s="41">
        <v>142.99</v>
      </c>
      <c r="K88" s="225">
        <f ca="1">AB88*H88</f>
        <v>309786.75</v>
      </c>
      <c r="L88" s="29">
        <f ca="1">(J88/I88)-1</f>
        <v>-0.0774243499580618</v>
      </c>
      <c r="M88" s="30">
        <f ca="1">J88</f>
        <v>142.99</v>
      </c>
      <c r="N88" s="31">
        <f ca="1">M88*0.78</f>
        <v>111.53220000000002</v>
      </c>
      <c r="O88" s="31">
        <f ca="1">N88/0.7</f>
        <v>159.33171428571433</v>
      </c>
      <c r="P88" s="31">
        <f ca="1">N88*0.9</f>
        <v>100.37898000000001</v>
      </c>
      <c r="R88" s="174">
        <v>56.0367</v>
      </c>
      <c r="S88" s="205">
        <f ca="1">R88*AB88</f>
        <v>174554.3205</v>
      </c>
      <c r="T88" s="176">
        <f ca="1">(W88-R88)/W88</f>
        <v>0.4877581242287125</v>
      </c>
      <c r="U88" s="175">
        <f ca="1">I88</f>
        <v>154.99</v>
      </c>
      <c r="V88" s="175">
        <v>159.99</v>
      </c>
      <c r="W88" s="175">
        <f ca="1">H88*1.1</f>
        <v>109.39500000000001</v>
      </c>
      <c r="X88" s="175">
        <f ca="1">W88*0.9</f>
        <v>98.45550000000001</v>
      </c>
      <c r="Y88" s="176">
        <f ca="1">(U88-W88)/U88</f>
        <v>0.294180269694819</v>
      </c>
      <c r="Z88" s="184"/>
      <c r="AB88" s="4">
        <v>3115</v>
      </c>
      <c r="AC88" s="207">
        <f ca="1">AB88*W88</f>
        <v>340765.42500000005</v>
      </c>
      <c r="AD88" s="207">
        <f ca="1">AC88-K88</f>
        <v>30978.675000000047</v>
      </c>
      <c r="AE88" s="4"/>
      <c r="AF88" s="4"/>
      <c r="AH88" s="4"/>
      <c r="AI88" s="4"/>
      <c r="AJ88" s="4"/>
    </row>
    <row r="89" spans="2:36" s="15" customFormat="1">
      <c r="B89" s="33">
        <v>1480</v>
      </c>
      <c r="C89" s="34" t="s">
        <v>202</v>
      </c>
      <c r="D89" s="33" t="s">
        <v>203</v>
      </c>
      <c r="E89" s="33">
        <v>1</v>
      </c>
      <c r="F89" s="33">
        <v>41</v>
      </c>
      <c r="G89" s="28">
        <f ca="1">H89*0.9</f>
        <v>67.302</v>
      </c>
      <c r="H89" s="36">
        <v>74.78</v>
      </c>
      <c r="I89" s="36">
        <v>142.99</v>
      </c>
      <c r="J89" s="41">
        <v>107.99</v>
      </c>
      <c r="K89" s="225">
        <f ca="1">AB89*H89</f>
        <v>178948.54</v>
      </c>
      <c r="L89" s="29">
        <f ca="1">(J89/I89)-1</f>
        <v>-0.24477236170361572</v>
      </c>
      <c r="M89" s="30">
        <f ca="1">J89</f>
        <v>107.99</v>
      </c>
      <c r="N89" s="31">
        <f ca="1">M89*0.78</f>
        <v>84.2322</v>
      </c>
      <c r="O89" s="31">
        <f ca="1">N89/0.7</f>
        <v>120.3317142857143</v>
      </c>
      <c r="P89" s="31">
        <f ca="1">N89*0.9</f>
        <v>75.80898</v>
      </c>
      <c r="R89" s="174">
        <v>43.055</v>
      </c>
      <c r="S89" s="205">
        <f ca="1">R89*AB89</f>
        <v>103030.615</v>
      </c>
      <c r="T89" s="176">
        <f ca="1">(W89-R89)/W89</f>
        <v>0.476585863988913</v>
      </c>
      <c r="U89" s="175">
        <f ca="1">I89</f>
        <v>142.99</v>
      </c>
      <c r="V89" s="175">
        <v>129.99</v>
      </c>
      <c r="W89" s="175">
        <f ca="1">H89*1.1</f>
        <v>82.25800000000001</v>
      </c>
      <c r="X89" s="175">
        <f ca="1">W89*0.9</f>
        <v>74.03220000000002</v>
      </c>
      <c r="Y89" s="208">
        <f ca="1">(U89-W89)/U89</f>
        <v>0.4247290020281138</v>
      </c>
      <c r="Z89" s="184">
        <f ca="1">(V89-W89)/V89</f>
        <v>0.3671974767289791</v>
      </c>
      <c r="AB89" s="4">
        <v>2393</v>
      </c>
      <c r="AC89" s="202">
        <f ca="1">AB89*W89</f>
        <v>196843.39400000003</v>
      </c>
      <c r="AD89" s="207">
        <f ca="1">AC89-K89</f>
        <v>17894.85400000002</v>
      </c>
      <c r="AE89" s="4"/>
      <c r="AF89" s="4"/>
      <c r="AG89" s="4"/>
      <c r="AH89" s="4"/>
      <c r="AI89" s="4"/>
      <c r="AJ89" s="4"/>
    </row>
    <row r="90" spans="2:36" s="15" customFormat="1">
      <c r="B90" s="33">
        <v>1449</v>
      </c>
      <c r="C90" s="34" t="s">
        <v>204</v>
      </c>
      <c r="D90" s="33" t="s">
        <v>205</v>
      </c>
      <c r="E90" s="33">
        <v>1</v>
      </c>
      <c r="F90" s="33">
        <v>41</v>
      </c>
      <c r="G90" s="28">
        <f ca="1">H90*0.9</f>
        <v>80.08200000000001</v>
      </c>
      <c r="H90" s="36">
        <v>88.98</v>
      </c>
      <c r="I90" s="36">
        <v>175.99</v>
      </c>
      <c r="J90" s="41">
        <v>129.99</v>
      </c>
      <c r="K90" s="225">
        <f ca="1">AB90*H90</f>
        <v>472750.74000000005</v>
      </c>
      <c r="L90" s="29">
        <f ca="1">(J90/I90)-1</f>
        <v>-0.26137848741405756</v>
      </c>
      <c r="M90" s="196">
        <f ca="1">J90</f>
        <v>129.99</v>
      </c>
      <c r="N90" s="31">
        <f ca="1">M90*0.78</f>
        <v>101.39220000000002</v>
      </c>
      <c r="O90" s="31">
        <f ca="1">N90/0.7</f>
        <v>144.84600000000003</v>
      </c>
      <c r="P90" s="31">
        <f ca="1">N90*0.9</f>
        <v>91.25298000000002</v>
      </c>
      <c r="R90" s="174">
        <v>50.784</v>
      </c>
      <c r="S90" s="205">
        <f ca="1">R90*AB90</f>
        <v>269815.392</v>
      </c>
      <c r="T90" s="176">
        <f ca="1">(W90-R90)/W90</f>
        <v>0.48115000306504024</v>
      </c>
      <c r="U90" s="175">
        <f ca="1">I90</f>
        <v>175.99</v>
      </c>
      <c r="V90" s="200">
        <v>159.99</v>
      </c>
      <c r="W90" s="175">
        <f ca="1">H90*1.1</f>
        <v>97.87800000000001</v>
      </c>
      <c r="X90" s="175">
        <f ca="1">W90*0.9</f>
        <v>88.09020000000001</v>
      </c>
      <c r="Y90" s="208">
        <f ca="1">(U90-W90)/U90</f>
        <v>0.44384340019319274</v>
      </c>
      <c r="Z90" s="184">
        <f ca="1">(V90-W90)/V90</f>
        <v>0.38822426401650095</v>
      </c>
      <c r="AB90" s="4">
        <v>5313</v>
      </c>
      <c r="AC90" s="201">
        <f ca="1">AB90*W90</f>
        <v>520025.8140000001</v>
      </c>
      <c r="AD90" s="201">
        <f ca="1">AC90-K90</f>
        <v>47275.07400000002</v>
      </c>
      <c r="AE90" s="4"/>
      <c r="AF90" s="4"/>
      <c r="AG90" s="4"/>
      <c r="AH90" s="4"/>
      <c r="AI90" s="4"/>
      <c r="AJ90" s="4"/>
    </row>
    <row r="91" spans="2:36" s="15" customFormat="1">
      <c r="B91" s="37">
        <v>1352</v>
      </c>
      <c r="C91" s="34" t="s">
        <v>206</v>
      </c>
      <c r="D91" s="37" t="s">
        <v>207</v>
      </c>
      <c r="E91" s="33">
        <v>1</v>
      </c>
      <c r="F91" s="37">
        <v>41</v>
      </c>
      <c r="G91" s="28">
        <f ca="1">H91*0.9</f>
        <v>76.104</v>
      </c>
      <c r="H91" s="36">
        <v>84.56</v>
      </c>
      <c r="I91" s="36">
        <v>164.99</v>
      </c>
      <c r="J91" s="41">
        <v>120.99</v>
      </c>
      <c r="K91" s="225">
        <f ca="1">AB91*H91</f>
        <v>323526.56</v>
      </c>
      <c r="L91" s="29">
        <f ca="1">(J91/I91)-1</f>
        <v>-0.26668282926237963</v>
      </c>
      <c r="M91" s="30">
        <v>119.99</v>
      </c>
      <c r="N91" s="31">
        <f ca="1">M91*0.78</f>
        <v>93.5922</v>
      </c>
      <c r="O91" s="31">
        <f ca="1">N91/0.7</f>
        <v>133.70314285714286</v>
      </c>
      <c r="P91" s="31">
        <f ca="1">N91*0.9</f>
        <v>84.23298000000001</v>
      </c>
      <c r="R91" s="174">
        <v>43.529</v>
      </c>
      <c r="S91" s="205">
        <f ca="1">R91*AB91</f>
        <v>166541.95400000003</v>
      </c>
      <c r="T91" s="176">
        <f ca="1">(W91-R91)/W91</f>
        <v>0.5320267480863508</v>
      </c>
      <c r="U91" s="175">
        <f ca="1">I91</f>
        <v>164.99</v>
      </c>
      <c r="V91" s="175">
        <v>149.99</v>
      </c>
      <c r="W91" s="175">
        <f ca="1">H91*1.1</f>
        <v>93.016</v>
      </c>
      <c r="X91" s="175">
        <f ca="1">W91*0.9</f>
        <v>83.71440000000001</v>
      </c>
      <c r="Y91" s="208">
        <f ca="1">(U91-W91)/U91</f>
        <v>0.43623249893932964</v>
      </c>
      <c r="Z91" s="184">
        <f ca="1">(V91-W91)/V91</f>
        <v>0.3798519901326755</v>
      </c>
      <c r="AB91" s="4">
        <v>3826</v>
      </c>
      <c r="AC91" s="207">
        <f ca="1">AB91*W91</f>
        <v>355879.216</v>
      </c>
      <c r="AD91" s="207">
        <f ca="1">AC91-K91</f>
        <v>32352.656000000017</v>
      </c>
      <c r="AE91" s="4"/>
      <c r="AF91" s="4"/>
      <c r="AG91" s="4"/>
      <c r="AH91" s="4"/>
      <c r="AI91" s="4"/>
      <c r="AJ91" s="4"/>
    </row>
    <row r="92" spans="2:36" s="15" customFormat="1">
      <c r="B92" s="33">
        <v>4163</v>
      </c>
      <c r="C92" s="34" t="s">
        <v>208</v>
      </c>
      <c r="D92" s="33" t="s">
        <v>209</v>
      </c>
      <c r="E92" s="33">
        <v>1</v>
      </c>
      <c r="F92" s="33">
        <v>41</v>
      </c>
      <c r="G92" s="28">
        <f ca="1">H92*0.9</f>
        <v>92.96100000000001</v>
      </c>
      <c r="H92" s="36">
        <v>103.29</v>
      </c>
      <c r="I92" s="64">
        <v>219.99</v>
      </c>
      <c r="J92" s="183">
        <v>219.99</v>
      </c>
      <c r="K92" s="225">
        <f ca="1">AB92*H92</f>
        <v>187368.06</v>
      </c>
      <c r="L92" s="29">
        <f ca="1">(J92/I92)-1</f>
        <v>0</v>
      </c>
      <c r="M92" s="209"/>
      <c r="N92" s="31">
        <f ca="1">M92*0.78</f>
        <v>0</v>
      </c>
      <c r="O92" s="31">
        <f ca="1">N92/0.7</f>
        <v>0</v>
      </c>
      <c r="P92" s="31">
        <f ca="1">N92*0.9</f>
        <v>0</v>
      </c>
      <c r="R92" s="174">
        <v>56.195</v>
      </c>
      <c r="S92" s="205">
        <f ca="1">R92*AB92</f>
        <v>101937.73</v>
      </c>
      <c r="T92" s="176">
        <f ca="1">(W92-R92)/W92</f>
        <v>0.5054084264075551</v>
      </c>
      <c r="U92" s="175">
        <f ca="1">I92</f>
        <v>219.99</v>
      </c>
      <c r="V92" s="175">
        <v>179.99</v>
      </c>
      <c r="W92" s="175">
        <f ca="1">H92*1.1</f>
        <v>113.61900000000001</v>
      </c>
      <c r="X92" s="175">
        <f ca="1">W92*0.9</f>
        <v>102.25710000000001</v>
      </c>
      <c r="Y92" s="208">
        <f ca="1">(U92-W92)/U92</f>
        <v>0.483526523932906</v>
      </c>
      <c r="Z92" s="184">
        <f ca="1">(V92-W92)/V92</f>
        <v>0.36874826379243286</v>
      </c>
      <c r="AB92" s="4">
        <v>1814</v>
      </c>
      <c r="AC92" s="205">
        <f ca="1">AB92*W92</f>
        <v>206104.86600000004</v>
      </c>
      <c r="AD92" s="207">
        <f ca="1">AC92-K92</f>
        <v>18736.80600000004</v>
      </c>
      <c r="AE92" s="4"/>
      <c r="AF92" s="4"/>
      <c r="AG92" s="4"/>
      <c r="AH92" s="4"/>
      <c r="AI92" s="4"/>
      <c r="AJ92" s="4"/>
    </row>
    <row r="93" spans="2:36" s="15" customFormat="1">
      <c r="B93" s="37">
        <v>1253</v>
      </c>
      <c r="C93" s="34" t="s">
        <v>210</v>
      </c>
      <c r="D93" s="37" t="s">
        <v>211</v>
      </c>
      <c r="E93" s="33">
        <v>1</v>
      </c>
      <c r="F93" s="65">
        <v>50</v>
      </c>
      <c r="G93" s="28">
        <f ca="1">H93*0.9</f>
        <v>97.902</v>
      </c>
      <c r="H93" s="36">
        <v>108.78</v>
      </c>
      <c r="I93" s="36">
        <v>175.99</v>
      </c>
      <c r="J93" s="41">
        <v>155.99</v>
      </c>
      <c r="K93" s="225">
        <f ca="1">AB93*H93</f>
        <v>81258.66</v>
      </c>
      <c r="L93" s="29">
        <f ca="1">(J93/I93)-1</f>
        <v>-0.11364282061480768</v>
      </c>
      <c r="M93" s="30">
        <f ca="1">J93</f>
        <v>155.99</v>
      </c>
      <c r="N93" s="31">
        <f ca="1">M93*0.78</f>
        <v>121.67220000000002</v>
      </c>
      <c r="O93" s="31">
        <f ca="1">N93/0.7</f>
        <v>173.81742857142862</v>
      </c>
      <c r="P93" s="31">
        <f ca="1">N93*0.9</f>
        <v>109.50498000000002</v>
      </c>
      <c r="R93" s="174">
        <v>58.853</v>
      </c>
      <c r="S93" s="205">
        <f ca="1">R93*AB93</f>
        <v>43963.191</v>
      </c>
      <c r="T93" s="176">
        <f ca="1">(W93-R93)/W93</f>
        <v>0.508156579585151</v>
      </c>
      <c r="U93" s="175">
        <f ca="1">I93</f>
        <v>175.99</v>
      </c>
      <c r="V93" s="175"/>
      <c r="W93" s="175">
        <f ca="1">H93*1.1</f>
        <v>119.65800000000002</v>
      </c>
      <c r="X93" s="175">
        <f ca="1">W93*0.9</f>
        <v>107.69220000000001</v>
      </c>
      <c r="Y93" s="176">
        <f ca="1">(U93-W93)/U93</f>
        <v>0.3200863685436672</v>
      </c>
      <c r="Z93" s="210"/>
      <c r="AB93" s="4">
        <v>747</v>
      </c>
      <c r="AC93" s="205">
        <f ca="1">AB93*W93</f>
        <v>89384.52600000001</v>
      </c>
      <c r="AD93" s="207">
        <f ca="1">AC93-K93</f>
        <v>8125.866000000009</v>
      </c>
      <c r="AE93" s="4"/>
      <c r="AF93" s="4"/>
      <c r="AG93" s="4"/>
      <c r="AH93" s="4"/>
      <c r="AI93" s="4"/>
      <c r="AJ93" s="4"/>
    </row>
    <row r="94" spans="2:36" s="15" customFormat="1">
      <c r="B94" s="33">
        <v>1380</v>
      </c>
      <c r="C94" s="34" t="s">
        <v>212</v>
      </c>
      <c r="D94" s="33" t="s">
        <v>213</v>
      </c>
      <c r="E94" s="33">
        <v>1</v>
      </c>
      <c r="F94" s="33">
        <v>41</v>
      </c>
      <c r="G94" s="28">
        <f ca="1">H94*0.9</f>
        <v>81.369</v>
      </c>
      <c r="H94" s="36">
        <v>90.41</v>
      </c>
      <c r="I94" s="36">
        <v>179.99</v>
      </c>
      <c r="J94" s="41">
        <v>144.99</v>
      </c>
      <c r="K94" s="225">
        <f ca="1">AB94*H94</f>
        <v>526005.38</v>
      </c>
      <c r="L94" s="29">
        <f ca="1">(J94/I94)-1</f>
        <v>-0.19445524751375076</v>
      </c>
      <c r="M94" s="196">
        <v>129.99</v>
      </c>
      <c r="N94" s="31">
        <f ca="1">M94*0.78</f>
        <v>101.39220000000002</v>
      </c>
      <c r="O94" s="31">
        <f ca="1">N94/0.7</f>
        <v>144.84600000000003</v>
      </c>
      <c r="P94" s="31">
        <f ca="1">N94*0.9</f>
        <v>91.25298000000002</v>
      </c>
      <c r="R94" s="174">
        <v>40.16</v>
      </c>
      <c r="S94" s="205">
        <f ca="1">R94*AB94</f>
        <v>233650.87999999998</v>
      </c>
      <c r="T94" s="176">
        <f ca="1">(W94-R94)/W94</f>
        <v>0.5961830449165921</v>
      </c>
      <c r="U94" s="175">
        <f ca="1">I94</f>
        <v>179.99</v>
      </c>
      <c r="V94" s="200">
        <v>159.99</v>
      </c>
      <c r="W94" s="175">
        <f ca="1">H94*1.1</f>
        <v>99.45100000000001</v>
      </c>
      <c r="X94" s="175">
        <f ca="1">W94*0.9</f>
        <v>89.50590000000001</v>
      </c>
      <c r="Y94" s="176">
        <f ca="1">(U94-W94)/U94</f>
        <v>0.4474637479859992</v>
      </c>
      <c r="Z94" s="184">
        <f ca="1">(V94-W94)/V94</f>
        <v>0.3783923995249703</v>
      </c>
      <c r="AB94" s="4">
        <v>5818</v>
      </c>
      <c r="AC94" s="201">
        <f ca="1">AB94*W94</f>
        <v>578605.9180000001</v>
      </c>
      <c r="AD94" s="201">
        <f ca="1">AC94-K94</f>
        <v>52600.53800000006</v>
      </c>
      <c r="AE94" s="4"/>
      <c r="AF94" s="4"/>
      <c r="AG94" s="4"/>
      <c r="AH94" s="4"/>
      <c r="AI94" s="4"/>
      <c r="AJ94" s="4"/>
    </row>
    <row r="95" spans="2:36" s="15" customFormat="1">
      <c r="B95" s="37">
        <v>1280</v>
      </c>
      <c r="C95" s="34" t="s">
        <v>214</v>
      </c>
      <c r="D95" s="37" t="s">
        <v>215</v>
      </c>
      <c r="E95" s="33">
        <v>1</v>
      </c>
      <c r="F95" s="37">
        <v>50</v>
      </c>
      <c r="G95" s="28">
        <f ca="1">H95*0.9</f>
        <v>75.14099999999999</v>
      </c>
      <c r="H95" s="36">
        <v>83.49</v>
      </c>
      <c r="I95" s="36">
        <v>166.99</v>
      </c>
      <c r="J95" s="41">
        <v>138.99</v>
      </c>
      <c r="K95" s="225">
        <f ca="1">AB95*H95</f>
        <v>709080.57</v>
      </c>
      <c r="L95" s="29">
        <f ca="1">(J95/I95)-1</f>
        <v>-0.16767471106054255</v>
      </c>
      <c r="M95" s="196">
        <v>119.99</v>
      </c>
      <c r="N95" s="31">
        <f ca="1">M95*0.78</f>
        <v>93.5922</v>
      </c>
      <c r="O95" s="31">
        <f ca="1">N95/0.7</f>
        <v>133.70314285714286</v>
      </c>
      <c r="P95" s="31">
        <f ca="1">N95*0.9</f>
        <v>84.23298000000001</v>
      </c>
      <c r="R95" s="174">
        <v>38.684</v>
      </c>
      <c r="S95" s="205">
        <f ca="1">R95*AB95</f>
        <v>328543.212</v>
      </c>
      <c r="T95" s="176">
        <f ca="1">(W95-R95)/W95</f>
        <v>0.5787846122017879</v>
      </c>
      <c r="U95" s="175">
        <f ca="1">I95</f>
        <v>166.99</v>
      </c>
      <c r="V95" s="200">
        <v>149.99</v>
      </c>
      <c r="W95" s="175">
        <f ca="1">H95*1.1</f>
        <v>91.839</v>
      </c>
      <c r="X95" s="175">
        <f ca="1">W95*0.9</f>
        <v>82.6551</v>
      </c>
      <c r="Y95" s="208">
        <f ca="1">(U95-W95)/U95</f>
        <v>0.45003293610395834</v>
      </c>
      <c r="Z95" s="184">
        <f ca="1">(V95-W95)/V95</f>
        <v>0.3876991799453297</v>
      </c>
      <c r="AB95" s="4">
        <v>8493</v>
      </c>
      <c r="AC95" s="201">
        <f ca="1">AB95*W95</f>
        <v>779988.627</v>
      </c>
      <c r="AD95" s="201">
        <f ca="1">AC95-K95</f>
        <v>70908.05700000003</v>
      </c>
      <c r="AE95" s="4"/>
      <c r="AF95" s="4"/>
      <c r="AG95" s="4"/>
      <c r="AH95" s="4"/>
      <c r="AI95" s="4"/>
      <c r="AJ95" s="4"/>
    </row>
    <row r="96" spans="2:36" s="15" customFormat="1">
      <c r="B96" s="37">
        <v>1180</v>
      </c>
      <c r="C96" s="66" t="s">
        <v>216</v>
      </c>
      <c r="D96" s="37" t="s">
        <v>217</v>
      </c>
      <c r="E96" s="33">
        <v>1</v>
      </c>
      <c r="F96" s="37">
        <v>75</v>
      </c>
      <c r="G96" s="28">
        <f ca="1">H96*0.9</f>
        <v>71.55</v>
      </c>
      <c r="H96" s="36">
        <v>79.5</v>
      </c>
      <c r="I96" s="36">
        <v>159.99</v>
      </c>
      <c r="J96" s="41">
        <v>131.99</v>
      </c>
      <c r="K96" s="225">
        <f ca="1">AB96*H96</f>
        <v>186586.5</v>
      </c>
      <c r="L96" s="29">
        <f ca="1">(J96/I96)-1</f>
        <v>-0.17501093818363644</v>
      </c>
      <c r="M96" s="30">
        <v>129.99</v>
      </c>
      <c r="N96" s="31">
        <f ca="1">M96*0.78</f>
        <v>101.39220000000002</v>
      </c>
      <c r="O96" s="31">
        <f ca="1">N96/0.7</f>
        <v>144.84600000000003</v>
      </c>
      <c r="P96" s="31">
        <f ca="1">N96*0.9</f>
        <v>91.25298000000002</v>
      </c>
      <c r="R96" s="174">
        <v>37.809</v>
      </c>
      <c r="S96" s="205">
        <f ca="1">R96*AB96</f>
        <v>88737.723</v>
      </c>
      <c r="T96" s="176">
        <f ca="1">(W96-R96)/W96</f>
        <v>0.5676500857632933</v>
      </c>
      <c r="U96" s="175">
        <f ca="1">I96</f>
        <v>159.99</v>
      </c>
      <c r="V96" s="175">
        <v>139.99</v>
      </c>
      <c r="W96" s="175">
        <f ca="1">H96*1.1</f>
        <v>87.45</v>
      </c>
      <c r="X96" s="175">
        <f ca="1">W96*0.9</f>
        <v>78.705</v>
      </c>
      <c r="Y96" s="208">
        <f ca="1">(U96-W96)/U96</f>
        <v>0.4534033377086068</v>
      </c>
      <c r="Z96" s="184">
        <f ca="1">(V96-W96)/V96</f>
        <v>0.3753125223230231</v>
      </c>
      <c r="AB96" s="4">
        <v>2347</v>
      </c>
      <c r="AC96" s="205">
        <f ca="1">AB96*W96</f>
        <v>205245.15</v>
      </c>
      <c r="AD96" s="207">
        <f ca="1">AC96-K96</f>
        <v>18658.649999999994</v>
      </c>
      <c r="AE96" s="4"/>
      <c r="AF96" s="4"/>
      <c r="AG96" s="4"/>
      <c r="AH96" s="4"/>
      <c r="AI96" s="4"/>
      <c r="AJ96" s="4"/>
    </row>
    <row r="97" spans="2:36" s="15" customFormat="1">
      <c r="B97" s="33">
        <v>31440</v>
      </c>
      <c r="C97" s="34" t="s">
        <v>218</v>
      </c>
      <c r="D97" s="33" t="s">
        <v>219</v>
      </c>
      <c r="E97" s="33">
        <v>1</v>
      </c>
      <c r="F97" s="33">
        <v>40</v>
      </c>
      <c r="G97" s="28">
        <f ca="1">H97*0.9</f>
        <v>87.318</v>
      </c>
      <c r="H97" s="36">
        <v>97.02</v>
      </c>
      <c r="I97" s="36">
        <v>229.99</v>
      </c>
      <c r="J97" s="41">
        <v>160.99</v>
      </c>
      <c r="K97" s="225">
        <f ca="1">AB97*H97</f>
        <v>78198.12</v>
      </c>
      <c r="L97" s="29">
        <f ca="1">(J97/I97)-1</f>
        <v>-0.3000130440453933</v>
      </c>
      <c r="M97" s="30">
        <v>159.99</v>
      </c>
      <c r="N97" s="31">
        <f ca="1">M97*0.78</f>
        <v>124.79220000000001</v>
      </c>
      <c r="O97" s="31">
        <f ca="1">N97/0.7</f>
        <v>178.27457142857145</v>
      </c>
      <c r="P97" s="31">
        <f ca="1">N97*0.9</f>
        <v>112.31298000000001</v>
      </c>
      <c r="R97" s="174">
        <v>52.636</v>
      </c>
      <c r="S97" s="205">
        <f ca="1">R97*AB97</f>
        <v>42424.616</v>
      </c>
      <c r="T97" s="176">
        <f ca="1">(W97-R97)/W97</f>
        <v>0.5067933509491951</v>
      </c>
      <c r="U97" s="175">
        <f ca="1">I97</f>
        <v>229.99</v>
      </c>
      <c r="V97" s="175">
        <v>179.99</v>
      </c>
      <c r="W97" s="175">
        <f ca="1">H97*1.1</f>
        <v>106.72200000000001</v>
      </c>
      <c r="X97" s="175">
        <f ca="1">W97*0.9</f>
        <v>96.0498</v>
      </c>
      <c r="Y97" s="208">
        <f ca="1">(U97-W97)/U97</f>
        <v>0.5359711291795295</v>
      </c>
      <c r="Z97" s="184">
        <f ca="1">(V97-W97)/V97</f>
        <v>0.4070670592810712</v>
      </c>
      <c r="AB97" s="4">
        <v>806</v>
      </c>
      <c r="AC97" s="205">
        <f ca="1">AB97*W97</f>
        <v>86017.932</v>
      </c>
      <c r="AD97" s="207">
        <f ca="1">AC97-K97</f>
        <v>7819.812000000005</v>
      </c>
      <c r="AE97" s="4"/>
      <c r="AF97" s="4"/>
      <c r="AG97" s="4"/>
      <c r="AH97" s="4"/>
      <c r="AI97" s="4"/>
      <c r="AJ97" s="4"/>
    </row>
    <row r="98" spans="2:36" s="15" customFormat="1">
      <c r="B98" s="33">
        <v>31430</v>
      </c>
      <c r="C98" s="34" t="s">
        <v>220</v>
      </c>
      <c r="D98" s="33" t="s">
        <v>221</v>
      </c>
      <c r="E98" s="33">
        <v>1</v>
      </c>
      <c r="F98" s="33">
        <v>45</v>
      </c>
      <c r="G98" s="28">
        <f ca="1">H98*0.9</f>
        <v>57.519</v>
      </c>
      <c r="H98" s="36">
        <v>63.91</v>
      </c>
      <c r="I98" s="36">
        <v>129.99</v>
      </c>
      <c r="J98" s="41">
        <v>105.99</v>
      </c>
      <c r="K98" s="225">
        <f ca="1">AB98*H98</f>
        <v>380136.68</v>
      </c>
      <c r="L98" s="29">
        <f ca="1">(J98/I98)-1</f>
        <v>-0.18462958689129938</v>
      </c>
      <c r="M98" s="30">
        <f ca="1">J98</f>
        <v>105.99</v>
      </c>
      <c r="N98" s="31">
        <f ca="1">M98*0.78</f>
        <v>82.6722</v>
      </c>
      <c r="O98" s="31">
        <f ca="1">N98/0.7</f>
        <v>118.10314285714287</v>
      </c>
      <c r="P98" s="31">
        <f ca="1">N98*0.9</f>
        <v>74.40498000000001</v>
      </c>
      <c r="R98" s="174">
        <v>33.497</v>
      </c>
      <c r="S98" s="205">
        <f ca="1">R98*AB98</f>
        <v>199240.156</v>
      </c>
      <c r="T98" s="176">
        <f ca="1">(W98-R98)/W98</f>
        <v>0.5235202913187579</v>
      </c>
      <c r="U98" s="175">
        <f ca="1">I98</f>
        <v>129.99</v>
      </c>
      <c r="V98" s="175">
        <v>129.99</v>
      </c>
      <c r="W98" s="175">
        <f ca="1">H98*1.1</f>
        <v>70.301</v>
      </c>
      <c r="X98" s="175">
        <f ca="1">W98*0.9</f>
        <v>63.270900000000005</v>
      </c>
      <c r="Y98" s="208">
        <f ca="1">(U98-W98)/U98</f>
        <v>0.4591814754981153</v>
      </c>
      <c r="Z98" s="184">
        <f ca="1">(V98-W98)/V98</f>
        <v>0.4591814754981153</v>
      </c>
      <c r="AB98" s="4">
        <v>5948</v>
      </c>
      <c r="AC98" s="207">
        <f ca="1">AB98*W98</f>
        <v>418150.348</v>
      </c>
      <c r="AD98" s="207">
        <f ca="1">AC98-K98</f>
        <v>38013.668000000005</v>
      </c>
      <c r="AE98" s="4"/>
      <c r="AF98" s="4"/>
      <c r="AG98" s="4"/>
      <c r="AH98" s="4"/>
      <c r="AI98" s="4"/>
      <c r="AJ98" s="4"/>
    </row>
    <row r="99" spans="2:36" s="15" customFormat="1">
      <c r="B99" s="33">
        <v>31420</v>
      </c>
      <c r="C99" s="34" t="s">
        <v>222</v>
      </c>
      <c r="D99" s="33" t="s">
        <v>223</v>
      </c>
      <c r="E99" s="33">
        <v>1</v>
      </c>
      <c r="F99" s="33">
        <v>50</v>
      </c>
      <c r="G99" s="28">
        <f ca="1">H99*0.9</f>
        <v>55.368</v>
      </c>
      <c r="H99" s="36">
        <v>61.52</v>
      </c>
      <c r="I99" s="36">
        <v>122.99</v>
      </c>
      <c r="J99" s="41">
        <v>102.99</v>
      </c>
      <c r="K99" s="225">
        <f ca="1">AB99*H99</f>
        <v>180684.24000000002</v>
      </c>
      <c r="L99" s="29">
        <f ca="1">(J99/I99)-1</f>
        <v>-0.16261484673550697</v>
      </c>
      <c r="M99" s="30">
        <v>99.99</v>
      </c>
      <c r="N99" s="31">
        <f ca="1">M99*0.78</f>
        <v>77.9922</v>
      </c>
      <c r="O99" s="31">
        <f ca="1">N99/0.7</f>
        <v>111.41742857142857</v>
      </c>
      <c r="P99" s="31">
        <f ca="1">N99*0.9</f>
        <v>70.19298</v>
      </c>
      <c r="R99" s="174">
        <v>32.842</v>
      </c>
      <c r="S99" s="205">
        <f ca="1">R99*AB99</f>
        <v>96456.954</v>
      </c>
      <c r="T99" s="176">
        <f ca="1">(W99-R99)/W99</f>
        <v>0.5146884974583285</v>
      </c>
      <c r="U99" s="175">
        <f ca="1">I99</f>
        <v>122.99</v>
      </c>
      <c r="V99" s="175">
        <v>119.99</v>
      </c>
      <c r="W99" s="175">
        <f ca="1">H99*1.1</f>
        <v>67.67200000000001</v>
      </c>
      <c r="X99" s="175">
        <f ca="1">W99*0.9</f>
        <v>60.90480000000001</v>
      </c>
      <c r="Y99" s="208">
        <f ca="1">(U99-W99)/U99</f>
        <v>0.4497764045857386</v>
      </c>
      <c r="Z99" s="184">
        <f ca="1">(V99-W99)/V99</f>
        <v>0.436019668305692</v>
      </c>
      <c r="AB99" s="4">
        <v>2937</v>
      </c>
      <c r="AC99" s="205">
        <f ca="1">AB99*W99</f>
        <v>198752.66400000002</v>
      </c>
      <c r="AD99" s="207">
        <f ca="1">AC99-K99</f>
        <v>18068.424</v>
      </c>
      <c r="AE99" s="4"/>
      <c r="AF99" s="4"/>
      <c r="AG99" s="4"/>
      <c r="AH99" s="4"/>
      <c r="AI99" s="4"/>
      <c r="AJ99" s="4"/>
    </row>
    <row r="100" spans="2:36" s="15" customFormat="1">
      <c r="B100" s="33">
        <v>31410</v>
      </c>
      <c r="C100" s="34" t="s">
        <v>224</v>
      </c>
      <c r="D100" s="33" t="s">
        <v>225</v>
      </c>
      <c r="E100" s="33">
        <v>1</v>
      </c>
      <c r="F100" s="33">
        <v>70</v>
      </c>
      <c r="G100" s="28">
        <f ca="1">H100*0.9</f>
        <v>54.288000000000004</v>
      </c>
      <c r="H100" s="36">
        <v>60.32</v>
      </c>
      <c r="I100" s="36">
        <v>119.99</v>
      </c>
      <c r="J100" s="41">
        <v>99.99</v>
      </c>
      <c r="K100" s="225">
        <f ca="1">AB100*H100</f>
        <v>119433.6</v>
      </c>
      <c r="L100" s="29">
        <f ca="1">(J100/I100)-1</f>
        <v>-0.16668055671305948</v>
      </c>
      <c r="M100" s="30">
        <f ca="1">J100</f>
        <v>99.99</v>
      </c>
      <c r="N100" s="31">
        <f ca="1">M100*0.78</f>
        <v>77.9922</v>
      </c>
      <c r="O100" s="31">
        <f ca="1">N100/0.7</f>
        <v>111.41742857142857</v>
      </c>
      <c r="P100" s="31">
        <f ca="1">N100*0.9</f>
        <v>70.19298</v>
      </c>
      <c r="R100" s="174">
        <v>31.703</v>
      </c>
      <c r="S100" s="205">
        <f ca="1">R100*AB100</f>
        <v>62771.94</v>
      </c>
      <c r="T100" s="176">
        <f ca="1">(W100-R100)/W100</f>
        <v>0.5221997829756451</v>
      </c>
      <c r="U100" s="175">
        <f ca="1">I100</f>
        <v>119.99</v>
      </c>
      <c r="V100" s="175">
        <v>109.99</v>
      </c>
      <c r="W100" s="175">
        <f ca="1">H100*1.1</f>
        <v>66.352</v>
      </c>
      <c r="X100" s="175">
        <f ca="1">W100*0.9</f>
        <v>59.716800000000006</v>
      </c>
      <c r="Y100" s="208">
        <f ca="1">(U100-W100)/U100</f>
        <v>0.447020585048754</v>
      </c>
      <c r="Z100" s="184">
        <f ca="1">(V100-W100)/V100</f>
        <v>0.39674515865078636</v>
      </c>
      <c r="AB100" s="4">
        <v>1980</v>
      </c>
      <c r="AC100" s="205">
        <f ca="1">AB100*W100</f>
        <v>131376.96000000002</v>
      </c>
      <c r="AD100" s="207">
        <f ca="1">AC100-K100</f>
        <v>11943.360000000015</v>
      </c>
      <c r="AE100" s="4"/>
      <c r="AF100" s="4"/>
      <c r="AG100" s="4"/>
      <c r="AH100" s="4"/>
      <c r="AI100" s="4"/>
      <c r="AJ100" s="4"/>
    </row>
    <row r="101" spans="2:36" s="15" customFormat="1">
      <c r="B101" s="33">
        <v>1749</v>
      </c>
      <c r="C101" s="34" t="s">
        <v>226</v>
      </c>
      <c r="D101" s="33" t="s">
        <v>227</v>
      </c>
      <c r="E101" s="33">
        <v>1</v>
      </c>
      <c r="F101" s="33">
        <v>16</v>
      </c>
      <c r="G101" s="28">
        <f ca="1">H101*0.9</f>
        <v>153.108</v>
      </c>
      <c r="H101" s="36">
        <v>170.12</v>
      </c>
      <c r="I101" s="36">
        <v>264.99</v>
      </c>
      <c r="J101" s="41">
        <v>243.99</v>
      </c>
      <c r="K101" s="225">
        <f ca="1">AB101*H101</f>
        <v>68218.12</v>
      </c>
      <c r="L101" s="29">
        <f ca="1">(J101/I101)-1</f>
        <v>-0.0792482735197555</v>
      </c>
      <c r="M101" s="30">
        <v>239.99</v>
      </c>
      <c r="N101" s="31">
        <f ca="1">M101*0.78</f>
        <v>187.1922</v>
      </c>
      <c r="O101" s="31">
        <f ca="1">N101/0.7</f>
        <v>267.4174285714286</v>
      </c>
      <c r="P101" s="31">
        <f ca="1">N101*0.9</f>
        <v>168.47298</v>
      </c>
      <c r="R101" s="174">
        <v>81.505</v>
      </c>
      <c r="S101" s="205">
        <f ca="1">R101*AB101</f>
        <v>32683.504999999997</v>
      </c>
      <c r="T101" s="176">
        <f ca="1">(W101-R101)/W101</f>
        <v>0.5644518307932369</v>
      </c>
      <c r="U101" s="175">
        <f ca="1">I101</f>
        <v>264.99</v>
      </c>
      <c r="V101" s="175"/>
      <c r="W101" s="175">
        <f ca="1">H101*1.1</f>
        <v>187.13200000000003</v>
      </c>
      <c r="X101" s="175">
        <f ca="1">W101*0.9</f>
        <v>168.41880000000003</v>
      </c>
      <c r="Y101" s="176">
        <f ca="1">(U101-W101)/U101</f>
        <v>0.2938148609381485</v>
      </c>
      <c r="Z101" s="184"/>
      <c r="AB101" s="4">
        <v>401</v>
      </c>
      <c r="AC101" s="205">
        <f ca="1">AB101*W101</f>
        <v>75039.93200000002</v>
      </c>
      <c r="AD101" s="207">
        <f ca="1">AC101-K101</f>
        <v>6821.81200000002</v>
      </c>
      <c r="AE101" s="4"/>
      <c r="AF101" s="4"/>
      <c r="AG101" s="4"/>
      <c r="AH101" s="4"/>
      <c r="AI101" s="4"/>
      <c r="AJ101" s="4"/>
    </row>
    <row r="102" spans="2:36" s="15" customFormat="1">
      <c r="B102" s="33">
        <v>1739</v>
      </c>
      <c r="C102" s="34" t="s">
        <v>228</v>
      </c>
      <c r="D102" s="33" t="s">
        <v>229</v>
      </c>
      <c r="E102" s="33">
        <v>1</v>
      </c>
      <c r="F102" s="51">
        <v>50</v>
      </c>
      <c r="G102" s="28">
        <f ca="1">H102*0.9</f>
        <v>141.327</v>
      </c>
      <c r="H102" s="36">
        <v>157.03</v>
      </c>
      <c r="I102" s="36">
        <v>254.99</v>
      </c>
      <c r="J102" s="41">
        <v>214.99</v>
      </c>
      <c r="K102" s="225">
        <f ca="1">AB102*H102</f>
        <v>168179.13</v>
      </c>
      <c r="L102" s="29">
        <f ca="1">(J102/I102)-1</f>
        <v>-0.15686889681948313</v>
      </c>
      <c r="M102" s="30">
        <f ca="1">J102</f>
        <v>214.99</v>
      </c>
      <c r="N102" s="31">
        <f ca="1">M102*0.78</f>
        <v>167.6922</v>
      </c>
      <c r="O102" s="31">
        <f ca="1">N102/0.7</f>
        <v>239.56028571428575</v>
      </c>
      <c r="P102" s="31">
        <f ca="1">N102*0.9</f>
        <v>150.92298000000002</v>
      </c>
      <c r="R102" s="174">
        <v>72.434</v>
      </c>
      <c r="S102" s="205">
        <f ca="1">R102*AB102</f>
        <v>77576.814</v>
      </c>
      <c r="T102" s="176">
        <f ca="1">(W102-R102)/W102</f>
        <v>0.5806591676170738</v>
      </c>
      <c r="U102" s="175">
        <f ca="1">I102</f>
        <v>254.99</v>
      </c>
      <c r="V102" s="175"/>
      <c r="W102" s="175">
        <f ca="1">H102*1.1</f>
        <v>172.733</v>
      </c>
      <c r="X102" s="175">
        <f ca="1">W102*0.9</f>
        <v>155.4597</v>
      </c>
      <c r="Y102" s="176">
        <f ca="1">(U102-W102)/U102</f>
        <v>0.32258912114200555</v>
      </c>
      <c r="Z102" s="184"/>
      <c r="AB102" s="4">
        <v>1071</v>
      </c>
      <c r="AC102" s="205">
        <f ca="1">AB102*W102</f>
        <v>184997.043</v>
      </c>
      <c r="AD102" s="207">
        <f ca="1">AC102-K102</f>
        <v>16817.913</v>
      </c>
      <c r="AE102" s="4"/>
      <c r="AF102" s="4"/>
      <c r="AG102" s="4"/>
      <c r="AH102" s="4"/>
      <c r="AI102" s="4"/>
      <c r="AJ102" s="4"/>
    </row>
    <row r="103" spans="2:36" s="15" customFormat="1">
      <c r="B103" s="37">
        <v>30600</v>
      </c>
      <c r="C103" s="34" t="s">
        <v>230</v>
      </c>
      <c r="D103" s="37" t="s">
        <v>231</v>
      </c>
      <c r="E103" s="37">
        <v>1</v>
      </c>
      <c r="F103" s="37">
        <v>50</v>
      </c>
      <c r="G103" s="28">
        <f ca="1">H103*0.9</f>
        <v>69.183</v>
      </c>
      <c r="H103" s="36">
        <v>76.87</v>
      </c>
      <c r="I103" s="36">
        <v>119.99</v>
      </c>
      <c r="J103" s="41">
        <v>80.99</v>
      </c>
      <c r="K103" s="225">
        <f ca="1">AB103*H103</f>
        <v>121762.08</v>
      </c>
      <c r="L103" s="29">
        <f ca="1">(J103/I103)-1</f>
        <v>-0.3250270855904659</v>
      </c>
      <c r="M103" s="30">
        <v>79.99</v>
      </c>
      <c r="N103" s="31">
        <f ca="1">M103*0.78</f>
        <v>62.392199999999995</v>
      </c>
      <c r="O103" s="31">
        <f ca="1">N103/0.7</f>
        <v>89.13171428571428</v>
      </c>
      <c r="P103" s="31">
        <f ca="1">N103*0.9</f>
        <v>56.15298</v>
      </c>
      <c r="R103" s="174">
        <v>36.898</v>
      </c>
      <c r="S103" s="205">
        <f ca="1">R103*AB103</f>
        <v>58446.43200000001</v>
      </c>
      <c r="T103" s="176">
        <f ca="1">(W103-R103)/W103</f>
        <v>0.563631633099566</v>
      </c>
      <c r="U103" s="175">
        <f ca="1">I103</f>
        <v>119.99</v>
      </c>
      <c r="V103" s="175"/>
      <c r="W103" s="175">
        <f ca="1">H103*1.1</f>
        <v>84.55700000000002</v>
      </c>
      <c r="X103" s="175">
        <f ca="1">W103*0.9</f>
        <v>76.10130000000002</v>
      </c>
      <c r="Y103" s="176">
        <f ca="1">(U103-W103)/U103</f>
        <v>0.2952996083006916</v>
      </c>
      <c r="Z103" s="184"/>
      <c r="AB103" s="4">
        <v>1584</v>
      </c>
      <c r="AC103" s="205">
        <f ca="1">AB103*W103</f>
        <v>133938.28800000003</v>
      </c>
      <c r="AD103" s="207">
        <f ca="1">AC103-K103</f>
        <v>12176.208000000028</v>
      </c>
      <c r="AE103" s="4"/>
      <c r="AF103" s="4"/>
      <c r="AG103" s="4"/>
      <c r="AH103" s="4"/>
      <c r="AI103" s="4"/>
      <c r="AJ103" s="4"/>
    </row>
    <row r="104" spans="2:36" s="15" customFormat="1">
      <c r="B104" s="33">
        <v>6300</v>
      </c>
      <c r="C104" s="226" t="s">
        <v>882</v>
      </c>
      <c r="D104" s="33" t="s">
        <v>232</v>
      </c>
      <c r="E104" s="33">
        <v>1</v>
      </c>
      <c r="F104" s="37">
        <v>6</v>
      </c>
      <c r="G104" s="28">
        <f ca="1">H104*0.9</f>
        <v>314.1</v>
      </c>
      <c r="H104" s="36">
        <v>349</v>
      </c>
      <c r="I104" s="36">
        <v>549.99</v>
      </c>
      <c r="J104" s="41">
        <v>527.99</v>
      </c>
      <c r="K104" s="225">
        <f ca="1">AB104*H104</f>
        <v>46068</v>
      </c>
      <c r="L104" s="29">
        <f ca="1">(J104/I104)-1</f>
        <v>-0.04000072728595061</v>
      </c>
      <c r="M104" s="30">
        <f ca="1">J104</f>
        <v>527.99</v>
      </c>
      <c r="N104" s="31">
        <f ca="1">M104*0.78</f>
        <v>411.8322</v>
      </c>
      <c r="O104" s="31">
        <f ca="1">N104/0.7</f>
        <v>588.3317142857143</v>
      </c>
      <c r="P104" s="31">
        <f ca="1">N104*0.9</f>
        <v>370.64898</v>
      </c>
      <c r="R104" s="174">
        <v>280.825</v>
      </c>
      <c r="S104" s="205">
        <f ca="1">R104*AB104</f>
        <v>37068.9</v>
      </c>
      <c r="T104" s="176">
        <f ca="1">(W104-R104)/W104</f>
        <v>0.2684943995832249</v>
      </c>
      <c r="U104" s="175">
        <f ca="1">I104</f>
        <v>549.99</v>
      </c>
      <c r="V104" s="175"/>
      <c r="W104" s="175">
        <f ca="1">H104*1.1</f>
        <v>383.90000000000003</v>
      </c>
      <c r="X104" s="175">
        <f ca="1">W104*0.9</f>
        <v>345.51000000000005</v>
      </c>
      <c r="Y104" s="176">
        <f ca="1">(U104-W104)/U104</f>
        <v>0.30198730886016106</v>
      </c>
      <c r="Z104" s="184"/>
      <c r="AB104" s="4">
        <v>132</v>
      </c>
      <c r="AC104" s="205">
        <f ca="1">AB104*W104</f>
        <v>50674.8</v>
      </c>
      <c r="AD104" s="207">
        <f ca="1">AC104-K104</f>
        <v>4606.800000000003</v>
      </c>
      <c r="AE104" s="4"/>
      <c r="AF104" s="4"/>
      <c r="AG104" s="4"/>
      <c r="AH104" s="4"/>
      <c r="AI104" s="4"/>
      <c r="AJ104" s="4"/>
    </row>
    <row r="105" spans="2:36" s="15" customFormat="1">
      <c r="B105" s="45"/>
      <c r="C105" s="67"/>
      <c r="D105" s="45"/>
      <c r="E105" s="45"/>
      <c r="F105" s="45"/>
      <c r="G105" s="46"/>
      <c r="H105" s="46"/>
      <c r="I105" s="46"/>
      <c r="J105" s="46"/>
      <c r="K105" s="206">
        <f ca="1">K79+K80+K81+K90+K94+K95</f>
        <v>15742909.450000003</v>
      </c>
      <c r="L105" s="184"/>
      <c r="M105" s="42"/>
      <c r="N105" s="31"/>
      <c r="O105" s="31"/>
      <c r="P105" s="31"/>
      <c r="R105" s="206"/>
      <c r="S105" s="206">
        <f ca="1">S79+S80+S81+S90+S94+S95</f>
        <v>9304315.863000002</v>
      </c>
      <c r="T105" s="4"/>
      <c r="U105" s="175"/>
      <c r="V105" s="175"/>
      <c r="W105" s="175"/>
      <c r="X105" s="175"/>
      <c r="Y105" s="176"/>
      <c r="Z105" s="184"/>
      <c r="AB105" s="4"/>
      <c r="AC105" s="206">
        <f ca="1">AC79+AC80+AC81+AC90+AC94+AC95</f>
        <v>17317200.395</v>
      </c>
      <c r="AD105" s="206">
        <f ca="1">AD79+AD80+AD81+AD90+AD94+AD95</f>
        <v>1574290.9450000022</v>
      </c>
      <c r="AE105" s="184"/>
      <c r="AF105" s="4"/>
      <c r="AG105" s="4"/>
      <c r="AH105" s="4"/>
      <c r="AI105" s="4"/>
      <c r="AJ105" s="4"/>
    </row>
    <row r="106" spans="2:36" s="15" customFormat="1">
      <c r="B106" s="227"/>
      <c r="C106" s="228"/>
      <c r="D106" s="229"/>
      <c r="E106" s="229"/>
      <c r="F106" s="229"/>
      <c r="G106" s="230"/>
      <c r="H106" s="230"/>
      <c r="I106" s="231"/>
      <c r="J106" s="231"/>
      <c r="K106" s="205">
        <f ca="1">K83+K84+K85+K86+K87+K88+K89+K91+K92+K93+K96+K97+K98+K99+K100+K101+K102+K103+K104</f>
        <v>3267979.080000001</v>
      </c>
      <c r="L106" s="184"/>
      <c r="M106" s="42"/>
      <c r="N106" s="31"/>
      <c r="O106" s="31"/>
      <c r="P106" s="31"/>
      <c r="R106" s="206"/>
      <c r="S106" s="205">
        <f ca="1">S83+S84+S85+S86+S87+S88+S89+S91+S92+S93+S96+S97+S98+S99+S100+S101+S102+S103+S104</f>
        <v>1742985.2564999994</v>
      </c>
      <c r="T106" s="4"/>
      <c r="U106" s="175"/>
      <c r="V106" s="175"/>
      <c r="W106" s="175"/>
      <c r="X106" s="175"/>
      <c r="Y106" s="176"/>
      <c r="Z106" s="184"/>
      <c r="AB106" s="4"/>
      <c r="AC106" s="205">
        <f ca="1">AC83+AC84+AC85+AC86+AC87+AC88+AC89+AC91+AC92+AC93+AC96+AC97+AC98+AC99+AC100+AC101+AC102+AC103+AC104</f>
        <v>3594776.988</v>
      </c>
      <c r="AD106" s="205">
        <f ca="1">AD83+AD84+AD85+AD86+AD87+AD88+AD89+AD91+AD92+AD93+AD96+AD97+AD98+AD99+AD100+AD101+AD102+AD103+AD104</f>
        <v>326797.9080000002</v>
      </c>
      <c r="AE106" s="184"/>
      <c r="AF106" s="4"/>
      <c r="AG106" s="4"/>
      <c r="AH106" s="4"/>
      <c r="AI106" s="4"/>
      <c r="AJ106" s="4"/>
    </row>
    <row r="107" spans="2:36" s="15" customFormat="1" customHeight="1">
      <c r="B107" s="20" t="s">
        <v>233</v>
      </c>
      <c r="C107" s="309"/>
      <c r="D107" s="21"/>
      <c r="E107" s="21"/>
      <c r="F107" s="21"/>
      <c r="G107" s="22"/>
      <c r="H107" s="22"/>
      <c r="I107" s="47"/>
      <c r="J107" s="47"/>
      <c r="K107" s="232">
        <f ca="1">K105+K106</f>
        <v>19010888.530000005</v>
      </c>
      <c r="L107" s="14"/>
      <c r="M107" s="42"/>
      <c r="N107" s="31"/>
      <c r="O107" s="31"/>
      <c r="P107" s="31"/>
      <c r="R107" s="174"/>
      <c r="S107" s="232">
        <f ca="1">S105+S106</f>
        <v>11047301.119500002</v>
      </c>
      <c r="T107" s="4"/>
      <c r="U107" s="175"/>
      <c r="V107" s="175"/>
      <c r="W107" s="175"/>
      <c r="X107" s="175"/>
      <c r="Y107" s="176"/>
      <c r="Z107" s="184"/>
      <c r="AB107" s="4"/>
      <c r="AC107" s="232">
        <f ca="1">AC105+AC106</f>
        <v>20911977.383</v>
      </c>
      <c r="AD107" s="232">
        <f ca="1">AD105+AD106</f>
        <v>1901088.8530000024</v>
      </c>
      <c r="AE107" s="4"/>
      <c r="AF107" s="4"/>
      <c r="AG107" s="4"/>
      <c r="AH107" s="4"/>
      <c r="AI107" s="4"/>
      <c r="AJ107" s="4"/>
    </row>
    <row r="108" spans="2:36" s="15" customFormat="1">
      <c r="B108" s="68">
        <v>63800</v>
      </c>
      <c r="C108" s="69" t="s">
        <v>234</v>
      </c>
      <c r="D108" s="68" t="s">
        <v>235</v>
      </c>
      <c r="E108" s="68">
        <v>1</v>
      </c>
      <c r="F108" s="68">
        <v>26</v>
      </c>
      <c r="G108" s="28">
        <f ca="1">H108*0.9</f>
        <v>73.341</v>
      </c>
      <c r="H108" s="28">
        <v>81.49</v>
      </c>
      <c r="I108" s="28">
        <v>129.99</v>
      </c>
      <c r="J108" s="62">
        <v>116.99</v>
      </c>
      <c r="K108" s="213"/>
      <c r="L108" s="29">
        <f ca="1">(J108/I108)-1</f>
        <v>-0.10000769289945388</v>
      </c>
      <c r="M108" s="38">
        <v>104.99</v>
      </c>
      <c r="N108" s="31">
        <f ca="1">M108*0.78</f>
        <v>81.8922</v>
      </c>
      <c r="O108" s="31">
        <f ca="1">N108/0.7</f>
        <v>116.98885714285716</v>
      </c>
      <c r="P108" s="31">
        <f ca="1">N108*0.9</f>
        <v>73.70298000000001</v>
      </c>
      <c r="R108" s="174">
        <v>29.832</v>
      </c>
      <c r="S108" s="174"/>
      <c r="T108" s="176">
        <f ca="1">(W108-R108)/W108</f>
        <v>0.6513507354101292</v>
      </c>
      <c r="U108" s="175">
        <f ca="1">I108</f>
        <v>129.99</v>
      </c>
      <c r="V108" s="175"/>
      <c r="W108" s="175">
        <f ca="1">H108*1.05</f>
        <v>85.5645</v>
      </c>
      <c r="X108" s="175">
        <f ca="1">W108*0.9</f>
        <v>77.00805</v>
      </c>
      <c r="Y108" s="176">
        <f ca="1">(U108-W108)/U108</f>
        <v>0.34176090468497583</v>
      </c>
      <c r="Z108" s="184" t="e">
        <f ca="1">(V108-W108)/V108</f>
        <v>#DIV/0!</v>
      </c>
      <c r="AB108" s="4"/>
      <c r="AC108" s="4"/>
      <c r="AD108" s="4"/>
      <c r="AE108" s="4"/>
      <c r="AF108" s="4"/>
      <c r="AG108" s="4"/>
      <c r="AH108" s="4"/>
      <c r="AI108" s="4"/>
      <c r="AJ108" s="4"/>
    </row>
    <row r="109" spans="2:36" s="15" customFormat="1">
      <c r="B109" s="37">
        <v>61800</v>
      </c>
      <c r="C109" s="66" t="s">
        <v>236</v>
      </c>
      <c r="D109" s="37" t="s">
        <v>237</v>
      </c>
      <c r="E109" s="37">
        <v>1</v>
      </c>
      <c r="F109" s="37">
        <v>26</v>
      </c>
      <c r="G109" s="28">
        <f ca="1">H109*0.9</f>
        <v>68.50800000000001</v>
      </c>
      <c r="H109" s="36">
        <v>76.12</v>
      </c>
      <c r="I109" s="36">
        <v>139.99</v>
      </c>
      <c r="J109" s="41">
        <v>92.99</v>
      </c>
      <c r="K109" s="213"/>
      <c r="L109" s="29">
        <f ca="1">(J109/I109)-1</f>
        <v>-0.33573826701907283</v>
      </c>
      <c r="M109" s="38">
        <v>97.99</v>
      </c>
      <c r="N109" s="31">
        <f ca="1">M109*0.78</f>
        <v>76.4322</v>
      </c>
      <c r="O109" s="31">
        <f ca="1">N109/0.7</f>
        <v>109.18885714285715</v>
      </c>
      <c r="P109" s="31">
        <f ca="1">N109*0.9</f>
        <v>68.78898</v>
      </c>
      <c r="R109" s="174">
        <v>31.181</v>
      </c>
      <c r="S109" s="174"/>
      <c r="T109" s="176">
        <f ca="1">(W109-R109)/W109</f>
        <v>0.6098766358881966</v>
      </c>
      <c r="U109" s="175">
        <f ca="1">I109</f>
        <v>139.99</v>
      </c>
      <c r="V109" s="175"/>
      <c r="W109" s="175">
        <f ca="1">H109*1.05</f>
        <v>79.926</v>
      </c>
      <c r="X109" s="175">
        <f ca="1">W109*0.9</f>
        <v>71.9334</v>
      </c>
      <c r="Y109" s="191">
        <f ca="1">(U109-W109)/U109</f>
        <v>0.4290592185156083</v>
      </c>
      <c r="Z109" s="184" t="e">
        <f ca="1">(V109-W109)/V109</f>
        <v>#DIV/0!</v>
      </c>
      <c r="AB109" s="4"/>
      <c r="AC109" s="4"/>
      <c r="AD109" s="4"/>
      <c r="AE109" s="4"/>
      <c r="AF109" s="4"/>
      <c r="AG109" s="4"/>
      <c r="AH109" s="4"/>
      <c r="AI109" s="4"/>
      <c r="AJ109" s="4"/>
    </row>
    <row r="110" spans="2:36" s="15" customFormat="1">
      <c r="B110" s="37">
        <v>64800</v>
      </c>
      <c r="C110" s="66" t="s">
        <v>238</v>
      </c>
      <c r="D110" s="37" t="s">
        <v>239</v>
      </c>
      <c r="E110" s="37">
        <v>1</v>
      </c>
      <c r="F110" s="37">
        <v>26</v>
      </c>
      <c r="G110" s="28">
        <f ca="1">H110*0.9</f>
        <v>69.372</v>
      </c>
      <c r="H110" s="36">
        <v>77.08</v>
      </c>
      <c r="I110" s="36">
        <v>129.99</v>
      </c>
      <c r="J110" s="41">
        <v>114.99</v>
      </c>
      <c r="K110" s="213"/>
      <c r="L110" s="29">
        <f ca="1">(J110/I110)-1</f>
        <v>-0.11539349180706215</v>
      </c>
      <c r="M110" s="38">
        <v>99.99</v>
      </c>
      <c r="N110" s="31">
        <f ca="1">M110*0.78</f>
        <v>77.9922</v>
      </c>
      <c r="O110" s="31">
        <f ca="1">N110/0.7</f>
        <v>111.41742857142857</v>
      </c>
      <c r="P110" s="31">
        <f ca="1">N110*0.9</f>
        <v>70.19298</v>
      </c>
      <c r="R110" s="174">
        <v>31.605</v>
      </c>
      <c r="S110" s="174"/>
      <c r="T110" s="176">
        <f ca="1">(W110-R110)/W110</f>
        <v>0.6094966268811624</v>
      </c>
      <c r="U110" s="175">
        <f ca="1">I110</f>
        <v>129.99</v>
      </c>
      <c r="V110" s="175"/>
      <c r="W110" s="175">
        <f ca="1">H110*1.05</f>
        <v>80.934</v>
      </c>
      <c r="X110" s="175">
        <f ca="1">W110*0.9</f>
        <v>72.8406</v>
      </c>
      <c r="Y110" s="176">
        <f ca="1">(U110-W110)/U110</f>
        <v>0.3773828756058159</v>
      </c>
      <c r="Z110" s="184" t="e">
        <f ca="1">(V110-W110)/V110</f>
        <v>#DIV/0!</v>
      </c>
      <c r="AB110" s="4"/>
      <c r="AC110" s="4"/>
      <c r="AD110" s="4"/>
      <c r="AE110" s="4"/>
      <c r="AF110" s="4"/>
      <c r="AG110" s="4"/>
      <c r="AH110" s="4"/>
      <c r="AI110" s="4"/>
      <c r="AJ110" s="4"/>
    </row>
    <row r="111" spans="2:36" s="15" customFormat="1">
      <c r="B111" s="37">
        <v>62000</v>
      </c>
      <c r="C111" s="66" t="s">
        <v>240</v>
      </c>
      <c r="D111" s="37" t="s">
        <v>241</v>
      </c>
      <c r="E111" s="37">
        <v>1</v>
      </c>
      <c r="F111" s="37">
        <v>26</v>
      </c>
      <c r="G111" s="28">
        <f ca="1">H111*0.9</f>
        <v>99.30600000000001</v>
      </c>
      <c r="H111" s="36">
        <v>110.34</v>
      </c>
      <c r="I111" s="36">
        <v>159.99</v>
      </c>
      <c r="J111" s="41">
        <v>153.99</v>
      </c>
      <c r="K111" s="213"/>
      <c r="L111" s="29">
        <f ca="1">(J111/I111)-1</f>
        <v>-0.03750234389649354</v>
      </c>
      <c r="M111" s="38">
        <v>141.99</v>
      </c>
      <c r="N111" s="31">
        <f ca="1">M111*0.78</f>
        <v>110.75220000000002</v>
      </c>
      <c r="O111" s="31">
        <f ca="1">N111/0.7</f>
        <v>158.2174285714286</v>
      </c>
      <c r="P111" s="31">
        <f ca="1">N111*0.9</f>
        <v>99.67698000000001</v>
      </c>
      <c r="R111" s="174">
        <v>41.272</v>
      </c>
      <c r="S111" s="174"/>
      <c r="T111" s="176">
        <f ca="1">(W111-R111)/W111</f>
        <v>0.6437677481723159</v>
      </c>
      <c r="U111" s="175">
        <f ca="1">I111</f>
        <v>159.99</v>
      </c>
      <c r="V111" s="175"/>
      <c r="W111" s="175">
        <f ca="1">H111*1.05</f>
        <v>115.85700000000001</v>
      </c>
      <c r="X111" s="175">
        <f ca="1">W111*0.9</f>
        <v>104.27130000000001</v>
      </c>
      <c r="Y111" s="180">
        <f ca="1">(U111-W111)/U111</f>
        <v>0.27584849053065813</v>
      </c>
      <c r="Z111" s="184" t="e">
        <f ca="1">(V111-W111)/V111</f>
        <v>#DIV/0!</v>
      </c>
      <c r="AB111" s="4"/>
      <c r="AC111" s="4"/>
      <c r="AD111" s="4"/>
      <c r="AE111" s="4"/>
      <c r="AF111" s="4"/>
      <c r="AG111" s="4"/>
      <c r="AH111" s="4"/>
      <c r="AI111" s="4"/>
      <c r="AJ111" s="4"/>
    </row>
    <row r="112" spans="2:36" s="15" customFormat="1">
      <c r="B112" s="37">
        <v>61900</v>
      </c>
      <c r="C112" s="66" t="s">
        <v>242</v>
      </c>
      <c r="D112" s="37" t="s">
        <v>243</v>
      </c>
      <c r="E112" s="37">
        <v>1</v>
      </c>
      <c r="F112" s="37">
        <v>26</v>
      </c>
      <c r="G112" s="28">
        <f ca="1">H112*0.9</f>
        <v>87.003</v>
      </c>
      <c r="H112" s="36">
        <v>96.67</v>
      </c>
      <c r="I112" s="36">
        <v>149.99</v>
      </c>
      <c r="J112" s="41">
        <v>131.99</v>
      </c>
      <c r="K112" s="213"/>
      <c r="L112" s="29">
        <f ca="1">(J112/I112)-1</f>
        <v>-0.12000800053336891</v>
      </c>
      <c r="M112" s="38">
        <v>123.99</v>
      </c>
      <c r="N112" s="31">
        <f ca="1">M112*0.78</f>
        <v>96.7122</v>
      </c>
      <c r="O112" s="31">
        <f ca="1">N112/0.7</f>
        <v>138.16028571428572</v>
      </c>
      <c r="P112" s="31">
        <f ca="1">N112*0.9</f>
        <v>87.04098</v>
      </c>
      <c r="R112" s="174">
        <v>35.95</v>
      </c>
      <c r="S112" s="174"/>
      <c r="T112" s="176">
        <f ca="1">(W112-R112)/W112</f>
        <v>0.6458250208120903</v>
      </c>
      <c r="U112" s="175">
        <f ca="1">I112</f>
        <v>149.99</v>
      </c>
      <c r="V112" s="175"/>
      <c r="W112" s="175">
        <f ca="1">H112*1.05</f>
        <v>101.5035</v>
      </c>
      <c r="X112" s="175">
        <f ca="1">W112*0.9</f>
        <v>91.35315</v>
      </c>
      <c r="Y112" s="176">
        <f ca="1">(U112-W112)/U112</f>
        <v>0.3232648843256217</v>
      </c>
      <c r="Z112" s="184" t="e">
        <f ca="1">(V112-W112)/V112</f>
        <v>#DIV/0!</v>
      </c>
      <c r="AB112" s="4"/>
      <c r="AC112" s="4"/>
      <c r="AD112" s="4"/>
      <c r="AE112" s="4"/>
      <c r="AF112" s="4"/>
      <c r="AG112" s="4"/>
      <c r="AH112" s="4"/>
      <c r="AI112" s="4"/>
      <c r="AJ112" s="4"/>
    </row>
    <row r="113" spans="2:36" s="15" customFormat="1">
      <c r="B113" s="37">
        <v>63900</v>
      </c>
      <c r="C113" s="66" t="s">
        <v>244</v>
      </c>
      <c r="D113" s="37" t="s">
        <v>245</v>
      </c>
      <c r="E113" s="37">
        <v>1</v>
      </c>
      <c r="F113" s="37">
        <v>26</v>
      </c>
      <c r="G113" s="28">
        <f ca="1">H113*0.9</f>
        <v>92.349</v>
      </c>
      <c r="H113" s="36">
        <v>102.61</v>
      </c>
      <c r="I113" s="36">
        <v>179.99</v>
      </c>
      <c r="J113" s="41">
        <v>144.99</v>
      </c>
      <c r="K113" s="213"/>
      <c r="L113" s="29">
        <f ca="1">(J113/I113)-1</f>
        <v>-0.19445524751375076</v>
      </c>
      <c r="M113" s="38">
        <v>131.99</v>
      </c>
      <c r="N113" s="31">
        <f ca="1">M113*0.78</f>
        <v>102.9522</v>
      </c>
      <c r="O113" s="31">
        <f ca="1">N113/0.7</f>
        <v>147.07457142857143</v>
      </c>
      <c r="P113" s="31">
        <f ca="1">N113*0.9</f>
        <v>92.65698</v>
      </c>
      <c r="R113" s="174">
        <v>37.787</v>
      </c>
      <c r="S113" s="174"/>
      <c r="T113" s="176">
        <f ca="1">(W113-R113)/W113</f>
        <v>0.6492776625317312</v>
      </c>
      <c r="U113" s="175">
        <f ca="1">I113</f>
        <v>179.99</v>
      </c>
      <c r="V113" s="175"/>
      <c r="W113" s="175">
        <f ca="1">H113*1.05</f>
        <v>107.7405</v>
      </c>
      <c r="X113" s="175">
        <f ca="1">W113*0.9</f>
        <v>96.96645</v>
      </c>
      <c r="Y113" s="176">
        <f ca="1">(U113-W113)/U113</f>
        <v>0.40140841157842105</v>
      </c>
      <c r="Z113" s="184" t="e">
        <f ca="1">(V113-W113)/V113</f>
        <v>#DIV/0!</v>
      </c>
      <c r="AB113" s="4"/>
      <c r="AC113" s="4"/>
      <c r="AD113" s="4"/>
      <c r="AE113" s="4"/>
      <c r="AF113" s="4"/>
      <c r="AG113" s="4"/>
      <c r="AH113" s="4"/>
      <c r="AI113" s="4"/>
      <c r="AJ113" s="4"/>
    </row>
    <row r="114" spans="2:36" s="15" customFormat="1">
      <c r="B114" s="43">
        <v>60100</v>
      </c>
      <c r="C114" s="70" t="s">
        <v>246</v>
      </c>
      <c r="D114" s="43" t="s">
        <v>247</v>
      </c>
      <c r="E114" s="43">
        <v>1</v>
      </c>
      <c r="F114" s="43">
        <v>26</v>
      </c>
      <c r="G114" s="28">
        <f ca="1">H114*0.9</f>
        <v>56.457</v>
      </c>
      <c r="H114" s="41">
        <v>62.73</v>
      </c>
      <c r="I114" s="41">
        <v>79.99</v>
      </c>
      <c r="J114" s="41">
        <v>79.99</v>
      </c>
      <c r="K114" s="213"/>
      <c r="L114" s="14"/>
      <c r="M114" s="42"/>
      <c r="N114" s="31">
        <f ca="1">M114*0.78</f>
        <v>0</v>
      </c>
      <c r="O114" s="31">
        <f ca="1">N114/0.7</f>
        <v>0</v>
      </c>
      <c r="P114" s="31">
        <f ca="1">N114*0.9</f>
        <v>0</v>
      </c>
      <c r="R114" s="174">
        <v>21.967</v>
      </c>
      <c r="S114" s="174"/>
      <c r="T114" s="176">
        <f ca="1">(W114-R114)/W114</f>
        <v>0.6664920710831759</v>
      </c>
      <c r="U114" s="175">
        <f ca="1">I114</f>
        <v>79.99</v>
      </c>
      <c r="V114" s="175"/>
      <c r="W114" s="175">
        <f ca="1">H114*1.05</f>
        <v>65.8665</v>
      </c>
      <c r="X114" s="175">
        <f ca="1">W114*0.9</f>
        <v>59.27985</v>
      </c>
      <c r="Y114" s="180">
        <f ca="1">(U114-W114)/U114</f>
        <v>0.17656582072759086</v>
      </c>
      <c r="Z114" s="184" t="e">
        <f ca="1">(V114-W114)/V114</f>
        <v>#DIV/0!</v>
      </c>
      <c r="AB114" s="4"/>
      <c r="AC114" s="4"/>
      <c r="AD114" s="4"/>
      <c r="AE114" s="4"/>
      <c r="AF114" s="4"/>
      <c r="AG114" s="4"/>
      <c r="AH114" s="4"/>
      <c r="AI114" s="4"/>
      <c r="AJ114" s="4"/>
    </row>
    <row r="115" spans="2:36" s="15" customFormat="1">
      <c r="B115" s="37">
        <v>60105</v>
      </c>
      <c r="C115" s="71" t="s">
        <v>248</v>
      </c>
      <c r="D115" s="37" t="s">
        <v>249</v>
      </c>
      <c r="E115" s="72">
        <v>1</v>
      </c>
      <c r="F115" s="72">
        <v>26</v>
      </c>
      <c r="G115" s="28">
        <f ca="1">H115*0.9</f>
        <v>75.591</v>
      </c>
      <c r="H115" s="36">
        <v>83.99</v>
      </c>
      <c r="I115" s="36">
        <v>139.99</v>
      </c>
      <c r="J115" s="41">
        <v>139.99</v>
      </c>
      <c r="K115" s="213"/>
      <c r="L115" s="14"/>
      <c r="M115" s="42"/>
      <c r="N115" s="31">
        <f ca="1">M115*0.78</f>
        <v>0</v>
      </c>
      <c r="O115" s="31">
        <f ca="1">N115/0.7</f>
        <v>0</v>
      </c>
      <c r="P115" s="31">
        <f ca="1">N115*0.9</f>
        <v>0</v>
      </c>
      <c r="R115" s="174">
        <v>22.314</v>
      </c>
      <c r="S115" s="174"/>
      <c r="T115" s="176">
        <f ca="1">(W115-R115)/W115</f>
        <v>0.7469766808973857</v>
      </c>
      <c r="U115" s="175">
        <f ca="1">I115</f>
        <v>139.99</v>
      </c>
      <c r="V115" s="175"/>
      <c r="W115" s="175">
        <f ca="1">H115*1.05</f>
        <v>88.1895</v>
      </c>
      <c r="X115" s="175">
        <f ca="1">W115*0.9</f>
        <v>79.37055</v>
      </c>
      <c r="Y115" s="176">
        <f ca="1">(U115-W115)/U115</f>
        <v>0.3700300021430103</v>
      </c>
      <c r="Z115" s="184" t="e">
        <f ca="1">(V115-W115)/V115</f>
        <v>#DIV/0!</v>
      </c>
      <c r="AB115" s="4"/>
      <c r="AC115" s="4"/>
      <c r="AD115" s="4"/>
      <c r="AE115" s="4"/>
      <c r="AF115" s="4"/>
      <c r="AG115" s="4"/>
      <c r="AH115" s="4"/>
      <c r="AI115" s="4"/>
      <c r="AJ115" s="4"/>
    </row>
    <row r="116" spans="2:36" s="15" customFormat="1">
      <c r="B116" s="37">
        <v>60175</v>
      </c>
      <c r="C116" s="66" t="s">
        <v>250</v>
      </c>
      <c r="D116" s="37" t="s">
        <v>251</v>
      </c>
      <c r="E116" s="37">
        <v>1</v>
      </c>
      <c r="F116" s="33">
        <v>26</v>
      </c>
      <c r="G116" s="28">
        <f ca="1">H116*0.9</f>
        <v>66.33</v>
      </c>
      <c r="H116" s="36">
        <v>73.7</v>
      </c>
      <c r="I116" s="36">
        <v>119.99</v>
      </c>
      <c r="J116" s="41">
        <v>119.99</v>
      </c>
      <c r="K116" s="213"/>
      <c r="L116" s="14"/>
      <c r="M116" s="42"/>
      <c r="N116" s="31">
        <f ca="1">M116*0.78</f>
        <v>0</v>
      </c>
      <c r="O116" s="31">
        <f ca="1">N116/0.7</f>
        <v>0</v>
      </c>
      <c r="P116" s="31">
        <f ca="1">N116*0.9</f>
        <v>0</v>
      </c>
      <c r="R116" s="174">
        <v>24.987</v>
      </c>
      <c r="S116" s="174"/>
      <c r="T116" s="176">
        <f ca="1">(W116-R116)/W116</f>
        <v>0.6771079666602056</v>
      </c>
      <c r="U116" s="175">
        <f ca="1">I116</f>
        <v>119.99</v>
      </c>
      <c r="V116" s="175"/>
      <c r="W116" s="175">
        <f ca="1">H116*1.05</f>
        <v>77.385</v>
      </c>
      <c r="X116" s="175">
        <f ca="1">W116*0.9</f>
        <v>69.6465</v>
      </c>
      <c r="Y116" s="176">
        <f ca="1">(U116-W116)/U116</f>
        <v>0.35507125593799477</v>
      </c>
      <c r="Z116" s="184" t="e">
        <f ca="1">(V116-W116)/V116</f>
        <v>#DIV/0!</v>
      </c>
      <c r="AB116" s="4"/>
      <c r="AC116" s="4"/>
      <c r="AD116" s="4"/>
      <c r="AE116" s="4"/>
      <c r="AF116" s="4"/>
      <c r="AG116" s="4"/>
      <c r="AH116" s="4"/>
      <c r="AI116" s="4"/>
      <c r="AJ116" s="4"/>
    </row>
    <row r="117" spans="2:36" s="15" customFormat="1">
      <c r="B117" s="33">
        <v>63819</v>
      </c>
      <c r="C117" s="66" t="s">
        <v>252</v>
      </c>
      <c r="D117" s="73" t="s">
        <v>253</v>
      </c>
      <c r="E117" s="73">
        <v>1</v>
      </c>
      <c r="F117" s="73">
        <v>26</v>
      </c>
      <c r="G117" s="28">
        <f ca="1">H117*0.9</f>
        <v>75.591</v>
      </c>
      <c r="H117" s="36">
        <v>83.99</v>
      </c>
      <c r="I117" s="36">
        <v>139.99</v>
      </c>
      <c r="J117" s="41">
        <v>139.99</v>
      </c>
      <c r="K117" s="213"/>
      <c r="L117" s="14"/>
      <c r="M117" s="42"/>
      <c r="N117" s="31">
        <f ca="1">M117*0.78</f>
        <v>0</v>
      </c>
      <c r="O117" s="31">
        <f ca="1">N117/0.7</f>
        <v>0</v>
      </c>
      <c r="P117" s="31">
        <f ca="1">N117*0.9</f>
        <v>0</v>
      </c>
      <c r="R117" s="174">
        <v>28.851</v>
      </c>
      <c r="S117" s="174"/>
      <c r="T117" s="176">
        <f ca="1">(W117-R117)/W117</f>
        <v>0.6728522102971443</v>
      </c>
      <c r="U117" s="175">
        <f ca="1">I117</f>
        <v>139.99</v>
      </c>
      <c r="V117" s="175"/>
      <c r="W117" s="175">
        <f ca="1">H117*1.05</f>
        <v>88.1895</v>
      </c>
      <c r="X117" s="175">
        <f ca="1">W117*0.9</f>
        <v>79.37055</v>
      </c>
      <c r="Y117" s="176">
        <f ca="1">(U117-W117)/U117</f>
        <v>0.3700300021430103</v>
      </c>
      <c r="Z117" s="184" t="e">
        <f ca="1">(V117-W117)/V117</f>
        <v>#DIV/0!</v>
      </c>
      <c r="AB117" s="4"/>
      <c r="AC117" s="4"/>
      <c r="AD117" s="4"/>
      <c r="AE117" s="4"/>
      <c r="AF117" s="4"/>
      <c r="AG117" s="4"/>
      <c r="AH117" s="4"/>
      <c r="AI117" s="4"/>
      <c r="AJ117" s="4"/>
    </row>
    <row r="118" spans="2:36" s="15" customFormat="1">
      <c r="B118" s="37">
        <v>63950</v>
      </c>
      <c r="C118" s="66" t="s">
        <v>254</v>
      </c>
      <c r="D118" s="37" t="s">
        <v>255</v>
      </c>
      <c r="E118" s="37">
        <v>1</v>
      </c>
      <c r="F118" s="37">
        <v>18</v>
      </c>
      <c r="G118" s="28">
        <f ca="1">H118*0.9</f>
        <v>146.29500000000002</v>
      </c>
      <c r="H118" s="36">
        <v>162.55</v>
      </c>
      <c r="I118" s="36">
        <v>249.99</v>
      </c>
      <c r="J118" s="41">
        <v>197.99</v>
      </c>
      <c r="K118" s="213"/>
      <c r="L118" s="29">
        <f ca="1">(J118/I118)-1</f>
        <v>-0.20800832033281336</v>
      </c>
      <c r="M118" s="38">
        <v>207.99</v>
      </c>
      <c r="N118" s="31">
        <f ca="1">M118*0.78</f>
        <v>162.2322</v>
      </c>
      <c r="O118" s="31">
        <f ca="1">N118/0.7</f>
        <v>231.76028571428574</v>
      </c>
      <c r="P118" s="31">
        <f ca="1">N118*0.9</f>
        <v>146.00898</v>
      </c>
      <c r="R118" s="174">
        <v>55.707</v>
      </c>
      <c r="S118" s="174"/>
      <c r="T118" s="176">
        <f ca="1">(W118-R118)/W118</f>
        <v>0.6736125148306016</v>
      </c>
      <c r="U118" s="175">
        <f ca="1">I118</f>
        <v>249.99</v>
      </c>
      <c r="V118" s="175"/>
      <c r="W118" s="175">
        <f ca="1">H118*1.05</f>
        <v>170.6775</v>
      </c>
      <c r="X118" s="175">
        <f ca="1">W118*0.9</f>
        <v>153.60975000000002</v>
      </c>
      <c r="Y118" s="176">
        <f ca="1">(U118-W118)/U118</f>
        <v>0.3172626905076203</v>
      </c>
      <c r="Z118" s="184" t="e">
        <f ca="1">(V118-W118)/V118</f>
        <v>#DIV/0!</v>
      </c>
      <c r="AB118" s="4"/>
      <c r="AC118" s="4"/>
      <c r="AD118" s="4"/>
      <c r="AE118" s="4"/>
      <c r="AF118" s="4"/>
      <c r="AG118" s="4"/>
      <c r="AH118" s="4"/>
      <c r="AI118" s="4"/>
      <c r="AJ118" s="4"/>
    </row>
    <row r="119" spans="2:36" s="15" customFormat="1">
      <c r="B119" s="37">
        <v>63924</v>
      </c>
      <c r="C119" s="74" t="s">
        <v>256</v>
      </c>
      <c r="D119" s="63" t="s">
        <v>257</v>
      </c>
      <c r="E119" s="63">
        <v>1</v>
      </c>
      <c r="F119" s="63">
        <v>26</v>
      </c>
      <c r="G119" s="28">
        <f ca="1">H119*0.9</f>
        <v>149.886</v>
      </c>
      <c r="H119" s="54">
        <v>166.54</v>
      </c>
      <c r="I119" s="54">
        <v>249.99</v>
      </c>
      <c r="J119" s="182">
        <v>209.99</v>
      </c>
      <c r="K119" s="213"/>
      <c r="L119" s="29">
        <f ca="1">(J119/I119)-1</f>
        <v>-0.1600064002560102</v>
      </c>
      <c r="M119" s="38">
        <f ca="1">J119</f>
        <v>209.99</v>
      </c>
      <c r="N119" s="31">
        <f ca="1">M119*0.78</f>
        <v>163.7922</v>
      </c>
      <c r="O119" s="31">
        <f ca="1">N119/0.7</f>
        <v>233.98885714285717</v>
      </c>
      <c r="P119" s="31">
        <f ca="1">N119*0.9</f>
        <v>147.41298</v>
      </c>
      <c r="R119" s="174">
        <v>58.45</v>
      </c>
      <c r="S119" s="174"/>
      <c r="T119" s="176">
        <f ca="1">(W119-R119)/W119</f>
        <v>0.6657459669348704</v>
      </c>
      <c r="U119" s="175">
        <f ca="1">I119</f>
        <v>249.99</v>
      </c>
      <c r="V119" s="175"/>
      <c r="W119" s="175">
        <f ca="1">H119*1.05</f>
        <v>174.867</v>
      </c>
      <c r="X119" s="175">
        <f ca="1">W119*0.9</f>
        <v>157.3803</v>
      </c>
      <c r="Y119" s="176">
        <f ca="1">(U119-W119)/U119</f>
        <v>0.3005040201608065</v>
      </c>
      <c r="Z119" s="184" t="e">
        <f ca="1">(V119-W119)/V119</f>
        <v>#DIV/0!</v>
      </c>
      <c r="AB119" s="4"/>
      <c r="AC119" s="4"/>
      <c r="AD119" s="4"/>
      <c r="AE119" s="4"/>
      <c r="AF119" s="4"/>
      <c r="AG119" s="4"/>
      <c r="AH119" s="4"/>
      <c r="AI119" s="4"/>
      <c r="AJ119" s="4"/>
    </row>
    <row r="120" spans="2:36" s="15" customFormat="1">
      <c r="B120" s="37">
        <v>27500</v>
      </c>
      <c r="C120" s="74" t="s">
        <v>258</v>
      </c>
      <c r="D120" s="63" t="s">
        <v>259</v>
      </c>
      <c r="E120" s="63">
        <v>1</v>
      </c>
      <c r="F120" s="63">
        <v>45</v>
      </c>
      <c r="G120" s="28">
        <f ca="1">H120*0.9</f>
        <v>69.97500000000001</v>
      </c>
      <c r="H120" s="54">
        <v>77.75</v>
      </c>
      <c r="I120" s="54">
        <v>139.99</v>
      </c>
      <c r="J120" s="182">
        <v>99.99</v>
      </c>
      <c r="K120" s="213"/>
      <c r="L120" s="29">
        <f ca="1">(J120/I120)-1</f>
        <v>-0.2857346953353812</v>
      </c>
      <c r="M120" s="38">
        <f ca="1">J120</f>
        <v>99.99</v>
      </c>
      <c r="N120" s="31">
        <f ca="1">M120*0.78</f>
        <v>77.9922</v>
      </c>
      <c r="O120" s="31">
        <f ca="1">N120/0.7</f>
        <v>111.41742857142857</v>
      </c>
      <c r="P120" s="31">
        <f ca="1">N120*0.9</f>
        <v>70.19298</v>
      </c>
      <c r="R120" s="174">
        <v>35.425</v>
      </c>
      <c r="S120" s="174"/>
      <c r="T120" s="176">
        <f ca="1">(W120-R120)/W120</f>
        <v>0.5660695146225694</v>
      </c>
      <c r="U120" s="175">
        <f ca="1">I120</f>
        <v>139.99</v>
      </c>
      <c r="V120" s="175"/>
      <c r="W120" s="175">
        <f ca="1">H120*1.05</f>
        <v>81.6375</v>
      </c>
      <c r="X120" s="175">
        <f ca="1">W120*0.9</f>
        <v>73.47375000000001</v>
      </c>
      <c r="Y120" s="176">
        <f ca="1">(U120-W120)/U120</f>
        <v>0.41683334523894566</v>
      </c>
      <c r="Z120" s="184" t="e">
        <f ca="1">(V120-W120)/V120</f>
        <v>#DIV/0!</v>
      </c>
      <c r="AB120" s="4"/>
      <c r="AC120" s="4"/>
      <c r="AD120" s="4"/>
      <c r="AE120" s="4"/>
      <c r="AF120" s="4"/>
      <c r="AG120" s="4"/>
      <c r="AH120" s="4"/>
      <c r="AI120" s="4"/>
      <c r="AJ120" s="4"/>
    </row>
    <row r="121" spans="2:36" s="15" customFormat="1">
      <c r="B121" s="37">
        <v>60124</v>
      </c>
      <c r="C121" s="74" t="s">
        <v>260</v>
      </c>
      <c r="D121" s="63" t="s">
        <v>261</v>
      </c>
      <c r="E121" s="63">
        <v>1</v>
      </c>
      <c r="F121" s="63">
        <v>26</v>
      </c>
      <c r="G121" s="28">
        <f ca="1">H121*0.9</f>
        <v>87.48899999999999</v>
      </c>
      <c r="H121" s="54">
        <v>97.21</v>
      </c>
      <c r="I121" s="54">
        <v>149.99</v>
      </c>
      <c r="J121" s="54">
        <v>149.99</v>
      </c>
      <c r="K121" s="118"/>
      <c r="L121" s="14"/>
      <c r="M121" s="42"/>
      <c r="N121" s="31"/>
      <c r="O121" s="31"/>
      <c r="P121" s="31"/>
      <c r="R121" s="174">
        <v>39.262</v>
      </c>
      <c r="S121" s="174"/>
      <c r="T121" s="176">
        <f ca="1">(W121-R121)/W121</f>
        <v>0.6153442963441934</v>
      </c>
      <c r="U121" s="175">
        <f ca="1">I121</f>
        <v>149.99</v>
      </c>
      <c r="V121" s="175"/>
      <c r="W121" s="175">
        <f ca="1">H121*1.05</f>
        <v>102.0705</v>
      </c>
      <c r="X121" s="175">
        <f ca="1">W121*0.9</f>
        <v>91.86345</v>
      </c>
      <c r="Y121" s="176">
        <f ca="1">(U121-W121)/U121</f>
        <v>0.3194846323088207</v>
      </c>
      <c r="Z121" s="184" t="e">
        <f ca="1">(V121-W121)/V121</f>
        <v>#DIV/0!</v>
      </c>
      <c r="AB121" s="4"/>
      <c r="AC121" s="4"/>
      <c r="AD121" s="4"/>
      <c r="AE121" s="4"/>
      <c r="AF121" s="4"/>
      <c r="AG121" s="4"/>
      <c r="AH121" s="4"/>
      <c r="AI121" s="4"/>
      <c r="AJ121" s="4"/>
    </row>
    <row r="122" spans="2:36" s="15" customFormat="1" customHeight="1">
      <c r="B122" s="75"/>
      <c r="C122" s="20" t="s">
        <v>262</v>
      </c>
      <c r="D122" s="21"/>
      <c r="E122" s="21"/>
      <c r="F122" s="21"/>
      <c r="G122" s="22"/>
      <c r="H122" s="22"/>
      <c r="I122" s="47"/>
      <c r="J122" s="47"/>
      <c r="K122" s="212"/>
      <c r="L122" s="14"/>
      <c r="M122" s="42"/>
      <c r="N122" s="31"/>
      <c r="O122" s="31"/>
      <c r="P122" s="31"/>
      <c r="R122" s="174"/>
      <c r="S122" s="174"/>
      <c r="T122" s="4"/>
      <c r="U122" s="175"/>
      <c r="V122" s="175"/>
      <c r="W122" s="175"/>
      <c r="X122" s="175"/>
      <c r="Y122" s="176"/>
      <c r="Z122" s="184"/>
      <c r="AB122" s="4"/>
      <c r="AC122" s="4"/>
      <c r="AD122" s="4"/>
      <c r="AE122" s="4"/>
      <c r="AF122" s="4"/>
      <c r="AG122" s="4"/>
      <c r="AH122" s="4"/>
      <c r="AI122" s="4"/>
      <c r="AJ122" s="4"/>
    </row>
    <row r="123" spans="2:36" s="15" customFormat="1">
      <c r="B123" s="76" t="s">
        <v>263</v>
      </c>
      <c r="C123" s="77" t="s">
        <v>264</v>
      </c>
      <c r="D123" s="78" t="s">
        <v>265</v>
      </c>
      <c r="E123" s="79" t="s">
        <v>266</v>
      </c>
      <c r="F123" s="79" t="s">
        <v>266</v>
      </c>
      <c r="G123" s="79" t="s">
        <v>266</v>
      </c>
      <c r="H123" s="80">
        <v>6.92</v>
      </c>
      <c r="I123" s="81">
        <v>29.99</v>
      </c>
      <c r="J123" s="81">
        <v>29.99</v>
      </c>
      <c r="K123" s="214"/>
      <c r="L123" s="14"/>
      <c r="M123" s="42"/>
      <c r="N123" s="31">
        <f ca="1">M123*0.78</f>
        <v>0</v>
      </c>
      <c r="O123" s="31">
        <f ca="1">N123/0.7</f>
        <v>0</v>
      </c>
      <c r="P123" s="31">
        <f ca="1">N123*0.9</f>
        <v>0</v>
      </c>
      <c r="R123" s="174"/>
      <c r="S123" s="174"/>
      <c r="T123" s="4"/>
      <c r="U123" s="175">
        <f ca="1">I123</f>
        <v>29.99</v>
      </c>
      <c r="V123" s="175"/>
      <c r="W123" s="175">
        <f ca="1">H123*1.05</f>
        <v>7.266</v>
      </c>
      <c r="X123" s="175">
        <f ca="1">W123*0.9</f>
        <v>6.5394000000000005</v>
      </c>
      <c r="Y123" s="176">
        <f ca="1">(U123-W123)/U123</f>
        <v>0.7577192397465822</v>
      </c>
      <c r="Z123" s="184" t="e">
        <f ca="1">(V123-W123)/V123</f>
        <v>#DIV/0!</v>
      </c>
      <c r="AB123" s="4"/>
      <c r="AC123" s="4"/>
      <c r="AD123" s="4"/>
      <c r="AE123" s="4"/>
      <c r="AF123" s="4"/>
      <c r="AG123" s="4"/>
      <c r="AH123" s="4"/>
      <c r="AI123" s="4"/>
      <c r="AJ123" s="4"/>
    </row>
    <row r="124" spans="2:36" s="15" customFormat="1" customHeight="1">
      <c r="B124" s="82" t="s">
        <v>267</v>
      </c>
      <c r="C124" s="83" t="s">
        <v>268</v>
      </c>
      <c r="D124" s="84" t="s">
        <v>269</v>
      </c>
      <c r="E124" s="85" t="s">
        <v>266</v>
      </c>
      <c r="F124" s="85" t="s">
        <v>266</v>
      </c>
      <c r="G124" s="85" t="s">
        <v>266</v>
      </c>
      <c r="H124" s="86">
        <v>20.59</v>
      </c>
      <c r="I124" s="87">
        <v>59.99</v>
      </c>
      <c r="J124" s="87">
        <v>59.99</v>
      </c>
      <c r="K124" s="215"/>
      <c r="L124" s="14"/>
      <c r="M124" s="42"/>
      <c r="N124" s="31">
        <f ca="1">M124*0.78</f>
        <v>0</v>
      </c>
      <c r="O124" s="31">
        <f ca="1">N124/0.7</f>
        <v>0</v>
      </c>
      <c r="P124" s="31">
        <f ca="1">N124*0.9</f>
        <v>0</v>
      </c>
      <c r="R124" s="174"/>
      <c r="S124" s="174"/>
      <c r="T124" s="4"/>
      <c r="U124" s="175">
        <f ca="1">I124</f>
        <v>59.99</v>
      </c>
      <c r="V124" s="175"/>
      <c r="W124" s="175">
        <f ca="1">H124*1.05</f>
        <v>21.619500000000002</v>
      </c>
      <c r="X124" s="175">
        <f ca="1">W124*0.9</f>
        <v>19.45755</v>
      </c>
      <c r="Y124" s="176">
        <f ca="1">(U124-W124)/U124</f>
        <v>0.6396149358226371</v>
      </c>
      <c r="Z124" s="184" t="e">
        <f ca="1">(V124-W124)/V124</f>
        <v>#DIV/0!</v>
      </c>
      <c r="AB124" s="4"/>
      <c r="AC124" s="4"/>
      <c r="AD124" s="4"/>
      <c r="AE124" s="4"/>
      <c r="AF124" s="4"/>
      <c r="AG124" s="4"/>
      <c r="AH124" s="4"/>
      <c r="AI124" s="4"/>
      <c r="AJ124" s="4"/>
    </row>
    <row r="125" spans="2:36" s="90" customFormat="1" customHeight="1">
      <c r="B125" s="82" t="s">
        <v>270</v>
      </c>
      <c r="C125" s="83" t="s">
        <v>271</v>
      </c>
      <c r="D125" s="84" t="s">
        <v>272</v>
      </c>
      <c r="E125" s="85" t="s">
        <v>266</v>
      </c>
      <c r="F125" s="85" t="s">
        <v>266</v>
      </c>
      <c r="G125" s="85" t="s">
        <v>266</v>
      </c>
      <c r="H125" s="86">
        <v>18.84</v>
      </c>
      <c r="I125" s="87">
        <v>34.99</v>
      </c>
      <c r="J125" s="87">
        <v>34.99</v>
      </c>
      <c r="K125" s="215"/>
      <c r="L125" s="88"/>
      <c r="M125" s="89"/>
      <c r="N125" s="31">
        <f ca="1">M125*0.78</f>
        <v>0</v>
      </c>
      <c r="O125" s="31">
        <f ca="1">N125/0.7</f>
        <v>0</v>
      </c>
      <c r="P125" s="31">
        <f ca="1">N125*0.9</f>
        <v>0</v>
      </c>
      <c r="R125" s="177"/>
      <c r="S125" s="177"/>
      <c r="T125" s="173"/>
      <c r="U125" s="175">
        <f ca="1">I125</f>
        <v>34.99</v>
      </c>
      <c r="V125" s="175"/>
      <c r="W125" s="175">
        <f ca="1">H125*1.05</f>
        <v>19.782</v>
      </c>
      <c r="X125" s="175">
        <f ca="1">W125*0.9</f>
        <v>17.8038</v>
      </c>
      <c r="Y125" s="176">
        <f ca="1">(U125-W125)/U125</f>
        <v>0.4346384681337525</v>
      </c>
      <c r="Z125" s="184" t="e">
        <f ca="1">(V125-W125)/V125</f>
        <v>#DIV/0!</v>
      </c>
      <c r="AB125" s="173"/>
      <c r="AC125" s="173"/>
      <c r="AD125" s="173"/>
      <c r="AE125" s="173"/>
      <c r="AF125" s="173"/>
      <c r="AG125" s="173"/>
      <c r="AH125" s="173"/>
      <c r="AI125" s="173"/>
      <c r="AJ125" s="173"/>
    </row>
    <row r="126" spans="2:36" s="15" customFormat="1" customHeight="1">
      <c r="B126" s="82" t="s">
        <v>273</v>
      </c>
      <c r="C126" s="83" t="s">
        <v>274</v>
      </c>
      <c r="D126" s="84" t="s">
        <v>275</v>
      </c>
      <c r="E126" s="85" t="s">
        <v>266</v>
      </c>
      <c r="F126" s="85" t="s">
        <v>266</v>
      </c>
      <c r="G126" s="85" t="s">
        <v>266</v>
      </c>
      <c r="H126" s="86">
        <v>24.55</v>
      </c>
      <c r="I126" s="87">
        <v>39.99</v>
      </c>
      <c r="J126" s="87">
        <v>39.99</v>
      </c>
      <c r="K126" s="215"/>
      <c r="L126" s="88"/>
      <c r="M126" s="89"/>
      <c r="N126" s="31">
        <f ca="1">M126*0.78</f>
        <v>0</v>
      </c>
      <c r="O126" s="31">
        <f ca="1">N126/0.7</f>
        <v>0</v>
      </c>
      <c r="P126" s="31">
        <f ca="1">N126*0.9</f>
        <v>0</v>
      </c>
      <c r="R126" s="174"/>
      <c r="S126" s="174"/>
      <c r="T126" s="4"/>
      <c r="U126" s="175">
        <f ca="1">I126</f>
        <v>39.99</v>
      </c>
      <c r="V126" s="175"/>
      <c r="W126" s="175">
        <f ca="1">H126*1.05</f>
        <v>25.777500000000003</v>
      </c>
      <c r="X126" s="175">
        <f ca="1">W126*0.9</f>
        <v>23.199750000000005</v>
      </c>
      <c r="Y126" s="176">
        <f ca="1">(U126-W126)/U126</f>
        <v>0.35540135033758435</v>
      </c>
      <c r="Z126" s="184" t="e">
        <f ca="1">(V126-W126)/V126</f>
        <v>#DIV/0!</v>
      </c>
      <c r="AB126" s="4"/>
      <c r="AC126" s="4"/>
      <c r="AD126" s="4"/>
      <c r="AE126" s="4"/>
      <c r="AF126" s="4"/>
      <c r="AG126" s="4"/>
      <c r="AH126" s="4"/>
      <c r="AI126" s="4"/>
      <c r="AJ126" s="4"/>
    </row>
    <row r="127" spans="2:36" s="15" customFormat="1" customHeight="1">
      <c r="B127" s="82" t="s">
        <v>276</v>
      </c>
      <c r="C127" s="83" t="s">
        <v>277</v>
      </c>
      <c r="D127" s="84" t="s">
        <v>278</v>
      </c>
      <c r="E127" s="85" t="s">
        <v>266</v>
      </c>
      <c r="F127" s="85" t="s">
        <v>266</v>
      </c>
      <c r="G127" s="85" t="s">
        <v>266</v>
      </c>
      <c r="H127" s="86">
        <v>19.79</v>
      </c>
      <c r="I127" s="87">
        <v>44.99</v>
      </c>
      <c r="J127" s="87">
        <v>44.99</v>
      </c>
      <c r="K127" s="215"/>
      <c r="L127" s="14"/>
      <c r="M127" s="42"/>
      <c r="N127" s="31">
        <f ca="1">M127*0.78</f>
        <v>0</v>
      </c>
      <c r="O127" s="31">
        <f ca="1">N127/0.7</f>
        <v>0</v>
      </c>
      <c r="P127" s="31">
        <f ca="1">N127*0.9</f>
        <v>0</v>
      </c>
      <c r="R127" s="174"/>
      <c r="S127" s="174"/>
      <c r="T127" s="4"/>
      <c r="U127" s="175">
        <f ca="1">I127</f>
        <v>44.99</v>
      </c>
      <c r="V127" s="175"/>
      <c r="W127" s="175">
        <f ca="1">H127*1.05</f>
        <v>20.7795</v>
      </c>
      <c r="X127" s="175">
        <f ca="1">W127*0.9</f>
        <v>18.70155</v>
      </c>
      <c r="Y127" s="176">
        <f ca="1">(U127-W127)/U127</f>
        <v>0.5381306957101578</v>
      </c>
      <c r="Z127" s="184" t="e">
        <f ca="1">(V127-W127)/V127</f>
        <v>#DIV/0!</v>
      </c>
      <c r="AB127" s="4"/>
      <c r="AC127" s="4"/>
      <c r="AD127" s="4"/>
      <c r="AE127" s="4"/>
      <c r="AF127" s="4"/>
      <c r="AG127" s="4"/>
      <c r="AH127" s="4"/>
      <c r="AI127" s="4"/>
      <c r="AJ127" s="4"/>
    </row>
    <row r="128" spans="2:36" s="15" customFormat="1" customHeight="1">
      <c r="B128" s="82" t="s">
        <v>279</v>
      </c>
      <c r="C128" s="83" t="s">
        <v>280</v>
      </c>
      <c r="D128" s="84" t="s">
        <v>281</v>
      </c>
      <c r="E128" s="85" t="s">
        <v>266</v>
      </c>
      <c r="F128" s="85" t="s">
        <v>266</v>
      </c>
      <c r="G128" s="85" t="s">
        <v>266</v>
      </c>
      <c r="H128" s="86">
        <v>37.69</v>
      </c>
      <c r="I128" s="91">
        <v>74.99</v>
      </c>
      <c r="J128" s="91">
        <v>74.99</v>
      </c>
      <c r="K128" s="215"/>
      <c r="L128" s="14"/>
      <c r="M128" s="42"/>
      <c r="N128" s="31">
        <f ca="1">M128*0.78</f>
        <v>0</v>
      </c>
      <c r="O128" s="31">
        <f ca="1">N128/0.7</f>
        <v>0</v>
      </c>
      <c r="P128" s="31">
        <f ca="1">N128*0.9</f>
        <v>0</v>
      </c>
      <c r="R128" s="174"/>
      <c r="S128" s="174"/>
      <c r="T128" s="4"/>
      <c r="U128" s="175">
        <f ca="1">I128</f>
        <v>74.99</v>
      </c>
      <c r="V128" s="175"/>
      <c r="W128" s="175">
        <f ca="1">H128*1.05</f>
        <v>39.5745</v>
      </c>
      <c r="X128" s="175">
        <f ca="1">W128*0.9</f>
        <v>35.61705</v>
      </c>
      <c r="Y128" s="176">
        <f ca="1">(U128-W128)/U128</f>
        <v>0.47226963595146015</v>
      </c>
      <c r="Z128" s="184" t="e">
        <f ca="1">(V128-W128)/V128</f>
        <v>#DIV/0!</v>
      </c>
      <c r="AB128" s="4"/>
      <c r="AC128" s="4"/>
      <c r="AD128" s="4"/>
      <c r="AE128" s="4"/>
      <c r="AF128" s="4"/>
      <c r="AG128" s="4"/>
      <c r="AH128" s="4"/>
      <c r="AI128" s="4"/>
      <c r="AJ128" s="4"/>
    </row>
    <row r="129" spans="2:36" s="15" customFormat="1">
      <c r="B129" s="92" t="s">
        <v>282</v>
      </c>
      <c r="C129" s="93" t="s">
        <v>283</v>
      </c>
      <c r="D129" s="94" t="s">
        <v>284</v>
      </c>
      <c r="E129" s="85" t="s">
        <v>266</v>
      </c>
      <c r="F129" s="85" t="s">
        <v>266</v>
      </c>
      <c r="G129" s="85" t="s">
        <v>266</v>
      </c>
      <c r="H129" s="86">
        <v>15.98</v>
      </c>
      <c r="I129" s="87">
        <v>39.99</v>
      </c>
      <c r="J129" s="87">
        <v>39.99</v>
      </c>
      <c r="K129" s="215"/>
      <c r="L129" s="14"/>
      <c r="M129" s="42"/>
      <c r="N129" s="31">
        <f ca="1">M129*0.78</f>
        <v>0</v>
      </c>
      <c r="O129" s="31">
        <f ca="1">N129/0.7</f>
        <v>0</v>
      </c>
      <c r="P129" s="31">
        <f ca="1">N129*0.9</f>
        <v>0</v>
      </c>
      <c r="R129" s="174"/>
      <c r="S129" s="174"/>
      <c r="T129" s="4"/>
      <c r="U129" s="175">
        <f ca="1">I129</f>
        <v>39.99</v>
      </c>
      <c r="V129" s="175"/>
      <c r="W129" s="175">
        <f ca="1">H129*1.05</f>
        <v>16.779</v>
      </c>
      <c r="X129" s="175">
        <f ca="1">W129*0.9</f>
        <v>15.1011</v>
      </c>
      <c r="Y129" s="176">
        <f ca="1">(U129-W129)/U129</f>
        <v>0.5804201050262566</v>
      </c>
      <c r="Z129" s="184" t="e">
        <f ca="1">(V129-W129)/V129</f>
        <v>#DIV/0!</v>
      </c>
      <c r="AB129" s="4"/>
      <c r="AC129" s="4"/>
      <c r="AD129" s="4"/>
      <c r="AE129" s="4"/>
      <c r="AF129" s="4"/>
      <c r="AG129" s="4"/>
      <c r="AH129" s="4"/>
      <c r="AI129" s="4"/>
      <c r="AJ129" s="4"/>
    </row>
    <row r="130" spans="2:36" s="15" customFormat="1">
      <c r="B130" s="92" t="s">
        <v>285</v>
      </c>
      <c r="C130" s="93" t="s">
        <v>286</v>
      </c>
      <c r="D130" s="92" t="s">
        <v>287</v>
      </c>
      <c r="E130" s="85" t="s">
        <v>266</v>
      </c>
      <c r="F130" s="85" t="s">
        <v>266</v>
      </c>
      <c r="G130" s="85" t="s">
        <v>266</v>
      </c>
      <c r="H130" s="86">
        <v>13.39</v>
      </c>
      <c r="I130" s="87">
        <v>46.99</v>
      </c>
      <c r="J130" s="87">
        <v>46.99</v>
      </c>
      <c r="K130" s="215"/>
      <c r="L130" s="14"/>
      <c r="M130" s="42"/>
      <c r="N130" s="31">
        <f ca="1">M130*0.78</f>
        <v>0</v>
      </c>
      <c r="O130" s="31">
        <f ca="1">N130/0.7</f>
        <v>0</v>
      </c>
      <c r="P130" s="31">
        <f ca="1">N130*0.9</f>
        <v>0</v>
      </c>
      <c r="R130" s="174"/>
      <c r="S130" s="174"/>
      <c r="T130" s="4"/>
      <c r="U130" s="175">
        <f ca="1">I130</f>
        <v>46.99</v>
      </c>
      <c r="V130" s="175"/>
      <c r="W130" s="175">
        <f ca="1">H130*1.05</f>
        <v>14.059500000000002</v>
      </c>
      <c r="X130" s="175">
        <f ca="1">W130*0.9</f>
        <v>12.653550000000001</v>
      </c>
      <c r="Y130" s="176">
        <f ca="1">(U130-W130)/U130</f>
        <v>0.7007980421366248</v>
      </c>
      <c r="Z130" s="184" t="e">
        <f ca="1">(V130-W130)/V130</f>
        <v>#DIV/0!</v>
      </c>
      <c r="AB130" s="4"/>
      <c r="AC130" s="4"/>
      <c r="AD130" s="4"/>
      <c r="AE130" s="4"/>
      <c r="AF130" s="4"/>
      <c r="AG130" s="4"/>
      <c r="AH130" s="4"/>
      <c r="AI130" s="4"/>
      <c r="AJ130" s="4"/>
    </row>
    <row r="131" spans="2:36" s="15" customFormat="1">
      <c r="B131" s="92" t="s">
        <v>288</v>
      </c>
      <c r="C131" s="93" t="s">
        <v>289</v>
      </c>
      <c r="D131" s="94" t="s">
        <v>290</v>
      </c>
      <c r="E131" s="85" t="s">
        <v>266</v>
      </c>
      <c r="F131" s="85" t="s">
        <v>266</v>
      </c>
      <c r="G131" s="85" t="s">
        <v>266</v>
      </c>
      <c r="H131" s="86">
        <v>9.99</v>
      </c>
      <c r="I131" s="87">
        <v>14.99</v>
      </c>
      <c r="J131" s="87">
        <v>14.99</v>
      </c>
      <c r="K131" s="215"/>
      <c r="L131" s="88"/>
      <c r="M131" s="89"/>
      <c r="N131" s="31">
        <f ca="1">M131*0.78</f>
        <v>0</v>
      </c>
      <c r="O131" s="31">
        <f ca="1">N131/0.7</f>
        <v>0</v>
      </c>
      <c r="P131" s="31">
        <f ca="1">N131*0.9</f>
        <v>0</v>
      </c>
      <c r="R131" s="174"/>
      <c r="S131" s="174"/>
      <c r="T131" s="4"/>
      <c r="U131" s="175">
        <f ca="1">I131</f>
        <v>14.99</v>
      </c>
      <c r="V131" s="175"/>
      <c r="W131" s="175">
        <f ca="1">H131*1.05</f>
        <v>10.489500000000001</v>
      </c>
      <c r="X131" s="175">
        <f ca="1">W131*0.9</f>
        <v>9.440550000000002</v>
      </c>
      <c r="Y131" s="176">
        <f ca="1">(U131-W131)/U131</f>
        <v>0.30023348899266167</v>
      </c>
      <c r="Z131" s="184" t="e">
        <f ca="1">(V131-W131)/V131</f>
        <v>#DIV/0!</v>
      </c>
      <c r="AB131" s="4"/>
      <c r="AC131" s="4"/>
      <c r="AD131" s="4"/>
      <c r="AE131" s="4"/>
      <c r="AF131" s="4"/>
      <c r="AG131" s="4"/>
      <c r="AH131" s="4"/>
      <c r="AI131" s="4"/>
      <c r="AJ131" s="4"/>
    </row>
    <row r="132" spans="2:36" s="15" customFormat="1">
      <c r="B132" s="92" t="s">
        <v>291</v>
      </c>
      <c r="C132" s="93" t="s">
        <v>292</v>
      </c>
      <c r="D132" s="94" t="s">
        <v>293</v>
      </c>
      <c r="E132" s="85" t="s">
        <v>266</v>
      </c>
      <c r="F132" s="85" t="s">
        <v>266</v>
      </c>
      <c r="G132" s="85" t="s">
        <v>266</v>
      </c>
      <c r="H132" s="86">
        <v>5.19</v>
      </c>
      <c r="I132" s="87">
        <v>11.99</v>
      </c>
      <c r="J132" s="87">
        <v>11.99</v>
      </c>
      <c r="K132" s="215"/>
      <c r="L132" s="14"/>
      <c r="M132" s="42"/>
      <c r="N132" s="31">
        <f ca="1">M132*0.78</f>
        <v>0</v>
      </c>
      <c r="O132" s="31">
        <f ca="1">N132/0.7</f>
        <v>0</v>
      </c>
      <c r="P132" s="31">
        <f ca="1">N132*0.9</f>
        <v>0</v>
      </c>
      <c r="R132" s="174"/>
      <c r="S132" s="174"/>
      <c r="T132" s="4"/>
      <c r="U132" s="175">
        <f ca="1">I132</f>
        <v>11.99</v>
      </c>
      <c r="V132" s="175"/>
      <c r="W132" s="175">
        <f ca="1">H132*1.05</f>
        <v>5.4495000000000005</v>
      </c>
      <c r="X132" s="175">
        <f ca="1">W132*0.9</f>
        <v>4.90455</v>
      </c>
      <c r="Y132" s="176">
        <f ca="1">(U132-W132)/U132</f>
        <v>0.5454962468723936</v>
      </c>
      <c r="Z132" s="184" t="e">
        <f ca="1">(V132-W132)/V132</f>
        <v>#DIV/0!</v>
      </c>
      <c r="AB132" s="4"/>
      <c r="AC132" s="4"/>
      <c r="AD132" s="4"/>
      <c r="AE132" s="4"/>
      <c r="AF132" s="4"/>
      <c r="AG132" s="4"/>
      <c r="AH132" s="4"/>
      <c r="AI132" s="4"/>
      <c r="AJ132" s="4"/>
    </row>
    <row r="133" spans="2:36" s="15" customFormat="1">
      <c r="B133" s="95" t="s">
        <v>294</v>
      </c>
      <c r="C133" s="93" t="s">
        <v>295</v>
      </c>
      <c r="D133" s="96" t="s">
        <v>296</v>
      </c>
      <c r="E133" s="85" t="s">
        <v>266</v>
      </c>
      <c r="F133" s="85" t="s">
        <v>266</v>
      </c>
      <c r="G133" s="85" t="s">
        <v>266</v>
      </c>
      <c r="H133" s="86">
        <v>8.15</v>
      </c>
      <c r="I133" s="87">
        <v>34.99</v>
      </c>
      <c r="J133" s="87">
        <v>34.99</v>
      </c>
      <c r="K133" s="215"/>
      <c r="L133" s="14"/>
      <c r="M133" s="42"/>
      <c r="N133" s="31">
        <f ca="1">M133*0.78</f>
        <v>0</v>
      </c>
      <c r="O133" s="31">
        <f ca="1">N133/0.7</f>
        <v>0</v>
      </c>
      <c r="P133" s="31">
        <f ca="1">N133*0.9</f>
        <v>0</v>
      </c>
      <c r="R133" s="174"/>
      <c r="S133" s="174"/>
      <c r="T133" s="4"/>
      <c r="U133" s="175">
        <f ca="1">I133</f>
        <v>34.99</v>
      </c>
      <c r="V133" s="175"/>
      <c r="W133" s="175">
        <f ca="1">H133*1.05</f>
        <v>8.557500000000001</v>
      </c>
      <c r="X133" s="175">
        <f ca="1">W133*0.9</f>
        <v>7.701750000000001</v>
      </c>
      <c r="Y133" s="176">
        <f ca="1">(U133-W133)/U133</f>
        <v>0.7554301228922549</v>
      </c>
      <c r="Z133" s="184" t="e">
        <f ca="1">(V133-W133)/V133</f>
        <v>#DIV/0!</v>
      </c>
      <c r="AB133" s="4"/>
      <c r="AC133" s="4"/>
      <c r="AD133" s="4"/>
      <c r="AE133" s="4"/>
      <c r="AF133" s="4"/>
      <c r="AG133" s="4"/>
      <c r="AH133" s="4"/>
      <c r="AI133" s="4"/>
      <c r="AJ133" s="4"/>
    </row>
    <row r="134" spans="2:36" s="15" customFormat="1">
      <c r="B134" s="95" t="s">
        <v>297</v>
      </c>
      <c r="C134" s="93" t="s">
        <v>298</v>
      </c>
      <c r="D134" s="96" t="s">
        <v>299</v>
      </c>
      <c r="E134" s="85" t="s">
        <v>266</v>
      </c>
      <c r="F134" s="85" t="s">
        <v>266</v>
      </c>
      <c r="G134" s="85" t="s">
        <v>266</v>
      </c>
      <c r="H134" s="86">
        <v>7.14</v>
      </c>
      <c r="I134" s="87">
        <v>14.99</v>
      </c>
      <c r="J134" s="87">
        <v>14.99</v>
      </c>
      <c r="K134" s="215"/>
      <c r="L134" s="14"/>
      <c r="M134" s="42"/>
      <c r="N134" s="31">
        <f ca="1">M134*0.78</f>
        <v>0</v>
      </c>
      <c r="O134" s="31">
        <f ca="1">N134/0.7</f>
        <v>0</v>
      </c>
      <c r="P134" s="31">
        <f ca="1">N134*0.9</f>
        <v>0</v>
      </c>
      <c r="R134" s="174"/>
      <c r="S134" s="174"/>
      <c r="T134" s="4"/>
      <c r="U134" s="175">
        <f ca="1">I134</f>
        <v>14.99</v>
      </c>
      <c r="V134" s="175"/>
      <c r="W134" s="175">
        <f ca="1">H134*1.05</f>
        <v>7.497</v>
      </c>
      <c r="X134" s="175">
        <f ca="1">W134*0.9</f>
        <v>6.7473</v>
      </c>
      <c r="Y134" s="176">
        <f ca="1">(U134-W134)/U134</f>
        <v>0.499866577718479</v>
      </c>
      <c r="Z134" s="184" t="e">
        <f ca="1">(V134-W134)/V134</f>
        <v>#DIV/0!</v>
      </c>
      <c r="AB134" s="4"/>
      <c r="AC134" s="4"/>
      <c r="AD134" s="4"/>
      <c r="AE134" s="4"/>
      <c r="AF134" s="4"/>
      <c r="AG134" s="4"/>
      <c r="AH134" s="4"/>
      <c r="AI134" s="4"/>
      <c r="AJ134" s="4"/>
    </row>
    <row r="135" spans="2:36" s="15" customFormat="1">
      <c r="B135" s="95" t="s">
        <v>300</v>
      </c>
      <c r="C135" s="93" t="s">
        <v>301</v>
      </c>
      <c r="D135" s="92" t="s">
        <v>302</v>
      </c>
      <c r="E135" s="85" t="s">
        <v>266</v>
      </c>
      <c r="F135" s="85" t="s">
        <v>266</v>
      </c>
      <c r="G135" s="85" t="s">
        <v>266</v>
      </c>
      <c r="H135" s="86">
        <v>9.09</v>
      </c>
      <c r="I135" s="87">
        <v>24.99</v>
      </c>
      <c r="J135" s="87">
        <v>24.99</v>
      </c>
      <c r="K135" s="215"/>
      <c r="L135" s="14"/>
      <c r="M135" s="42"/>
      <c r="N135" s="31">
        <f ca="1">M135*0.78</f>
        <v>0</v>
      </c>
      <c r="O135" s="31">
        <f ca="1">N135/0.7</f>
        <v>0</v>
      </c>
      <c r="P135" s="31">
        <f ca="1">N135*0.9</f>
        <v>0</v>
      </c>
      <c r="R135" s="174"/>
      <c r="S135" s="174"/>
      <c r="T135" s="4"/>
      <c r="U135" s="175">
        <f ca="1">I135</f>
        <v>24.99</v>
      </c>
      <c r="V135" s="175"/>
      <c r="W135" s="175">
        <f ca="1">H135*1.05</f>
        <v>9.544500000000001</v>
      </c>
      <c r="X135" s="175">
        <f ca="1">W135*0.9</f>
        <v>8.590050000000002</v>
      </c>
      <c r="Y135" s="176">
        <f ca="1">(U135-W135)/U135</f>
        <v>0.6180672268907562</v>
      </c>
      <c r="Z135" s="184" t="e">
        <f ca="1">(V135-W135)/V135</f>
        <v>#DIV/0!</v>
      </c>
      <c r="AB135" s="4"/>
      <c r="AC135" s="4"/>
      <c r="AD135" s="4"/>
      <c r="AE135" s="4"/>
      <c r="AF135" s="4"/>
      <c r="AG135" s="4"/>
      <c r="AH135" s="4"/>
      <c r="AI135" s="4"/>
      <c r="AJ135" s="4"/>
    </row>
    <row r="136" spans="2:36" s="15" customFormat="1">
      <c r="B136" s="95" t="s">
        <v>303</v>
      </c>
      <c r="C136" s="93" t="s">
        <v>304</v>
      </c>
      <c r="D136" s="92" t="s">
        <v>305</v>
      </c>
      <c r="E136" s="85" t="s">
        <v>266</v>
      </c>
      <c r="F136" s="85" t="s">
        <v>266</v>
      </c>
      <c r="G136" s="85" t="s">
        <v>266</v>
      </c>
      <c r="H136" s="86">
        <v>5.58</v>
      </c>
      <c r="I136" s="87">
        <v>19.99</v>
      </c>
      <c r="J136" s="87">
        <v>19.99</v>
      </c>
      <c r="K136" s="215"/>
      <c r="L136" s="14"/>
      <c r="M136" s="42"/>
      <c r="N136" s="31">
        <f ca="1">M136*0.78</f>
        <v>0</v>
      </c>
      <c r="O136" s="31">
        <f ca="1">N136/0.7</f>
        <v>0</v>
      </c>
      <c r="P136" s="31">
        <f ca="1">N136*0.9</f>
        <v>0</v>
      </c>
      <c r="R136" s="174"/>
      <c r="S136" s="174"/>
      <c r="T136" s="4"/>
      <c r="U136" s="175">
        <f ca="1">I136</f>
        <v>19.99</v>
      </c>
      <c r="V136" s="175"/>
      <c r="W136" s="175">
        <f ca="1">H136*1.05</f>
        <v>5.859</v>
      </c>
      <c r="X136" s="175">
        <f ca="1">W136*0.9</f>
        <v>5.2731</v>
      </c>
      <c r="Y136" s="176">
        <f ca="1">(U136-W136)/U136</f>
        <v>0.7069034517258629</v>
      </c>
      <c r="Z136" s="184" t="e">
        <f ca="1">(V136-W136)/V136</f>
        <v>#DIV/0!</v>
      </c>
      <c r="AB136" s="4"/>
      <c r="AC136" s="4"/>
      <c r="AD136" s="4"/>
      <c r="AE136" s="4"/>
      <c r="AF136" s="4"/>
      <c r="AG136" s="4"/>
      <c r="AH136" s="4"/>
      <c r="AI136" s="4"/>
      <c r="AJ136" s="4"/>
    </row>
    <row r="137" spans="2:36" s="15" customFormat="1" customHeight="1">
      <c r="B137" s="97" t="s">
        <v>306</v>
      </c>
      <c r="C137" s="83" t="s">
        <v>307</v>
      </c>
      <c r="D137" s="84" t="s">
        <v>308</v>
      </c>
      <c r="E137" s="85" t="s">
        <v>266</v>
      </c>
      <c r="F137" s="85" t="s">
        <v>266</v>
      </c>
      <c r="G137" s="85" t="s">
        <v>266</v>
      </c>
      <c r="H137" s="86">
        <v>11.43</v>
      </c>
      <c r="I137" s="87">
        <v>29.99</v>
      </c>
      <c r="J137" s="87">
        <v>29.99</v>
      </c>
      <c r="K137" s="215"/>
      <c r="L137" s="14"/>
      <c r="M137" s="42"/>
      <c r="N137" s="31">
        <f ca="1">M137*0.78</f>
        <v>0</v>
      </c>
      <c r="O137" s="31">
        <f ca="1">N137/0.7</f>
        <v>0</v>
      </c>
      <c r="P137" s="31">
        <f ca="1">N137*0.9</f>
        <v>0</v>
      </c>
      <c r="R137" s="174"/>
      <c r="S137" s="174"/>
      <c r="T137" s="4"/>
      <c r="U137" s="175">
        <f ca="1">I137</f>
        <v>29.99</v>
      </c>
      <c r="V137" s="175"/>
      <c r="W137" s="175">
        <f ca="1">H137*1.05</f>
        <v>12.0015</v>
      </c>
      <c r="X137" s="175">
        <f ca="1">W137*0.9</f>
        <v>10.801350000000001</v>
      </c>
      <c r="Y137" s="176">
        <f ca="1">(U137-W137)/U137</f>
        <v>0.5998166055351783</v>
      </c>
      <c r="Z137" s="184" t="e">
        <f ca="1">(V137-W137)/V137</f>
        <v>#DIV/0!</v>
      </c>
      <c r="AB137" s="4"/>
      <c r="AC137" s="4"/>
      <c r="AD137" s="4"/>
      <c r="AE137" s="4"/>
      <c r="AF137" s="4"/>
      <c r="AG137" s="4"/>
      <c r="AH137" s="4"/>
      <c r="AI137" s="4"/>
      <c r="AJ137" s="4"/>
    </row>
    <row r="138" spans="2:36" s="15" customFormat="1">
      <c r="B138" s="63"/>
      <c r="C138" s="44"/>
      <c r="D138" s="45"/>
      <c r="E138" s="45"/>
      <c r="F138" s="45"/>
      <c r="G138" s="46"/>
      <c r="H138" s="46"/>
      <c r="I138" s="46"/>
      <c r="J138" s="46"/>
      <c r="K138" s="105"/>
      <c r="L138" s="14"/>
      <c r="M138" s="42"/>
      <c r="N138" s="31"/>
      <c r="O138" s="31"/>
      <c r="P138" s="31"/>
      <c r="R138" s="174"/>
      <c r="S138" s="174"/>
      <c r="T138" s="4"/>
      <c r="U138" s="175"/>
      <c r="V138" s="175"/>
      <c r="W138" s="175"/>
      <c r="X138" s="175"/>
      <c r="Y138" s="176"/>
      <c r="Z138" s="184"/>
      <c r="AB138" s="4"/>
      <c r="AC138" s="4"/>
      <c r="AD138" s="4"/>
      <c r="AE138" s="4"/>
      <c r="AF138" s="4"/>
      <c r="AG138" s="4"/>
      <c r="AH138" s="4"/>
      <c r="AI138" s="4"/>
      <c r="AJ138" s="4"/>
    </row>
    <row r="139" spans="2:36" s="15" customFormat="1" customHeight="1">
      <c r="B139" s="20" t="s">
        <v>309</v>
      </c>
      <c r="C139" s="309"/>
      <c r="D139" s="21"/>
      <c r="E139" s="21"/>
      <c r="F139" s="21"/>
      <c r="G139" s="22"/>
      <c r="H139" s="22"/>
      <c r="I139" s="47"/>
      <c r="J139" s="47"/>
      <c r="K139" s="212"/>
      <c r="L139" s="14"/>
      <c r="M139" s="42"/>
      <c r="N139" s="31"/>
      <c r="O139" s="31"/>
      <c r="P139" s="31"/>
      <c r="R139" s="174"/>
      <c r="S139" s="174"/>
      <c r="T139" s="4"/>
      <c r="U139" s="175"/>
      <c r="V139" s="175"/>
      <c r="W139" s="175"/>
      <c r="X139" s="175"/>
      <c r="Y139" s="176"/>
      <c r="Z139" s="184"/>
      <c r="AB139" s="4"/>
      <c r="AC139" s="4"/>
      <c r="AD139" s="4"/>
      <c r="AE139" s="4"/>
      <c r="AF139" s="4"/>
      <c r="AG139" s="4"/>
      <c r="AH139" s="4"/>
      <c r="AI139" s="4"/>
      <c r="AJ139" s="4"/>
    </row>
    <row r="140" spans="2:36" s="15" customFormat="1">
      <c r="B140" s="25">
        <v>1003</v>
      </c>
      <c r="C140" s="26" t="s">
        <v>310</v>
      </c>
      <c r="D140" s="25" t="s">
        <v>311</v>
      </c>
      <c r="E140" s="25">
        <v>6</v>
      </c>
      <c r="F140" s="25">
        <v>180</v>
      </c>
      <c r="G140" s="28">
        <f ca="1">H140*0.9</f>
        <v>9.450000000000001</v>
      </c>
      <c r="H140" s="28">
        <v>10.5</v>
      </c>
      <c r="I140" s="28">
        <v>14.99</v>
      </c>
      <c r="J140" s="28">
        <v>14.99</v>
      </c>
      <c r="K140" s="118"/>
      <c r="L140" s="14"/>
      <c r="M140" s="42"/>
      <c r="N140" s="31">
        <f ca="1">M140*0.78</f>
        <v>0</v>
      </c>
      <c r="O140" s="31">
        <f ca="1">N140/0.7</f>
        <v>0</v>
      </c>
      <c r="P140" s="31">
        <f ca="1">N140*0.9</f>
        <v>0</v>
      </c>
      <c r="R140" s="174">
        <v>3.523</v>
      </c>
      <c r="S140" s="174"/>
      <c r="T140" s="176">
        <f ca="1">(W140-R140)/W140</f>
        <v>0.6804535147392291</v>
      </c>
      <c r="U140" s="175">
        <f ca="1">I140</f>
        <v>14.99</v>
      </c>
      <c r="V140" s="175"/>
      <c r="W140" s="175">
        <f ca="1">H140*1.05</f>
        <v>11.025</v>
      </c>
      <c r="X140" s="175">
        <f ca="1">W140*0.9</f>
        <v>9.922500000000001</v>
      </c>
      <c r="Y140" s="180">
        <f ca="1">(U140-W140)/U140</f>
        <v>0.26450967311541024</v>
      </c>
      <c r="Z140" s="184" t="e">
        <f ca="1">(V140-W140)/V140</f>
        <v>#DIV/0!</v>
      </c>
      <c r="AB140" s="4"/>
      <c r="AC140" s="4"/>
      <c r="AD140" s="4"/>
      <c r="AE140" s="4"/>
      <c r="AF140" s="4"/>
      <c r="AG140" s="4"/>
      <c r="AH140" s="4"/>
      <c r="AI140" s="4"/>
      <c r="AJ140" s="4"/>
    </row>
    <row r="141" spans="2:36" s="15" customFormat="1">
      <c r="B141" s="33">
        <v>1002</v>
      </c>
      <c r="C141" s="34" t="s">
        <v>312</v>
      </c>
      <c r="D141" s="33" t="s">
        <v>313</v>
      </c>
      <c r="E141" s="33">
        <v>6</v>
      </c>
      <c r="F141" s="33">
        <v>180</v>
      </c>
      <c r="G141" s="28">
        <f ca="1">H141*0.9</f>
        <v>9.450000000000001</v>
      </c>
      <c r="H141" s="36">
        <v>10.5</v>
      </c>
      <c r="I141" s="36">
        <v>14.99</v>
      </c>
      <c r="J141" s="36">
        <v>14.99</v>
      </c>
      <c r="K141" s="118"/>
      <c r="L141" s="14"/>
      <c r="M141" s="42"/>
      <c r="N141" s="31">
        <f ca="1">M141*0.78</f>
        <v>0</v>
      </c>
      <c r="O141" s="31">
        <f ca="1">N141/0.7</f>
        <v>0</v>
      </c>
      <c r="P141" s="31">
        <f ca="1">N141*0.9</f>
        <v>0</v>
      </c>
      <c r="R141" s="174">
        <v>2.557</v>
      </c>
      <c r="S141" s="174"/>
      <c r="T141" s="176">
        <f ca="1">(W141-R141)/W141</f>
        <v>0.7680725623582766</v>
      </c>
      <c r="U141" s="175">
        <f ca="1">I141</f>
        <v>14.99</v>
      </c>
      <c r="V141" s="175"/>
      <c r="W141" s="175">
        <f ca="1">H141*1.05</f>
        <v>11.025</v>
      </c>
      <c r="X141" s="175">
        <f ca="1">W141*0.9</f>
        <v>9.922500000000001</v>
      </c>
      <c r="Y141" s="180">
        <f ca="1">(U141-W141)/U141</f>
        <v>0.26450967311541024</v>
      </c>
      <c r="Z141" s="184" t="e">
        <f ca="1">(V141-W141)/V141</f>
        <v>#DIV/0!</v>
      </c>
      <c r="AB141" s="4"/>
      <c r="AC141" s="4"/>
      <c r="AD141" s="4"/>
      <c r="AE141" s="4"/>
      <c r="AF141" s="4"/>
      <c r="AG141" s="4"/>
      <c r="AH141" s="4"/>
      <c r="AI141" s="4"/>
      <c r="AJ141" s="4"/>
    </row>
    <row r="142" spans="2:36" s="15" customFormat="1">
      <c r="B142" s="33">
        <v>1009</v>
      </c>
      <c r="C142" s="34" t="s">
        <v>314</v>
      </c>
      <c r="D142" s="33" t="s">
        <v>315</v>
      </c>
      <c r="E142" s="33">
        <v>6</v>
      </c>
      <c r="F142" s="33">
        <v>180</v>
      </c>
      <c r="G142" s="28">
        <f ca="1">H142*0.9</f>
        <v>11.879999999999999</v>
      </c>
      <c r="H142" s="36">
        <v>13.2</v>
      </c>
      <c r="I142" s="36">
        <v>29.99</v>
      </c>
      <c r="J142" s="36">
        <v>29.99</v>
      </c>
      <c r="K142" s="118"/>
      <c r="L142" s="14"/>
      <c r="M142" s="42"/>
      <c r="N142" s="31">
        <f ca="1">M142*0.78</f>
        <v>0</v>
      </c>
      <c r="O142" s="31">
        <f ca="1">N142/0.7</f>
        <v>0</v>
      </c>
      <c r="P142" s="31">
        <f ca="1">N142*0.9</f>
        <v>0</v>
      </c>
      <c r="R142" s="174">
        <v>4.032</v>
      </c>
      <c r="S142" s="174"/>
      <c r="T142" s="176">
        <f ca="1">(W142-R142)/W142</f>
        <v>0.7090909090909091</v>
      </c>
      <c r="U142" s="175">
        <f ca="1">I142</f>
        <v>29.99</v>
      </c>
      <c r="V142" s="175"/>
      <c r="W142" s="175">
        <f ca="1">H142*1.05</f>
        <v>13.86</v>
      </c>
      <c r="X142" s="175">
        <f ca="1">W142*0.9</f>
        <v>12.474</v>
      </c>
      <c r="Y142" s="191">
        <f ca="1">(U142-W142)/U142</f>
        <v>0.5378459486495498</v>
      </c>
      <c r="Z142" s="184" t="e">
        <f ca="1">(V142-W142)/V142</f>
        <v>#DIV/0!</v>
      </c>
      <c r="AB142" s="4"/>
      <c r="AC142" s="4"/>
      <c r="AD142" s="4"/>
      <c r="AE142" s="4"/>
      <c r="AF142" s="4"/>
      <c r="AG142" s="4"/>
      <c r="AH142" s="4"/>
      <c r="AI142" s="4"/>
      <c r="AJ142" s="4"/>
    </row>
    <row r="143" spans="2:36" s="15" customFormat="1">
      <c r="B143" s="33">
        <v>1000</v>
      </c>
      <c r="C143" s="34" t="s">
        <v>316</v>
      </c>
      <c r="D143" s="33" t="s">
        <v>317</v>
      </c>
      <c r="E143" s="33">
        <v>6</v>
      </c>
      <c r="F143" s="33">
        <v>180</v>
      </c>
      <c r="G143" s="28">
        <f ca="1">H143*0.9</f>
        <v>9.585</v>
      </c>
      <c r="H143" s="36">
        <v>10.65</v>
      </c>
      <c r="I143" s="36">
        <v>15.99</v>
      </c>
      <c r="J143" s="36">
        <v>15.99</v>
      </c>
      <c r="K143" s="118"/>
      <c r="L143" s="14"/>
      <c r="M143" s="42"/>
      <c r="N143" s="31">
        <f ca="1">M143*0.78</f>
        <v>0</v>
      </c>
      <c r="O143" s="31">
        <f ca="1">N143/0.7</f>
        <v>0</v>
      </c>
      <c r="P143" s="31">
        <f ca="1">N143*0.9</f>
        <v>0</v>
      </c>
      <c r="R143" s="174">
        <v>3.937</v>
      </c>
      <c r="S143" s="174"/>
      <c r="T143" s="176">
        <f ca="1">(W143-R143)/W143</f>
        <v>0.6479320366644311</v>
      </c>
      <c r="U143" s="175">
        <f ca="1">I143</f>
        <v>15.99</v>
      </c>
      <c r="V143" s="175"/>
      <c r="W143" s="175">
        <f ca="1">H143*1.05</f>
        <v>11.182500000000001</v>
      </c>
      <c r="X143" s="175">
        <f ca="1">W143*0.9</f>
        <v>10.064250000000001</v>
      </c>
      <c r="Y143" s="176">
        <f ca="1">(U143-W143)/U143</f>
        <v>0.3006566604127579</v>
      </c>
      <c r="Z143" s="184" t="e">
        <f ca="1">(V143-W143)/V143</f>
        <v>#DIV/0!</v>
      </c>
      <c r="AB143" s="4"/>
      <c r="AC143" s="4"/>
      <c r="AD143" s="4"/>
      <c r="AE143" s="4"/>
      <c r="AF143" s="4"/>
      <c r="AG143" s="4"/>
      <c r="AH143" s="4"/>
      <c r="AI143" s="4"/>
      <c r="AJ143" s="4"/>
    </row>
    <row r="144" spans="2:36" s="15" customFormat="1">
      <c r="B144" s="37">
        <v>1046</v>
      </c>
      <c r="C144" s="34" t="s">
        <v>318</v>
      </c>
      <c r="D144" s="37" t="s">
        <v>319</v>
      </c>
      <c r="E144" s="37">
        <v>6</v>
      </c>
      <c r="F144" s="37">
        <v>180</v>
      </c>
      <c r="G144" s="28">
        <f ca="1">H144*0.9</f>
        <v>17.532</v>
      </c>
      <c r="H144" s="36">
        <v>19.48</v>
      </c>
      <c r="I144" s="36">
        <v>39.99</v>
      </c>
      <c r="J144" s="41">
        <v>30.99</v>
      </c>
      <c r="K144" s="213"/>
      <c r="L144" s="29">
        <f ca="1">(J144/I144)-1</f>
        <v>-0.22505626406601653</v>
      </c>
      <c r="M144" s="38">
        <v>24.99</v>
      </c>
      <c r="N144" s="31">
        <f ca="1">M144*0.78</f>
        <v>19.4922</v>
      </c>
      <c r="O144" s="31">
        <f ca="1">N144/0.7</f>
        <v>27.846000000000004</v>
      </c>
      <c r="P144" s="31">
        <f ca="1">N144*0.9</f>
        <v>17.54298</v>
      </c>
      <c r="R144" s="174">
        <v>6.007</v>
      </c>
      <c r="S144" s="174"/>
      <c r="T144" s="176">
        <f ca="1">(W144-R144)/W144</f>
        <v>0.7063166128874548</v>
      </c>
      <c r="U144" s="175">
        <f ca="1">I144</f>
        <v>39.99</v>
      </c>
      <c r="V144" s="175"/>
      <c r="W144" s="175">
        <f ca="1">H144*1.05</f>
        <v>20.454</v>
      </c>
      <c r="X144" s="175">
        <f ca="1">W144*0.9</f>
        <v>18.4086</v>
      </c>
      <c r="Y144" s="191">
        <f ca="1">(U144-W144)/U144</f>
        <v>0.48852213053263316</v>
      </c>
      <c r="Z144" s="184" t="e">
        <f ca="1">(V144-W144)/V144</f>
        <v>#DIV/0!</v>
      </c>
      <c r="AB144" s="4"/>
      <c r="AC144" s="4"/>
      <c r="AD144" s="4"/>
      <c r="AE144" s="4"/>
      <c r="AF144" s="4"/>
      <c r="AG144" s="4"/>
      <c r="AH144" s="4"/>
      <c r="AI144" s="4"/>
      <c r="AJ144" s="4"/>
    </row>
    <row r="145" spans="2:36" s="15" customFormat="1">
      <c r="B145" s="33">
        <v>1054</v>
      </c>
      <c r="C145" s="34" t="s">
        <v>320</v>
      </c>
      <c r="D145" s="33" t="s">
        <v>321</v>
      </c>
      <c r="E145" s="33">
        <v>6</v>
      </c>
      <c r="F145" s="37">
        <v>144</v>
      </c>
      <c r="G145" s="28">
        <f ca="1">H145*0.9</f>
        <v>15.993</v>
      </c>
      <c r="H145" s="36">
        <v>17.77</v>
      </c>
      <c r="I145" s="36">
        <v>34.99</v>
      </c>
      <c r="J145" s="41">
        <v>28.99</v>
      </c>
      <c r="K145" s="213"/>
      <c r="L145" s="29">
        <f ca="1">(J145/I145)-1</f>
        <v>-0.1714775650185768</v>
      </c>
      <c r="M145" s="38">
        <v>22.99</v>
      </c>
      <c r="N145" s="31">
        <f ca="1">M145*0.78</f>
        <v>17.932199999999998</v>
      </c>
      <c r="O145" s="31">
        <f ca="1">N145/0.7</f>
        <v>25.61742857142857</v>
      </c>
      <c r="P145" s="31">
        <f ca="1">N145*0.9</f>
        <v>16.13898</v>
      </c>
      <c r="R145" s="174">
        <v>6.01</v>
      </c>
      <c r="S145" s="174"/>
      <c r="T145" s="176">
        <f ca="1">(W145-R145)/W145</f>
        <v>0.6778947932577646</v>
      </c>
      <c r="U145" s="175">
        <f ca="1">I145</f>
        <v>34.99</v>
      </c>
      <c r="V145" s="175"/>
      <c r="W145" s="175">
        <f ca="1">H145*1.05</f>
        <v>18.6585</v>
      </c>
      <c r="X145" s="175">
        <f ca="1">W145*0.9</f>
        <v>16.792650000000002</v>
      </c>
      <c r="Y145" s="191">
        <f ca="1">(U145-W145)/U145</f>
        <v>0.466747642183481</v>
      </c>
      <c r="Z145" s="184" t="e">
        <f ca="1">(V145-W145)/V145</f>
        <v>#DIV/0!</v>
      </c>
      <c r="AB145" s="4"/>
      <c r="AC145" s="4"/>
      <c r="AD145" s="4"/>
      <c r="AE145" s="4"/>
      <c r="AF145" s="4"/>
      <c r="AG145" s="4"/>
      <c r="AH145" s="4"/>
      <c r="AI145" s="4"/>
      <c r="AJ145" s="4"/>
    </row>
    <row r="146" spans="2:36" s="15" customFormat="1">
      <c r="B146" s="39">
        <v>10027</v>
      </c>
      <c r="C146" s="40" t="s">
        <v>322</v>
      </c>
      <c r="D146" s="39" t="s">
        <v>323</v>
      </c>
      <c r="E146" s="39">
        <v>6</v>
      </c>
      <c r="F146" s="39">
        <v>180</v>
      </c>
      <c r="G146" s="28">
        <f ca="1">H146*0.9</f>
        <v>19.701</v>
      </c>
      <c r="H146" s="41">
        <v>21.89</v>
      </c>
      <c r="I146" s="41">
        <v>29.99</v>
      </c>
      <c r="J146" s="41">
        <v>28.99</v>
      </c>
      <c r="K146" s="213"/>
      <c r="L146" s="29">
        <f ca="1">(J146/I146)-1</f>
        <v>-0.03334444814938309</v>
      </c>
      <c r="M146" s="38">
        <v>27.99</v>
      </c>
      <c r="N146" s="31">
        <f ca="1">M146*0.78</f>
        <v>21.8322</v>
      </c>
      <c r="O146" s="31">
        <f ca="1">N146/0.7</f>
        <v>31.188857142857145</v>
      </c>
      <c r="P146" s="31">
        <f ca="1">N146*0.9</f>
        <v>19.64898</v>
      </c>
      <c r="R146" s="174">
        <v>3.833</v>
      </c>
      <c r="S146" s="174"/>
      <c r="T146" s="176">
        <f ca="1">(W146-R146)/W146</f>
        <v>0.8332354412756422</v>
      </c>
      <c r="U146" s="175">
        <f ca="1">I146</f>
        <v>29.99</v>
      </c>
      <c r="V146" s="175"/>
      <c r="W146" s="175">
        <f ca="1">H146*1.05</f>
        <v>22.9845</v>
      </c>
      <c r="X146" s="175">
        <f ca="1">W146*0.9</f>
        <v>20.68605</v>
      </c>
      <c r="Y146" s="180">
        <f ca="1">(U146-W146)/U146</f>
        <v>0.23359453151050344</v>
      </c>
      <c r="Z146" s="184" t="e">
        <f ca="1">(V146-W146)/V146</f>
        <v>#DIV/0!</v>
      </c>
      <c r="AB146" s="4"/>
      <c r="AC146" s="4"/>
      <c r="AD146" s="4"/>
      <c r="AE146" s="4"/>
      <c r="AF146" s="4"/>
      <c r="AG146" s="4"/>
      <c r="AH146" s="4"/>
      <c r="AI146" s="4"/>
      <c r="AJ146" s="4"/>
    </row>
    <row r="147" spans="2:36" s="15" customFormat="1">
      <c r="B147" s="44"/>
      <c r="C147" s="44"/>
      <c r="D147" s="45"/>
      <c r="E147" s="45"/>
      <c r="F147" s="45"/>
      <c r="G147" s="46"/>
      <c r="H147" s="46"/>
      <c r="I147" s="46"/>
      <c r="J147" s="46"/>
      <c r="K147" s="105"/>
      <c r="L147" s="14"/>
      <c r="M147" s="42"/>
      <c r="N147" s="31"/>
      <c r="O147" s="31"/>
      <c r="P147" s="31"/>
      <c r="R147" s="174"/>
      <c r="S147" s="174"/>
      <c r="T147" s="4"/>
      <c r="U147" s="175"/>
      <c r="V147" s="175"/>
      <c r="W147" s="175"/>
      <c r="X147" s="175"/>
      <c r="Y147" s="176"/>
      <c r="Z147" s="184"/>
      <c r="AB147" s="4"/>
      <c r="AC147" s="4"/>
      <c r="AD147" s="4"/>
      <c r="AE147" s="4"/>
      <c r="AF147" s="4"/>
      <c r="AG147" s="4"/>
      <c r="AH147" s="4"/>
      <c r="AI147" s="4"/>
      <c r="AJ147" s="4"/>
    </row>
    <row r="148" spans="2:36" s="15" customFormat="1" customHeight="1">
      <c r="B148" s="20" t="s">
        <v>324</v>
      </c>
      <c r="C148" s="309"/>
      <c r="D148" s="21"/>
      <c r="E148" s="21"/>
      <c r="F148" s="21"/>
      <c r="G148" s="22"/>
      <c r="H148" s="22"/>
      <c r="I148" s="47"/>
      <c r="J148" s="47"/>
      <c r="K148" s="212"/>
      <c r="L148" s="14"/>
      <c r="M148" s="42"/>
      <c r="N148" s="31"/>
      <c r="O148" s="31"/>
      <c r="P148" s="31"/>
      <c r="R148" s="174"/>
      <c r="S148" s="174"/>
      <c r="T148" s="4"/>
      <c r="U148" s="175"/>
      <c r="V148" s="175"/>
      <c r="W148" s="175"/>
      <c r="X148" s="175"/>
      <c r="Y148" s="176"/>
      <c r="Z148" s="184"/>
      <c r="AB148" s="4"/>
      <c r="AC148" s="4"/>
      <c r="AD148" s="4"/>
      <c r="AE148" s="4"/>
      <c r="AF148" s="4"/>
      <c r="AG148" s="4"/>
      <c r="AH148" s="4"/>
      <c r="AI148" s="4"/>
      <c r="AJ148" s="4"/>
    </row>
    <row r="149" spans="2:36" s="15" customFormat="1">
      <c r="B149" s="25">
        <v>1105</v>
      </c>
      <c r="C149" s="26" t="s">
        <v>325</v>
      </c>
      <c r="D149" s="25" t="s">
        <v>326</v>
      </c>
      <c r="E149" s="25">
        <v>12</v>
      </c>
      <c r="F149" s="25">
        <v>396</v>
      </c>
      <c r="G149" s="28">
        <f ca="1">H149*0.9</f>
        <v>3.9600000000000004</v>
      </c>
      <c r="H149" s="28">
        <v>4.4</v>
      </c>
      <c r="I149" s="28">
        <v>6.99</v>
      </c>
      <c r="J149" s="28">
        <v>6.99</v>
      </c>
      <c r="K149" s="118"/>
      <c r="L149" s="14"/>
      <c r="M149" s="42"/>
      <c r="N149" s="31">
        <f ca="1">M149*0.78</f>
        <v>0</v>
      </c>
      <c r="O149" s="31">
        <f ca="1">N149/0.7</f>
        <v>0</v>
      </c>
      <c r="P149" s="31">
        <f ca="1">N149*0.9</f>
        <v>0</v>
      </c>
      <c r="R149" s="174">
        <v>1.515</v>
      </c>
      <c r="S149" s="174"/>
      <c r="T149" s="176">
        <f ca="1">(W149-R149)/W149</f>
        <v>0.6720779220779222</v>
      </c>
      <c r="U149" s="175">
        <f ca="1">I149</f>
        <v>6.99</v>
      </c>
      <c r="V149" s="175"/>
      <c r="W149" s="175">
        <f ca="1">H149*1.05</f>
        <v>4.620000000000001</v>
      </c>
      <c r="X149" s="175">
        <f ca="1">W149*0.9</f>
        <v>4.158000000000001</v>
      </c>
      <c r="Y149" s="176">
        <f ca="1">(U149-W149)/U149</f>
        <v>0.33905579399141617</v>
      </c>
      <c r="Z149" s="184" t="e">
        <f ca="1">(V149-W149)/V149</f>
        <v>#DIV/0!</v>
      </c>
      <c r="AB149" s="4"/>
      <c r="AC149" s="4"/>
      <c r="AD149" s="4"/>
      <c r="AE149" s="4"/>
      <c r="AF149" s="4"/>
      <c r="AG149" s="4"/>
      <c r="AH149" s="4"/>
      <c r="AI149" s="4"/>
      <c r="AJ149" s="4"/>
    </row>
    <row r="150" spans="2:36" s="15" customFormat="1">
      <c r="B150" s="33">
        <v>1055</v>
      </c>
      <c r="C150" s="34" t="s">
        <v>327</v>
      </c>
      <c r="D150" s="33" t="s">
        <v>328</v>
      </c>
      <c r="E150" s="33">
        <v>12</v>
      </c>
      <c r="F150" s="33">
        <v>396</v>
      </c>
      <c r="G150" s="28">
        <f ca="1">H150*0.9</f>
        <v>3.7710000000000004</v>
      </c>
      <c r="H150" s="36">
        <v>4.19</v>
      </c>
      <c r="I150" s="36">
        <v>6.99</v>
      </c>
      <c r="J150" s="36">
        <v>6.99</v>
      </c>
      <c r="K150" s="118"/>
      <c r="L150" s="14"/>
      <c r="M150" s="42"/>
      <c r="N150" s="31">
        <f ca="1">M150*0.78</f>
        <v>0</v>
      </c>
      <c r="O150" s="31">
        <f ca="1">N150/0.7</f>
        <v>0</v>
      </c>
      <c r="P150" s="31">
        <f ca="1">N150*0.9</f>
        <v>0</v>
      </c>
      <c r="R150" s="174">
        <v>1.457</v>
      </c>
      <c r="S150" s="174"/>
      <c r="T150" s="176">
        <f ca="1">(W150-R150)/W150</f>
        <v>0.6688260029548814</v>
      </c>
      <c r="U150" s="175">
        <f ca="1">I150</f>
        <v>6.99</v>
      </c>
      <c r="V150" s="175"/>
      <c r="W150" s="175">
        <f ca="1">H150*1.05</f>
        <v>4.399500000000001</v>
      </c>
      <c r="X150" s="175">
        <f ca="1">W150*0.9</f>
        <v>3.9595500000000006</v>
      </c>
      <c r="Y150" s="176">
        <f ca="1">(U150-W150)/U150</f>
        <v>0.3706008583690986</v>
      </c>
      <c r="Z150" s="184" t="e">
        <f ca="1">(V150-W150)/V150</f>
        <v>#DIV/0!</v>
      </c>
      <c r="AB150" s="4"/>
      <c r="AC150" s="4"/>
      <c r="AD150" s="4"/>
      <c r="AE150" s="4"/>
      <c r="AF150" s="4"/>
      <c r="AG150" s="4"/>
      <c r="AH150" s="4"/>
      <c r="AI150" s="4"/>
      <c r="AJ150" s="4"/>
    </row>
    <row r="151" spans="2:36" s="15" customFormat="1">
      <c r="B151" s="33" t="s">
        <v>329</v>
      </c>
      <c r="C151" s="34" t="s">
        <v>330</v>
      </c>
      <c r="D151" s="37" t="s">
        <v>331</v>
      </c>
      <c r="E151" s="37">
        <v>12</v>
      </c>
      <c r="F151" s="37">
        <v>396</v>
      </c>
      <c r="G151" s="28">
        <f ca="1">H151*0.9</f>
        <v>6.129</v>
      </c>
      <c r="H151" s="36">
        <v>6.81</v>
      </c>
      <c r="I151" s="36">
        <v>11.99</v>
      </c>
      <c r="J151" s="36">
        <v>11.99</v>
      </c>
      <c r="K151" s="118"/>
      <c r="L151" s="14"/>
      <c r="M151" s="42"/>
      <c r="N151" s="31">
        <f ca="1">M151*0.78</f>
        <v>0</v>
      </c>
      <c r="O151" s="31">
        <f ca="1">N151/0.7</f>
        <v>0</v>
      </c>
      <c r="P151" s="31">
        <f ca="1">N151*0.9</f>
        <v>0</v>
      </c>
      <c r="R151" s="174">
        <v>1.835</v>
      </c>
      <c r="S151" s="174"/>
      <c r="T151" s="176">
        <f ca="1">(W151-R151)/W151</f>
        <v>0.7433745891895672</v>
      </c>
      <c r="U151" s="175">
        <f ca="1">I151</f>
        <v>11.99</v>
      </c>
      <c r="V151" s="175"/>
      <c r="W151" s="175">
        <f ca="1">H151*1.05</f>
        <v>7.1505</v>
      </c>
      <c r="X151" s="175">
        <f ca="1">W151*0.9</f>
        <v>6.43545</v>
      </c>
      <c r="Y151" s="176">
        <f ca="1">(U151-W151)/U151</f>
        <v>0.403628023352794</v>
      </c>
      <c r="Z151" s="184" t="e">
        <f ca="1">(V151-W151)/V151</f>
        <v>#DIV/0!</v>
      </c>
      <c r="AB151" s="4"/>
      <c r="AC151" s="4"/>
      <c r="AD151" s="4"/>
      <c r="AE151" s="4"/>
      <c r="AF151" s="4"/>
      <c r="AG151" s="4"/>
      <c r="AH151" s="4"/>
      <c r="AI151" s="4"/>
      <c r="AJ151" s="4"/>
    </row>
    <row r="152" spans="2:36" s="15" customFormat="1">
      <c r="B152" s="52"/>
      <c r="C152" s="53"/>
      <c r="D152" s="52"/>
      <c r="E152" s="52"/>
      <c r="F152" s="52"/>
      <c r="G152" s="54"/>
      <c r="H152" s="54"/>
      <c r="I152" s="54"/>
      <c r="J152" s="54"/>
      <c r="K152" s="118"/>
      <c r="L152" s="14"/>
      <c r="M152" s="42"/>
      <c r="N152" s="31"/>
      <c r="O152" s="31"/>
      <c r="P152" s="31"/>
      <c r="R152" s="174"/>
      <c r="S152" s="174"/>
      <c r="T152" s="4"/>
      <c r="U152" s="175"/>
      <c r="V152" s="175"/>
      <c r="W152" s="175"/>
      <c r="X152" s="175"/>
      <c r="Y152" s="176"/>
      <c r="Z152" s="184"/>
      <c r="AB152" s="4"/>
      <c r="AC152" s="4"/>
      <c r="AD152" s="4"/>
      <c r="AE152" s="4"/>
      <c r="AF152" s="4"/>
      <c r="AG152" s="4"/>
      <c r="AH152" s="4"/>
      <c r="AI152" s="4"/>
      <c r="AJ152" s="4"/>
    </row>
    <row r="153" spans="2:36" s="15" customFormat="1" customHeight="1">
      <c r="B153" s="20" t="s">
        <v>332</v>
      </c>
      <c r="C153" s="309"/>
      <c r="D153" s="21"/>
      <c r="E153" s="21"/>
      <c r="F153" s="21"/>
      <c r="G153" s="22"/>
      <c r="H153" s="22"/>
      <c r="I153" s="47"/>
      <c r="J153" s="47"/>
      <c r="K153" s="212"/>
      <c r="L153" s="14"/>
      <c r="M153" s="42"/>
      <c r="N153" s="31"/>
      <c r="O153" s="31"/>
      <c r="P153" s="31"/>
      <c r="R153" s="174"/>
      <c r="S153" s="174"/>
      <c r="T153" s="4"/>
      <c r="U153" s="175"/>
      <c r="V153" s="175"/>
      <c r="W153" s="175"/>
      <c r="X153" s="175"/>
      <c r="Y153" s="176"/>
      <c r="Z153" s="184"/>
      <c r="AB153" s="4"/>
      <c r="AC153" s="4"/>
      <c r="AD153" s="4"/>
      <c r="AE153" s="4"/>
      <c r="AF153" s="4"/>
      <c r="AG153" s="4"/>
      <c r="AH153" s="4"/>
      <c r="AI153" s="4"/>
      <c r="AJ153" s="4"/>
    </row>
    <row r="154" spans="2:36" s="15" customFormat="1">
      <c r="B154" s="25" t="s">
        <v>333</v>
      </c>
      <c r="C154" s="26" t="s">
        <v>334</v>
      </c>
      <c r="D154" s="25" t="s">
        <v>335</v>
      </c>
      <c r="E154" s="25">
        <v>6</v>
      </c>
      <c r="F154" s="48">
        <v>240</v>
      </c>
      <c r="G154" s="28">
        <f ca="1">H154*0.9</f>
        <v>21.726000000000003</v>
      </c>
      <c r="H154" s="28">
        <v>24.14</v>
      </c>
      <c r="I154" s="28">
        <v>44.99</v>
      </c>
      <c r="J154" s="28">
        <v>44.99</v>
      </c>
      <c r="K154" s="118"/>
      <c r="L154" s="14"/>
      <c r="M154" s="42"/>
      <c r="N154" s="31">
        <f ca="1">M154*0.78</f>
        <v>0</v>
      </c>
      <c r="O154" s="31">
        <f ca="1">N154/0.7</f>
        <v>0</v>
      </c>
      <c r="P154" s="31">
        <f ca="1">N154*0.9</f>
        <v>0</v>
      </c>
      <c r="R154" s="174">
        <v>14.02</v>
      </c>
      <c r="S154" s="174"/>
      <c r="T154" s="176">
        <f ca="1">(W154-R154)/W154</f>
        <v>0.44687734248629035</v>
      </c>
      <c r="U154" s="175">
        <f ca="1">I154</f>
        <v>44.99</v>
      </c>
      <c r="V154" s="175"/>
      <c r="W154" s="175">
        <f ca="1">H154*1.05</f>
        <v>25.347</v>
      </c>
      <c r="X154" s="175">
        <f ca="1">W154*0.9</f>
        <v>22.8123</v>
      </c>
      <c r="Y154" s="191">
        <f ca="1">(U154-W154)/U154</f>
        <v>0.4366081351411425</v>
      </c>
      <c r="Z154" s="184" t="e">
        <f ca="1">(V154-W154)/V154</f>
        <v>#DIV/0!</v>
      </c>
      <c r="AB154" s="4"/>
      <c r="AC154" s="4"/>
      <c r="AD154" s="4"/>
      <c r="AE154" s="4"/>
      <c r="AF154" s="4"/>
      <c r="AG154" s="4"/>
      <c r="AH154" s="4"/>
      <c r="AI154" s="4"/>
      <c r="AJ154" s="4"/>
    </row>
    <row r="155" spans="2:36" s="15" customFormat="1">
      <c r="B155" s="33" t="s">
        <v>336</v>
      </c>
      <c r="C155" s="34" t="s">
        <v>337</v>
      </c>
      <c r="D155" s="33" t="s">
        <v>338</v>
      </c>
      <c r="E155" s="33">
        <v>6</v>
      </c>
      <c r="F155" s="49">
        <v>244</v>
      </c>
      <c r="G155" s="28">
        <f ca="1">H155*0.9</f>
        <v>19.836</v>
      </c>
      <c r="H155" s="36">
        <v>22.04</v>
      </c>
      <c r="I155" s="36">
        <v>39.99</v>
      </c>
      <c r="J155" s="36">
        <v>39.99</v>
      </c>
      <c r="K155" s="118"/>
      <c r="L155" s="14"/>
      <c r="M155" s="42"/>
      <c r="N155" s="31">
        <f ca="1">M155*0.78</f>
        <v>0</v>
      </c>
      <c r="O155" s="31">
        <f ca="1">N155/0.7</f>
        <v>0</v>
      </c>
      <c r="P155" s="31">
        <f ca="1">N155*0.9</f>
        <v>0</v>
      </c>
      <c r="R155" s="174">
        <v>13.148</v>
      </c>
      <c r="S155" s="174"/>
      <c r="T155" s="176">
        <f ca="1">(W155-R155)/W155</f>
        <v>0.4318555008210181</v>
      </c>
      <c r="U155" s="175">
        <f ca="1">I155</f>
        <v>39.99</v>
      </c>
      <c r="V155" s="175"/>
      <c r="W155" s="175">
        <f ca="1">H155*1.05</f>
        <v>23.142</v>
      </c>
      <c r="X155" s="175">
        <f ca="1">W155*0.9</f>
        <v>20.8278</v>
      </c>
      <c r="Y155" s="191">
        <f ca="1">(U155-W155)/U155</f>
        <v>0.42130532633158296</v>
      </c>
      <c r="Z155" s="184" t="e">
        <f ca="1">(V155-W155)/V155</f>
        <v>#DIV/0!</v>
      </c>
      <c r="AB155" s="4"/>
      <c r="AC155" s="4"/>
      <c r="AD155" s="4"/>
      <c r="AE155" s="4"/>
      <c r="AF155" s="4"/>
      <c r="AG155" s="4"/>
      <c r="AH155" s="4"/>
      <c r="AI155" s="4"/>
      <c r="AJ155" s="4"/>
    </row>
    <row r="156" spans="2:36" s="15" customFormat="1">
      <c r="B156" s="33" t="s">
        <v>339</v>
      </c>
      <c r="C156" s="66" t="s">
        <v>340</v>
      </c>
      <c r="D156" s="33" t="s">
        <v>341</v>
      </c>
      <c r="E156" s="33">
        <v>4</v>
      </c>
      <c r="F156" s="49">
        <v>200</v>
      </c>
      <c r="G156" s="28">
        <f ca="1">H156*0.9</f>
        <v>11.331</v>
      </c>
      <c r="H156" s="36">
        <v>12.59</v>
      </c>
      <c r="I156" s="36">
        <v>19.99</v>
      </c>
      <c r="J156" s="36">
        <v>19.99</v>
      </c>
      <c r="K156" s="118"/>
      <c r="L156" s="14"/>
      <c r="M156" s="42"/>
      <c r="N156" s="31">
        <f ca="1">M156*0.78</f>
        <v>0</v>
      </c>
      <c r="O156" s="31">
        <f ca="1">N156/0.7</f>
        <v>0</v>
      </c>
      <c r="P156" s="31">
        <f ca="1">N156*0.9</f>
        <v>0</v>
      </c>
      <c r="R156" s="174">
        <v>4.09</v>
      </c>
      <c r="S156" s="174"/>
      <c r="T156" s="176">
        <f ca="1">(W156-R156)/W156</f>
        <v>0.6906085706721132</v>
      </c>
      <c r="U156" s="175">
        <f ca="1">I156</f>
        <v>19.99</v>
      </c>
      <c r="V156" s="175"/>
      <c r="W156" s="175">
        <f ca="1">H156*1.05</f>
        <v>13.2195</v>
      </c>
      <c r="X156" s="175">
        <f ca="1">W156*0.9</f>
        <v>11.89755</v>
      </c>
      <c r="Y156" s="176">
        <f ca="1">(U156-W156)/U156</f>
        <v>0.33869434717358676</v>
      </c>
      <c r="Z156" s="184" t="e">
        <f ca="1">(V156-W156)/V156</f>
        <v>#DIV/0!</v>
      </c>
      <c r="AB156" s="4"/>
      <c r="AC156" s="4"/>
      <c r="AD156" s="4"/>
      <c r="AE156" s="4"/>
      <c r="AF156" s="4"/>
      <c r="AG156" s="4"/>
      <c r="AH156" s="4"/>
      <c r="AI156" s="4"/>
      <c r="AJ156" s="4"/>
    </row>
    <row r="157" spans="2:36" s="15" customFormat="1">
      <c r="B157" s="39" t="s">
        <v>342</v>
      </c>
      <c r="C157" s="40" t="s">
        <v>343</v>
      </c>
      <c r="D157" s="39" t="s">
        <v>344</v>
      </c>
      <c r="E157" s="39">
        <v>6</v>
      </c>
      <c r="F157" s="98">
        <v>240</v>
      </c>
      <c r="G157" s="28">
        <f ca="1">H157*0.9</f>
        <v>11.547</v>
      </c>
      <c r="H157" s="41">
        <v>12.83</v>
      </c>
      <c r="I157" s="41">
        <v>12.99</v>
      </c>
      <c r="J157" s="41">
        <v>12.99</v>
      </c>
      <c r="K157" s="213"/>
      <c r="L157" s="14"/>
      <c r="M157" s="42"/>
      <c r="N157" s="31">
        <f ca="1">M157*0.78</f>
        <v>0</v>
      </c>
      <c r="O157" s="31">
        <f ca="1">N157/0.7</f>
        <v>0</v>
      </c>
      <c r="P157" s="31">
        <f ca="1">N157*0.9</f>
        <v>0</v>
      </c>
      <c r="R157" s="174">
        <v>3.056</v>
      </c>
      <c r="S157" s="174"/>
      <c r="T157" s="176">
        <f ca="1">(W157-R157)/W157</f>
        <v>0.6733472289027845</v>
      </c>
      <c r="U157" s="175">
        <f ca="1">I157</f>
        <v>12.99</v>
      </c>
      <c r="V157" s="175"/>
      <c r="W157" s="175">
        <f ca="1">8.91*1.05</f>
        <v>9.355500000000001</v>
      </c>
      <c r="X157" s="175">
        <f ca="1">W157*0.9</f>
        <v>8.419950000000002</v>
      </c>
      <c r="Y157" s="180">
        <f ca="1">(U157-W157)/U157</f>
        <v>0.27979214780600453</v>
      </c>
      <c r="Z157" s="184" t="e">
        <f ca="1">(V157-W157)/V157</f>
        <v>#DIV/0!</v>
      </c>
      <c r="AB157" s="4"/>
      <c r="AC157" s="4"/>
      <c r="AD157" s="4"/>
      <c r="AE157" s="4"/>
      <c r="AF157" s="4"/>
      <c r="AG157" s="4"/>
      <c r="AH157" s="4"/>
      <c r="AI157" s="4"/>
      <c r="AJ157" s="4"/>
    </row>
    <row r="158" spans="2:36" s="15" customFormat="1">
      <c r="B158" s="39" t="s">
        <v>345</v>
      </c>
      <c r="C158" s="40" t="s">
        <v>346</v>
      </c>
      <c r="D158" s="39" t="s">
        <v>347</v>
      </c>
      <c r="E158" s="39">
        <v>6</v>
      </c>
      <c r="F158" s="98">
        <v>240</v>
      </c>
      <c r="G158" s="28">
        <f ca="1">H158*0.9</f>
        <v>10.278</v>
      </c>
      <c r="H158" s="41">
        <v>11.42</v>
      </c>
      <c r="I158" s="41">
        <v>14.99</v>
      </c>
      <c r="J158" s="41">
        <v>14.99</v>
      </c>
      <c r="K158" s="213"/>
      <c r="L158" s="14"/>
      <c r="M158" s="42"/>
      <c r="N158" s="31">
        <f ca="1">M158*0.78</f>
        <v>0</v>
      </c>
      <c r="O158" s="31">
        <f ca="1">N158/0.7</f>
        <v>0</v>
      </c>
      <c r="P158" s="31">
        <f ca="1">N158*0.9</f>
        <v>0</v>
      </c>
      <c r="R158" s="174">
        <v>4.27</v>
      </c>
      <c r="S158" s="174"/>
      <c r="T158" s="176">
        <f ca="1">(W158-R158)/W158</f>
        <v>0.6438995913601868</v>
      </c>
      <c r="U158" s="175">
        <f ca="1">I158</f>
        <v>14.99</v>
      </c>
      <c r="V158" s="175"/>
      <c r="W158" s="175">
        <f ca="1">H158*1.05</f>
        <v>11.991</v>
      </c>
      <c r="X158" s="175">
        <f ca="1">W158*0.9</f>
        <v>10.7919</v>
      </c>
      <c r="Y158" s="180">
        <f ca="1">(U158-W158)/U158</f>
        <v>0.20006671114076055</v>
      </c>
      <c r="Z158" s="184" t="e">
        <f ca="1">(V158-W158)/V158</f>
        <v>#DIV/0!</v>
      </c>
      <c r="AB158" s="4"/>
      <c r="AC158" s="4"/>
      <c r="AD158" s="4"/>
      <c r="AE158" s="4"/>
      <c r="AF158" s="4"/>
      <c r="AG158" s="4"/>
      <c r="AH158" s="4"/>
      <c r="AI158" s="4"/>
      <c r="AJ158" s="4"/>
    </row>
    <row r="159" spans="2:36" s="15" customFormat="1">
      <c r="B159" s="33" t="s">
        <v>348</v>
      </c>
      <c r="C159" s="34" t="s">
        <v>349</v>
      </c>
      <c r="D159" s="33" t="s">
        <v>350</v>
      </c>
      <c r="E159" s="33">
        <v>6</v>
      </c>
      <c r="F159" s="49">
        <v>384</v>
      </c>
      <c r="G159" s="28">
        <f ca="1">H159*0.9</f>
        <v>3.789</v>
      </c>
      <c r="H159" s="36">
        <v>4.21</v>
      </c>
      <c r="I159" s="36">
        <v>9.99</v>
      </c>
      <c r="J159" s="36">
        <v>9.99</v>
      </c>
      <c r="K159" s="118"/>
      <c r="L159" s="14"/>
      <c r="M159" s="42"/>
      <c r="N159" s="31">
        <f ca="1">M159*0.78</f>
        <v>0</v>
      </c>
      <c r="O159" s="31">
        <f ca="1">N159/0.7</f>
        <v>0</v>
      </c>
      <c r="P159" s="31">
        <f ca="1">N159*0.9</f>
        <v>0</v>
      </c>
      <c r="R159" s="174">
        <v>1.958</v>
      </c>
      <c r="S159" s="174"/>
      <c r="T159" s="176">
        <f ca="1">(W159-R159)/W159</f>
        <v>0.55706368057912</v>
      </c>
      <c r="U159" s="175">
        <f ca="1">I159</f>
        <v>9.99</v>
      </c>
      <c r="V159" s="175"/>
      <c r="W159" s="175">
        <f ca="1">H159*1.05</f>
        <v>4.4205000000000005</v>
      </c>
      <c r="X159" s="175">
        <f ca="1">W159*0.9</f>
        <v>3.9784500000000005</v>
      </c>
      <c r="Y159" s="191">
        <f ca="1">(U159-W159)/U159</f>
        <v>0.5575075075075074</v>
      </c>
      <c r="Z159" s="184" t="e">
        <f ca="1">(V159-W159)/V159</f>
        <v>#DIV/0!</v>
      </c>
      <c r="AB159" s="4"/>
      <c r="AC159" s="4"/>
      <c r="AD159" s="4"/>
      <c r="AE159" s="4"/>
      <c r="AF159" s="4"/>
      <c r="AG159" s="4"/>
      <c r="AH159" s="4"/>
      <c r="AI159" s="4"/>
      <c r="AJ159" s="4"/>
    </row>
    <row r="160" spans="2:36" s="15" customFormat="1">
      <c r="B160" s="33" t="s">
        <v>351</v>
      </c>
      <c r="C160" s="34" t="s">
        <v>352</v>
      </c>
      <c r="D160" s="33" t="s">
        <v>353</v>
      </c>
      <c r="E160" s="33">
        <v>6</v>
      </c>
      <c r="F160" s="49">
        <v>384</v>
      </c>
      <c r="G160" s="28">
        <f ca="1">H160*0.9</f>
        <v>3.789</v>
      </c>
      <c r="H160" s="36">
        <v>4.21</v>
      </c>
      <c r="I160" s="36">
        <v>9.99</v>
      </c>
      <c r="J160" s="36">
        <v>9.99</v>
      </c>
      <c r="K160" s="118"/>
      <c r="L160" s="14"/>
      <c r="M160" s="42"/>
      <c r="N160" s="31">
        <f ca="1">M160*0.78</f>
        <v>0</v>
      </c>
      <c r="O160" s="31">
        <f ca="1">N160/0.7</f>
        <v>0</v>
      </c>
      <c r="P160" s="31">
        <f ca="1">N160*0.9</f>
        <v>0</v>
      </c>
      <c r="R160" s="174">
        <v>1.985</v>
      </c>
      <c r="S160" s="174"/>
      <c r="T160" s="176">
        <f ca="1">(W160-R160)/W160</f>
        <v>0.5509557742336839</v>
      </c>
      <c r="U160" s="175">
        <f ca="1">I160</f>
        <v>9.99</v>
      </c>
      <c r="V160" s="175"/>
      <c r="W160" s="175">
        <f ca="1">H160*1.05</f>
        <v>4.4205000000000005</v>
      </c>
      <c r="X160" s="175">
        <f ca="1">W160*0.9</f>
        <v>3.9784500000000005</v>
      </c>
      <c r="Y160" s="191">
        <f ca="1">(U160-W160)/U160</f>
        <v>0.5575075075075074</v>
      </c>
      <c r="Z160" s="184" t="e">
        <f ca="1">(V160-W160)/V160</f>
        <v>#DIV/0!</v>
      </c>
      <c r="AB160" s="4"/>
      <c r="AC160" s="4"/>
      <c r="AD160" s="4"/>
      <c r="AE160" s="4"/>
      <c r="AF160" s="4"/>
      <c r="AG160" s="4"/>
      <c r="AH160" s="4"/>
      <c r="AI160" s="4"/>
      <c r="AJ160" s="4"/>
    </row>
    <row r="161" spans="2:36" s="15" customFormat="1">
      <c r="B161" s="33" t="s">
        <v>354</v>
      </c>
      <c r="C161" s="66" t="s">
        <v>355</v>
      </c>
      <c r="D161" s="33" t="s">
        <v>356</v>
      </c>
      <c r="E161" s="33">
        <v>6</v>
      </c>
      <c r="F161" s="49">
        <v>144</v>
      </c>
      <c r="G161" s="28">
        <f ca="1">H161*0.9</f>
        <v>25.839000000000002</v>
      </c>
      <c r="H161" s="36">
        <v>28.71</v>
      </c>
      <c r="I161" s="36">
        <v>49.99</v>
      </c>
      <c r="J161" s="36">
        <v>49.99</v>
      </c>
      <c r="K161" s="118"/>
      <c r="L161" s="14"/>
      <c r="M161" s="42"/>
      <c r="N161" s="31">
        <f ca="1">M161*0.78</f>
        <v>0</v>
      </c>
      <c r="O161" s="31">
        <f ca="1">N161/0.7</f>
        <v>0</v>
      </c>
      <c r="P161" s="31">
        <f ca="1">N161*0.9</f>
        <v>0</v>
      </c>
      <c r="R161" s="174">
        <v>10.633</v>
      </c>
      <c r="S161" s="174"/>
      <c r="T161" s="176">
        <f ca="1">(W161-R161)/W161</f>
        <v>0.6472773714153025</v>
      </c>
      <c r="U161" s="175">
        <f ca="1">I161</f>
        <v>49.99</v>
      </c>
      <c r="V161" s="175"/>
      <c r="W161" s="175">
        <f ca="1">H161*1.05</f>
        <v>30.145500000000002</v>
      </c>
      <c r="X161" s="175">
        <f ca="1">W161*0.9</f>
        <v>27.130950000000002</v>
      </c>
      <c r="Y161" s="176">
        <f ca="1">(U161-W161)/U161</f>
        <v>0.3969693938787757</v>
      </c>
      <c r="Z161" s="184" t="e">
        <f ca="1">(V161-W161)/V161</f>
        <v>#DIV/0!</v>
      </c>
      <c r="AB161" s="4"/>
      <c r="AC161" s="4"/>
      <c r="AD161" s="4"/>
      <c r="AE161" s="4"/>
      <c r="AF161" s="4"/>
      <c r="AG161" s="4"/>
      <c r="AH161" s="4"/>
      <c r="AI161" s="4"/>
      <c r="AJ161" s="4"/>
    </row>
    <row r="162" spans="2:36" s="15" customFormat="1">
      <c r="B162" s="52"/>
      <c r="C162" s="74"/>
      <c r="D162" s="52"/>
      <c r="E162" s="52"/>
      <c r="F162" s="99"/>
      <c r="G162" s="54"/>
      <c r="H162" s="54"/>
      <c r="I162" s="54"/>
      <c r="J162" s="54"/>
      <c r="K162" s="118"/>
      <c r="L162" s="14"/>
      <c r="M162" s="42"/>
      <c r="N162" s="31"/>
      <c r="O162" s="31"/>
      <c r="P162" s="31"/>
      <c r="R162" s="174"/>
      <c r="S162" s="174"/>
      <c r="T162" s="4"/>
      <c r="U162" s="175"/>
      <c r="V162" s="175"/>
      <c r="W162" s="175"/>
      <c r="X162" s="175"/>
      <c r="Y162" s="176"/>
      <c r="Z162" s="184"/>
      <c r="AB162" s="4"/>
      <c r="AC162" s="4"/>
      <c r="AD162" s="4"/>
      <c r="AE162" s="4"/>
      <c r="AF162" s="4"/>
      <c r="AG162" s="4"/>
      <c r="AH162" s="4"/>
      <c r="AI162" s="4"/>
      <c r="AJ162" s="4"/>
    </row>
    <row r="163" spans="2:36" s="15" customFormat="1" customHeight="1">
      <c r="B163" s="20" t="s">
        <v>357</v>
      </c>
      <c r="C163" s="309"/>
      <c r="D163" s="21"/>
      <c r="E163" s="21"/>
      <c r="F163" s="21"/>
      <c r="G163" s="22"/>
      <c r="H163" s="22"/>
      <c r="I163" s="47"/>
      <c r="J163" s="47"/>
      <c r="K163" s="212"/>
      <c r="L163" s="14"/>
      <c r="M163" s="42"/>
      <c r="N163" s="31"/>
      <c r="O163" s="31"/>
      <c r="P163" s="31"/>
      <c r="R163" s="174"/>
      <c r="S163" s="174"/>
      <c r="T163" s="4"/>
      <c r="U163" s="175"/>
      <c r="V163" s="175"/>
      <c r="W163" s="175"/>
      <c r="X163" s="175"/>
      <c r="Y163" s="176"/>
      <c r="Z163" s="184"/>
      <c r="AB163" s="4"/>
      <c r="AC163" s="4"/>
      <c r="AD163" s="4"/>
      <c r="AE163" s="4"/>
      <c r="AF163" s="4"/>
      <c r="AG163" s="4"/>
      <c r="AH163" s="4"/>
      <c r="AI163" s="4"/>
      <c r="AJ163" s="4"/>
    </row>
    <row r="164" spans="2:36" s="15" customFormat="1">
      <c r="B164" s="68" t="s">
        <v>358</v>
      </c>
      <c r="C164" s="26" t="s">
        <v>359</v>
      </c>
      <c r="D164" s="68" t="s">
        <v>360</v>
      </c>
      <c r="E164" s="68">
        <v>1</v>
      </c>
      <c r="F164" s="68">
        <v>4</v>
      </c>
      <c r="G164" s="28">
        <f ca="1">H164*0.9</f>
        <v>161.703</v>
      </c>
      <c r="H164" s="28">
        <v>179.67</v>
      </c>
      <c r="I164" s="28">
        <v>299.99</v>
      </c>
      <c r="J164" s="62">
        <v>290.99</v>
      </c>
      <c r="K164" s="213"/>
      <c r="L164" s="29">
        <f ca="1">(J164/I164)-1</f>
        <v>-0.03000100003333439</v>
      </c>
      <c r="M164" s="38">
        <v>229.99</v>
      </c>
      <c r="N164" s="31">
        <f ca="1">M164*0.78</f>
        <v>179.3922</v>
      </c>
      <c r="O164" s="31">
        <f ca="1">N164/0.7</f>
        <v>256.27457142857145</v>
      </c>
      <c r="P164" s="31">
        <f ca="1">N164*0.9</f>
        <v>161.45298</v>
      </c>
      <c r="R164" s="174">
        <v>100.276</v>
      </c>
      <c r="S164" s="174"/>
      <c r="T164" s="176">
        <f ca="1">(W164-R164)/W164</f>
        <v>0.46846467200449504</v>
      </c>
      <c r="U164" s="175">
        <f ca="1">I164</f>
        <v>299.99</v>
      </c>
      <c r="V164" s="175"/>
      <c r="W164" s="175">
        <f ca="1">H164*1.05</f>
        <v>188.6535</v>
      </c>
      <c r="X164" s="175">
        <f ca="1">W164*0.9</f>
        <v>169.78815</v>
      </c>
      <c r="Y164" s="176">
        <f ca="1">(U164-W164)/U164</f>
        <v>0.37113403780126003</v>
      </c>
      <c r="Z164" s="184" t="e">
        <f ca="1">(V164-W164)/V164</f>
        <v>#DIV/0!</v>
      </c>
      <c r="AB164" s="4"/>
      <c r="AC164" s="4"/>
      <c r="AD164" s="4"/>
      <c r="AE164" s="4"/>
      <c r="AF164" s="4"/>
      <c r="AG164" s="4"/>
      <c r="AH164" s="4"/>
      <c r="AI164" s="4"/>
      <c r="AJ164" s="4"/>
    </row>
    <row r="165" spans="2:36" s="15" customFormat="1">
      <c r="B165" s="37" t="s">
        <v>361</v>
      </c>
      <c r="C165" s="34" t="s">
        <v>362</v>
      </c>
      <c r="D165" s="37" t="s">
        <v>363</v>
      </c>
      <c r="E165" s="37">
        <v>1</v>
      </c>
      <c r="F165" s="37">
        <v>4</v>
      </c>
      <c r="G165" s="28">
        <f ca="1">H165*0.9</f>
        <v>141.75</v>
      </c>
      <c r="H165" s="36">
        <v>157.5</v>
      </c>
      <c r="I165" s="36">
        <v>224.99</v>
      </c>
      <c r="J165" s="41">
        <v>224.99</v>
      </c>
      <c r="K165" s="213"/>
      <c r="L165" s="14"/>
      <c r="M165" s="42"/>
      <c r="N165" s="31">
        <f ca="1">M165*0.78</f>
        <v>0</v>
      </c>
      <c r="O165" s="31">
        <f ca="1">N165/0.7</f>
        <v>0</v>
      </c>
      <c r="P165" s="31">
        <f ca="1">N165*0.9</f>
        <v>0</v>
      </c>
      <c r="R165" s="174">
        <v>65.581</v>
      </c>
      <c r="S165" s="174"/>
      <c r="T165" s="176">
        <f ca="1">(W165-R165)/W165</f>
        <v>0.6034406651549509</v>
      </c>
      <c r="U165" s="175">
        <f ca="1">I165</f>
        <v>224.99</v>
      </c>
      <c r="V165" s="175"/>
      <c r="W165" s="175">
        <f ca="1">H165*1.05</f>
        <v>165.375</v>
      </c>
      <c r="X165" s="175">
        <f ca="1">W165*0.9</f>
        <v>148.8375</v>
      </c>
      <c r="Y165" s="180">
        <f ca="1">(U165-W165)/U165</f>
        <v>0.26496733188141697</v>
      </c>
      <c r="Z165" s="184" t="e">
        <f ca="1">(V165-W165)/V165</f>
        <v>#DIV/0!</v>
      </c>
      <c r="AB165" s="4"/>
      <c r="AC165" s="4"/>
      <c r="AD165" s="4"/>
      <c r="AE165" s="4"/>
      <c r="AF165" s="4"/>
      <c r="AG165" s="4"/>
      <c r="AH165" s="4"/>
      <c r="AI165" s="4"/>
      <c r="AJ165" s="4"/>
    </row>
    <row r="166" spans="2:36" s="15" customFormat="1">
      <c r="B166" s="37" t="s">
        <v>364</v>
      </c>
      <c r="C166" s="34" t="s">
        <v>365</v>
      </c>
      <c r="D166" s="37" t="s">
        <v>366</v>
      </c>
      <c r="E166" s="37">
        <v>1</v>
      </c>
      <c r="F166" s="37">
        <v>9</v>
      </c>
      <c r="G166" s="28">
        <f ca="1">H166*0.9</f>
        <v>156.411</v>
      </c>
      <c r="H166" s="36">
        <v>173.79</v>
      </c>
      <c r="I166" s="36">
        <v>299.99</v>
      </c>
      <c r="J166" s="41">
        <v>259.99</v>
      </c>
      <c r="K166" s="213"/>
      <c r="L166" s="29">
        <f ca="1">(J166/I166)-1</f>
        <v>-0.13333777792593082</v>
      </c>
      <c r="M166" s="38">
        <v>222.99</v>
      </c>
      <c r="N166" s="31">
        <f ca="1">M166*0.78</f>
        <v>173.93220000000002</v>
      </c>
      <c r="O166" s="31">
        <f ca="1">N166/0.7</f>
        <v>248.47457142857147</v>
      </c>
      <c r="P166" s="31">
        <f ca="1">N166*0.9</f>
        <v>156.53898000000004</v>
      </c>
      <c r="R166" s="174">
        <v>100.208</v>
      </c>
      <c r="S166" s="174"/>
      <c r="T166" s="176">
        <f ca="1">(W166-R166)/W166</f>
        <v>0.45085338353075277</v>
      </c>
      <c r="U166" s="175">
        <f ca="1">I166</f>
        <v>299.99</v>
      </c>
      <c r="V166" s="175"/>
      <c r="W166" s="175">
        <f ca="1">H166*1.05</f>
        <v>182.4795</v>
      </c>
      <c r="X166" s="175">
        <f ca="1">W166*0.9</f>
        <v>164.23155</v>
      </c>
      <c r="Y166" s="176">
        <f ca="1">(U166-W166)/U166</f>
        <v>0.3917147238241275</v>
      </c>
      <c r="Z166" s="184" t="e">
        <f ca="1">(V166-W166)/V166</f>
        <v>#DIV/0!</v>
      </c>
      <c r="AB166" s="4"/>
      <c r="AC166" s="4"/>
      <c r="AD166" s="4"/>
      <c r="AE166" s="4"/>
      <c r="AF166" s="4"/>
      <c r="AG166" s="4"/>
      <c r="AH166" s="4"/>
      <c r="AI166" s="4"/>
      <c r="AJ166" s="4"/>
    </row>
    <row r="167" spans="2:36" s="15" customFormat="1">
      <c r="B167" s="37" t="s">
        <v>367</v>
      </c>
      <c r="C167" s="34" t="s">
        <v>368</v>
      </c>
      <c r="D167" s="37" t="s">
        <v>369</v>
      </c>
      <c r="E167" s="37">
        <v>1</v>
      </c>
      <c r="F167" s="37">
        <v>9</v>
      </c>
      <c r="G167" s="28">
        <f ca="1">H167*0.9</f>
        <v>86.733</v>
      </c>
      <c r="H167" s="36">
        <v>96.37</v>
      </c>
      <c r="I167" s="36">
        <v>199.99</v>
      </c>
      <c r="J167" s="41">
        <v>199.99</v>
      </c>
      <c r="K167" s="213"/>
      <c r="L167" s="14"/>
      <c r="M167" s="42"/>
      <c r="N167" s="31">
        <f ca="1">M167*0.78</f>
        <v>0</v>
      </c>
      <c r="O167" s="31">
        <f ca="1">N167/0.7</f>
        <v>0</v>
      </c>
      <c r="P167" s="31">
        <f ca="1">N167*0.9</f>
        <v>0</v>
      </c>
      <c r="R167" s="174">
        <v>47.356</v>
      </c>
      <c r="S167" s="174"/>
      <c r="T167" s="176">
        <f ca="1">(W167-R167)/W167</f>
        <v>0.5320021543950153</v>
      </c>
      <c r="U167" s="175">
        <f ca="1">I167</f>
        <v>199.99</v>
      </c>
      <c r="V167" s="175"/>
      <c r="W167" s="175">
        <f ca="1">H167*1.05</f>
        <v>101.1885</v>
      </c>
      <c r="X167" s="175">
        <f ca="1">W167*0.9</f>
        <v>91.06965000000001</v>
      </c>
      <c r="Y167" s="191">
        <f ca="1">(U167-W167)/U167</f>
        <v>0.4940322016100805</v>
      </c>
      <c r="Z167" s="184" t="e">
        <f ca="1">(V167-W167)/V167</f>
        <v>#DIV/0!</v>
      </c>
      <c r="AB167" s="4"/>
      <c r="AC167" s="4"/>
      <c r="AD167" s="4"/>
      <c r="AE167" s="4"/>
      <c r="AF167" s="4"/>
      <c r="AG167" s="4"/>
      <c r="AH167" s="4"/>
      <c r="AI167" s="4"/>
      <c r="AJ167" s="4"/>
    </row>
    <row r="168" spans="2:36" s="15" customFormat="1">
      <c r="B168" s="37" t="s">
        <v>370</v>
      </c>
      <c r="C168" s="34" t="s">
        <v>371</v>
      </c>
      <c r="D168" s="37" t="s">
        <v>372</v>
      </c>
      <c r="E168" s="37">
        <v>1</v>
      </c>
      <c r="F168" s="37">
        <v>10</v>
      </c>
      <c r="G168" s="28">
        <f ca="1">H168*0.9</f>
        <v>288.369</v>
      </c>
      <c r="H168" s="36">
        <v>320.41</v>
      </c>
      <c r="I168" s="36">
        <v>499.99</v>
      </c>
      <c r="J168" s="41">
        <v>499.99</v>
      </c>
      <c r="K168" s="213"/>
      <c r="L168" s="14"/>
      <c r="M168" s="42"/>
      <c r="N168" s="31">
        <f ca="1">M168*0.78</f>
        <v>0</v>
      </c>
      <c r="O168" s="31">
        <f ca="1">N168/0.7</f>
        <v>0</v>
      </c>
      <c r="P168" s="31">
        <f ca="1">N168*0.9</f>
        <v>0</v>
      </c>
      <c r="R168" s="174">
        <v>168.233</v>
      </c>
      <c r="S168" s="174"/>
      <c r="T168" s="176">
        <f ca="1">(W168-R168)/W168</f>
        <v>0.49994724021751896</v>
      </c>
      <c r="U168" s="175">
        <f ca="1">I168</f>
        <v>499.99</v>
      </c>
      <c r="V168" s="175"/>
      <c r="W168" s="175">
        <f ca="1">H168*1.05</f>
        <v>336.43050000000005</v>
      </c>
      <c r="X168" s="175">
        <f ca="1">W168*0.9</f>
        <v>302.78745000000004</v>
      </c>
      <c r="Y168" s="176">
        <f ca="1">(U168-W168)/U168</f>
        <v>0.32712554251085013</v>
      </c>
      <c r="Z168" s="184" t="e">
        <f ca="1">(V168-W168)/V168</f>
        <v>#DIV/0!</v>
      </c>
      <c r="AB168" s="4"/>
      <c r="AC168" s="4"/>
      <c r="AD168" s="4"/>
      <c r="AE168" s="4"/>
      <c r="AF168" s="4"/>
      <c r="AG168" s="4"/>
      <c r="AH168" s="4"/>
      <c r="AI168" s="4"/>
      <c r="AJ168" s="4"/>
    </row>
    <row r="169" spans="2:36" s="15" customFormat="1">
      <c r="B169" s="33">
        <v>97361</v>
      </c>
      <c r="C169" s="34" t="s">
        <v>373</v>
      </c>
      <c r="D169" s="33" t="s">
        <v>374</v>
      </c>
      <c r="E169" s="33">
        <v>1</v>
      </c>
      <c r="F169" s="33">
        <v>6</v>
      </c>
      <c r="G169" s="28">
        <f ca="1">H169*0.9</f>
        <v>175.608</v>
      </c>
      <c r="H169" s="36">
        <v>195.12</v>
      </c>
      <c r="I169" s="36">
        <v>299.99</v>
      </c>
      <c r="J169" s="41">
        <v>272.99</v>
      </c>
      <c r="K169" s="213"/>
      <c r="L169" s="29">
        <f ca="1">(J169/I169)-1</f>
        <v>-0.09000300010000328</v>
      </c>
      <c r="M169" s="30">
        <v>272.99</v>
      </c>
      <c r="N169" s="31">
        <f ca="1">M169*0.78</f>
        <v>212.93220000000002</v>
      </c>
      <c r="O169" s="31">
        <f ca="1">N169/0.7</f>
        <v>304.1888571428572</v>
      </c>
      <c r="P169" s="31">
        <f ca="1">N169*0.9</f>
        <v>191.63898000000003</v>
      </c>
      <c r="R169" s="174">
        <v>92.069</v>
      </c>
      <c r="S169" s="174"/>
      <c r="T169" s="176">
        <f ca="1">(W169-R169)/W169</f>
        <v>0.5506111013491087</v>
      </c>
      <c r="U169" s="175">
        <f ca="1">I169</f>
        <v>299.99</v>
      </c>
      <c r="V169" s="175"/>
      <c r="W169" s="175">
        <f ca="1">H169*1.05</f>
        <v>204.876</v>
      </c>
      <c r="X169" s="175">
        <f ca="1">W169*0.9</f>
        <v>184.38840000000002</v>
      </c>
      <c r="Y169" s="176">
        <f ca="1">(U169-W169)/U169</f>
        <v>0.3170572352411747</v>
      </c>
      <c r="Z169" s="184" t="e">
        <f ca="1">(V169-W169)/V169</f>
        <v>#DIV/0!</v>
      </c>
      <c r="AB169" s="4"/>
      <c r="AC169" s="4"/>
      <c r="AD169" s="4"/>
      <c r="AE169" s="4"/>
      <c r="AF169" s="4"/>
      <c r="AG169" s="4"/>
      <c r="AH169" s="4"/>
      <c r="AI169" s="4"/>
      <c r="AJ169" s="4"/>
    </row>
    <row r="170" spans="2:36" s="15" customFormat="1">
      <c r="B170" s="33">
        <v>97561</v>
      </c>
      <c r="C170" s="34" t="s">
        <v>375</v>
      </c>
      <c r="D170" s="33" t="s">
        <v>376</v>
      </c>
      <c r="E170" s="33">
        <v>1</v>
      </c>
      <c r="F170" s="33">
        <v>4</v>
      </c>
      <c r="G170" s="28">
        <f ca="1">H170*0.9</f>
        <v>212.65200000000002</v>
      </c>
      <c r="H170" s="36">
        <v>236.28</v>
      </c>
      <c r="I170" s="36">
        <v>349.99</v>
      </c>
      <c r="J170" s="41">
        <v>299.99</v>
      </c>
      <c r="K170" s="213"/>
      <c r="L170" s="29">
        <f ca="1">(J170/I170)-1</f>
        <v>-0.14286122460641737</v>
      </c>
      <c r="M170" s="30">
        <v>299.99</v>
      </c>
      <c r="N170" s="31">
        <f ca="1">M170*0.78</f>
        <v>233.99220000000003</v>
      </c>
      <c r="O170" s="31">
        <f ca="1">N170/0.7</f>
        <v>334.2745714285715</v>
      </c>
      <c r="P170" s="31">
        <f ca="1">N170*0.9</f>
        <v>210.59298000000004</v>
      </c>
      <c r="R170" s="174">
        <v>119.79</v>
      </c>
      <c r="S170" s="174"/>
      <c r="T170" s="176">
        <f ca="1">(W170-R170)/W170</f>
        <v>0.5171588188347965</v>
      </c>
      <c r="U170" s="175">
        <f ca="1">I170</f>
        <v>349.99</v>
      </c>
      <c r="V170" s="175"/>
      <c r="W170" s="175">
        <f ca="1">H170*1.05</f>
        <v>248.09400000000002</v>
      </c>
      <c r="X170" s="175">
        <f ca="1">W170*0.9</f>
        <v>223.2846</v>
      </c>
      <c r="Y170" s="176">
        <f ca="1">(U170-W170)/U170</f>
        <v>0.29113974684990995</v>
      </c>
      <c r="Z170" s="184" t="e">
        <f ca="1">(V170-W170)/V170</f>
        <v>#DIV/0!</v>
      </c>
      <c r="AB170" s="4"/>
      <c r="AC170" s="4"/>
      <c r="AD170" s="4"/>
      <c r="AE170" s="4"/>
      <c r="AF170" s="4"/>
      <c r="AG170" s="4"/>
      <c r="AH170" s="4"/>
      <c r="AI170" s="4"/>
      <c r="AJ170" s="4"/>
    </row>
    <row r="171" spans="2:36" s="15" customFormat="1">
      <c r="B171" s="33" t="s">
        <v>377</v>
      </c>
      <c r="C171" s="34" t="s">
        <v>378</v>
      </c>
      <c r="D171" s="33" t="s">
        <v>379</v>
      </c>
      <c r="E171" s="33">
        <v>1</v>
      </c>
      <c r="F171" s="37">
        <v>4</v>
      </c>
      <c r="G171" s="28">
        <f ca="1">H171*0.9</f>
        <v>302.517</v>
      </c>
      <c r="H171" s="36">
        <v>336.13</v>
      </c>
      <c r="I171" s="36">
        <v>479.99</v>
      </c>
      <c r="J171" s="41">
        <v>430.99</v>
      </c>
      <c r="K171" s="213"/>
      <c r="L171" s="29">
        <f ca="1">(J171/I171)-1</f>
        <v>-0.10208546011375241</v>
      </c>
      <c r="M171" s="30">
        <v>430.99</v>
      </c>
      <c r="N171" s="31">
        <f ca="1">M171*0.78</f>
        <v>336.17220000000003</v>
      </c>
      <c r="O171" s="31">
        <f ca="1">N171/0.7</f>
        <v>480.2460000000001</v>
      </c>
      <c r="P171" s="31">
        <f ca="1">N171*0.9</f>
        <v>302.55498000000006</v>
      </c>
      <c r="R171" s="174">
        <v>171.578</v>
      </c>
      <c r="S171" s="174"/>
      <c r="T171" s="176">
        <f ca="1">(W171-R171)/W171</f>
        <v>0.5138558919239014</v>
      </c>
      <c r="U171" s="175">
        <f ca="1">I171</f>
        <v>479.99</v>
      </c>
      <c r="V171" s="175"/>
      <c r="W171" s="175">
        <f ca="1">H171*1.05</f>
        <v>352.9365</v>
      </c>
      <c r="X171" s="175">
        <f ca="1">W171*0.9</f>
        <v>317.64285</v>
      </c>
      <c r="Y171" s="180">
        <f ca="1">(U171-W171)/U171</f>
        <v>0.2647003062563803</v>
      </c>
      <c r="Z171" s="184" t="e">
        <f ca="1">(V171-W171)/V171</f>
        <v>#DIV/0!</v>
      </c>
      <c r="AB171" s="4"/>
      <c r="AC171" s="4"/>
      <c r="AD171" s="4"/>
      <c r="AE171" s="4"/>
      <c r="AF171" s="4"/>
      <c r="AG171" s="4"/>
      <c r="AH171" s="4"/>
      <c r="AI171" s="4"/>
      <c r="AJ171" s="4"/>
    </row>
    <row r="172" spans="2:36" s="15" customFormat="1">
      <c r="B172" s="33" t="s">
        <v>380</v>
      </c>
      <c r="C172" s="53" t="s">
        <v>381</v>
      </c>
      <c r="D172" s="52" t="s">
        <v>382</v>
      </c>
      <c r="E172" s="52">
        <v>1</v>
      </c>
      <c r="F172" s="63">
        <v>4</v>
      </c>
      <c r="G172" s="28">
        <f ca="1">H172*0.9</f>
        <v>306.16200000000003</v>
      </c>
      <c r="H172" s="54">
        <v>340.18</v>
      </c>
      <c r="I172" s="54">
        <v>499.99</v>
      </c>
      <c r="J172" s="182">
        <v>464.99</v>
      </c>
      <c r="K172" s="213"/>
      <c r="L172" s="29">
        <f ca="1">(J172/I172)-1</f>
        <v>-0.0700014000280006</v>
      </c>
      <c r="M172" s="30">
        <v>464.99</v>
      </c>
      <c r="N172" s="31">
        <f ca="1">M172*0.78</f>
        <v>362.6922</v>
      </c>
      <c r="O172" s="31">
        <f ca="1">N172/0.7</f>
        <v>518.1317142857143</v>
      </c>
      <c r="P172" s="31">
        <f ca="1">N172*0.9</f>
        <v>326.42298</v>
      </c>
      <c r="R172" s="174">
        <v>193.368</v>
      </c>
      <c r="S172" s="174"/>
      <c r="T172" s="176">
        <f ca="1">(W172-R172)/W172</f>
        <v>0.45863954377094485</v>
      </c>
      <c r="U172" s="175">
        <f ca="1">I172</f>
        <v>499.99</v>
      </c>
      <c r="V172" s="175"/>
      <c r="W172" s="175">
        <f ca="1">H172*1.05</f>
        <v>357.189</v>
      </c>
      <c r="X172" s="175">
        <f ca="1">W172*0.9</f>
        <v>321.4701</v>
      </c>
      <c r="Y172" s="180">
        <f ca="1">(U172-W172)/U172</f>
        <v>0.2856077121542431</v>
      </c>
      <c r="Z172" s="184" t="e">
        <f ca="1">(V172-W172)/V172</f>
        <v>#DIV/0!</v>
      </c>
      <c r="AB172" s="4"/>
      <c r="AC172" s="4"/>
      <c r="AD172" s="4"/>
      <c r="AE172" s="4"/>
      <c r="AF172" s="4"/>
      <c r="AG172" s="4"/>
      <c r="AH172" s="4"/>
      <c r="AI172" s="4"/>
      <c r="AJ172" s="4"/>
    </row>
    <row r="173" spans="2:36" s="15" customFormat="1" customHeight="1">
      <c r="B173" s="100"/>
      <c r="C173" s="20" t="s">
        <v>383</v>
      </c>
      <c r="D173" s="21"/>
      <c r="E173" s="21"/>
      <c r="F173" s="21"/>
      <c r="G173" s="22"/>
      <c r="H173" s="22"/>
      <c r="I173" s="47"/>
      <c r="J173" s="47"/>
      <c r="K173" s="212"/>
      <c r="L173" s="14"/>
      <c r="M173" s="42"/>
      <c r="N173" s="31"/>
      <c r="O173" s="31"/>
      <c r="P173" s="31"/>
      <c r="R173" s="174"/>
      <c r="S173" s="174"/>
      <c r="T173" s="4"/>
      <c r="U173" s="175"/>
      <c r="V173" s="175"/>
      <c r="W173" s="175"/>
      <c r="X173" s="175"/>
      <c r="Y173" s="176"/>
      <c r="Z173" s="184"/>
      <c r="AB173" s="4"/>
      <c r="AC173" s="4"/>
      <c r="AD173" s="4"/>
      <c r="AE173" s="4"/>
      <c r="AF173" s="4"/>
      <c r="AG173" s="4"/>
      <c r="AH173" s="4"/>
      <c r="AI173" s="4"/>
      <c r="AJ173" s="4"/>
    </row>
    <row r="174" spans="2:36" s="15" customFormat="1" customHeight="1">
      <c r="B174" s="51">
        <v>6428</v>
      </c>
      <c r="C174" s="26" t="s">
        <v>384</v>
      </c>
      <c r="D174" s="25" t="s">
        <v>385</v>
      </c>
      <c r="E174" s="25">
        <v>1</v>
      </c>
      <c r="F174" s="25">
        <v>90</v>
      </c>
      <c r="G174" s="28">
        <f ca="1">H174*0.9</f>
        <v>30.672</v>
      </c>
      <c r="H174" s="28">
        <v>34.08</v>
      </c>
      <c r="I174" s="28">
        <v>74.99</v>
      </c>
      <c r="J174" s="28">
        <v>74.99</v>
      </c>
      <c r="K174" s="118"/>
      <c r="L174" s="14"/>
      <c r="M174" s="42"/>
      <c r="N174" s="31">
        <f ca="1">M174*0.78</f>
        <v>0</v>
      </c>
      <c r="O174" s="31">
        <f ca="1">N174/0.7</f>
        <v>0</v>
      </c>
      <c r="P174" s="31">
        <f ca="1">N174*0.9</f>
        <v>0</v>
      </c>
      <c r="R174" s="174"/>
      <c r="S174" s="174"/>
      <c r="T174" s="4"/>
      <c r="U174" s="175">
        <f ca="1">I174</f>
        <v>74.99</v>
      </c>
      <c r="V174" s="175"/>
      <c r="W174" s="175">
        <f ca="1">H174*1.05</f>
        <v>35.784</v>
      </c>
      <c r="X174" s="175">
        <f ca="1">W174*0.9</f>
        <v>32.2056</v>
      </c>
      <c r="Y174" s="191">
        <f ca="1">(U174-W174)/U174</f>
        <v>0.5228163755167355</v>
      </c>
      <c r="Z174" s="184" t="e">
        <f ca="1">(V174-W174)/V174</f>
        <v>#DIV/0!</v>
      </c>
      <c r="AB174" s="4"/>
      <c r="AC174" s="4"/>
      <c r="AD174" s="4"/>
      <c r="AE174" s="4"/>
      <c r="AF174" s="4"/>
      <c r="AG174" s="4"/>
      <c r="AH174" s="4"/>
      <c r="AI174" s="4"/>
      <c r="AJ174" s="4"/>
    </row>
    <row r="175" spans="2:36" s="15" customFormat="1" customHeight="1">
      <c r="B175" s="51">
        <v>6429</v>
      </c>
      <c r="C175" s="34" t="s">
        <v>386</v>
      </c>
      <c r="D175" s="33" t="s">
        <v>387</v>
      </c>
      <c r="E175" s="33">
        <v>1</v>
      </c>
      <c r="F175" s="33">
        <v>180</v>
      </c>
      <c r="G175" s="28">
        <f ca="1">H175*0.9</f>
        <v>38.655</v>
      </c>
      <c r="H175" s="36">
        <v>42.95</v>
      </c>
      <c r="I175" s="36">
        <v>81.99</v>
      </c>
      <c r="J175" s="36">
        <v>81.99</v>
      </c>
      <c r="K175" s="118"/>
      <c r="L175" s="14"/>
      <c r="M175" s="42"/>
      <c r="N175" s="31">
        <f ca="1">M175*0.78</f>
        <v>0</v>
      </c>
      <c r="O175" s="31">
        <f ca="1">N175/0.7</f>
        <v>0</v>
      </c>
      <c r="P175" s="31">
        <f ca="1">N175*0.9</f>
        <v>0</v>
      </c>
      <c r="R175" s="174"/>
      <c r="S175" s="174"/>
      <c r="T175" s="4"/>
      <c r="U175" s="175">
        <f ca="1">I175</f>
        <v>81.99</v>
      </c>
      <c r="V175" s="175"/>
      <c r="W175" s="175">
        <f ca="1">H175*1.05</f>
        <v>45.097500000000004</v>
      </c>
      <c r="X175" s="175">
        <f ca="1">W175*0.9</f>
        <v>40.58775000000001</v>
      </c>
      <c r="Y175" s="191">
        <f ca="1">(U175-W175)/U175</f>
        <v>0.4499634101719721</v>
      </c>
      <c r="Z175" s="184" t="e">
        <f ca="1">(V175-W175)/V175</f>
        <v>#DIV/0!</v>
      </c>
      <c r="AB175" s="4"/>
      <c r="AC175" s="4"/>
      <c r="AD175" s="4"/>
      <c r="AE175" s="4"/>
      <c r="AF175" s="4"/>
      <c r="AG175" s="4"/>
      <c r="AH175" s="4"/>
      <c r="AI175" s="4"/>
      <c r="AJ175" s="4"/>
    </row>
    <row r="176" spans="2:36" s="15" customFormat="1" customHeight="1">
      <c r="B176" s="51">
        <v>6430</v>
      </c>
      <c r="C176" s="34" t="s">
        <v>388</v>
      </c>
      <c r="D176" s="33" t="s">
        <v>389</v>
      </c>
      <c r="E176" s="33">
        <v>1</v>
      </c>
      <c r="F176" s="33">
        <v>500</v>
      </c>
      <c r="G176" s="28">
        <f ca="1">H176*0.9</f>
        <v>15.534000000000002</v>
      </c>
      <c r="H176" s="36">
        <v>17.26</v>
      </c>
      <c r="I176" s="36">
        <v>29.99</v>
      </c>
      <c r="J176" s="36">
        <v>29.99</v>
      </c>
      <c r="K176" s="118"/>
      <c r="L176" s="14"/>
      <c r="M176" s="42"/>
      <c r="N176" s="31">
        <f ca="1">M176*0.78</f>
        <v>0</v>
      </c>
      <c r="O176" s="31">
        <f ca="1">N176/0.7</f>
        <v>0</v>
      </c>
      <c r="P176" s="31">
        <f ca="1">N176*0.9</f>
        <v>0</v>
      </c>
      <c r="R176" s="174"/>
      <c r="S176" s="174"/>
      <c r="T176" s="4"/>
      <c r="U176" s="175">
        <f ca="1">I176</f>
        <v>29.99</v>
      </c>
      <c r="V176" s="175"/>
      <c r="W176" s="175">
        <f ca="1">H176*1.05</f>
        <v>18.123</v>
      </c>
      <c r="X176" s="175">
        <f ca="1">W176*0.9</f>
        <v>16.3107</v>
      </c>
      <c r="Y176" s="176">
        <f ca="1">(U176-W176)/U176</f>
        <v>0.3956985661887295</v>
      </c>
      <c r="Z176" s="184" t="e">
        <f ca="1">(V176-W176)/V176</f>
        <v>#DIV/0!</v>
      </c>
      <c r="AB176" s="4"/>
      <c r="AC176" s="4"/>
      <c r="AD176" s="4"/>
      <c r="AE176" s="4"/>
      <c r="AF176" s="4"/>
      <c r="AG176" s="4"/>
      <c r="AH176" s="4"/>
      <c r="AI176" s="4"/>
      <c r="AJ176" s="4"/>
    </row>
    <row r="177" spans="2:36" s="15" customFormat="1" customHeight="1">
      <c r="B177" s="101" t="s">
        <v>390</v>
      </c>
      <c r="C177" s="34" t="s">
        <v>391</v>
      </c>
      <c r="D177" s="33" t="s">
        <v>392</v>
      </c>
      <c r="E177" s="33">
        <v>1</v>
      </c>
      <c r="F177" s="64" t="s">
        <v>180</v>
      </c>
      <c r="G177" s="28">
        <f ca="1">H177*0.9</f>
        <v>11.331</v>
      </c>
      <c r="H177" s="36">
        <v>12.59</v>
      </c>
      <c r="I177" s="36">
        <v>19.99</v>
      </c>
      <c r="J177" s="36">
        <v>19.99</v>
      </c>
      <c r="K177" s="118"/>
      <c r="L177" s="14"/>
      <c r="M177" s="42"/>
      <c r="N177" s="31">
        <f ca="1">M177*0.78</f>
        <v>0</v>
      </c>
      <c r="O177" s="31">
        <f ca="1">N177/0.7</f>
        <v>0</v>
      </c>
      <c r="P177" s="31">
        <f ca="1">N177*0.9</f>
        <v>0</v>
      </c>
      <c r="R177" s="174"/>
      <c r="S177" s="174"/>
      <c r="T177" s="4"/>
      <c r="U177" s="175">
        <f ca="1">I177</f>
        <v>19.99</v>
      </c>
      <c r="V177" s="175"/>
      <c r="W177" s="175">
        <f ca="1">H177*1.05</f>
        <v>13.2195</v>
      </c>
      <c r="X177" s="175">
        <f ca="1">W177*0.9</f>
        <v>11.89755</v>
      </c>
      <c r="Y177" s="176">
        <f ca="1">(U177-W177)/U177</f>
        <v>0.33869434717358676</v>
      </c>
      <c r="Z177" s="184" t="e">
        <f ca="1">(V177-W177)/V177</f>
        <v>#DIV/0!</v>
      </c>
      <c r="AB177" s="4"/>
      <c r="AC177" s="4"/>
      <c r="AD177" s="4"/>
      <c r="AE177" s="4"/>
      <c r="AF177" s="4"/>
      <c r="AG177" s="4"/>
      <c r="AH177" s="4"/>
      <c r="AI177" s="4"/>
      <c r="AJ177" s="4"/>
    </row>
    <row r="178" spans="2:36" s="15" customFormat="1" customHeight="1">
      <c r="B178" s="101" t="s">
        <v>393</v>
      </c>
      <c r="C178" s="34" t="s">
        <v>394</v>
      </c>
      <c r="D178" s="33" t="s">
        <v>395</v>
      </c>
      <c r="E178" s="33">
        <v>1</v>
      </c>
      <c r="F178" s="33">
        <v>54</v>
      </c>
      <c r="G178" s="28">
        <f ca="1">H178*0.9</f>
        <v>20.376</v>
      </c>
      <c r="H178" s="36">
        <v>22.64</v>
      </c>
      <c r="I178" s="36">
        <v>39.99</v>
      </c>
      <c r="J178" s="41">
        <v>41.99</v>
      </c>
      <c r="K178" s="213"/>
      <c r="L178" s="29">
        <f ca="1">(J178/I178)-1</f>
        <v>0.05001250312578143</v>
      </c>
      <c r="M178" s="30">
        <v>41.99</v>
      </c>
      <c r="N178" s="31">
        <f ca="1">M178*0.78</f>
        <v>32.7522</v>
      </c>
      <c r="O178" s="31">
        <f ca="1">N178/0.7</f>
        <v>46.78885714285715</v>
      </c>
      <c r="P178" s="31">
        <f ca="1">N178*0.9</f>
        <v>29.47698</v>
      </c>
      <c r="R178" s="174"/>
      <c r="S178" s="174"/>
      <c r="T178" s="4"/>
      <c r="U178" s="175">
        <f ca="1">I178</f>
        <v>39.99</v>
      </c>
      <c r="V178" s="175"/>
      <c r="W178" s="175">
        <f ca="1">H178*1.05</f>
        <v>23.772000000000002</v>
      </c>
      <c r="X178" s="175">
        <f ca="1">W178*0.9</f>
        <v>21.394800000000004</v>
      </c>
      <c r="Y178" s="176">
        <f ca="1">(U178-W178)/U178</f>
        <v>0.4055513878469617</v>
      </c>
      <c r="Z178" s="184" t="e">
        <f ca="1">(V178-W178)/V178</f>
        <v>#DIV/0!</v>
      </c>
      <c r="AB178" s="4"/>
      <c r="AC178" s="4"/>
      <c r="AD178" s="4"/>
      <c r="AE178" s="4"/>
      <c r="AF178" s="4"/>
      <c r="AG178" s="4"/>
      <c r="AH178" s="4"/>
      <c r="AI178" s="4"/>
      <c r="AJ178" s="4"/>
    </row>
    <row r="179" spans="2:36" s="15" customFormat="1" customHeight="1">
      <c r="B179" s="51" t="s">
        <v>396</v>
      </c>
      <c r="C179" s="34" t="s">
        <v>397</v>
      </c>
      <c r="D179" s="33" t="s">
        <v>398</v>
      </c>
      <c r="E179" s="33">
        <v>1</v>
      </c>
      <c r="F179" s="33">
        <v>56</v>
      </c>
      <c r="G179" s="28">
        <f ca="1">H179*0.9</f>
        <v>15.858</v>
      </c>
      <c r="H179" s="36">
        <v>17.62</v>
      </c>
      <c r="I179" s="36">
        <v>29.99</v>
      </c>
      <c r="J179" s="41">
        <v>36.99</v>
      </c>
      <c r="K179" s="213"/>
      <c r="L179" s="29">
        <f ca="1">(J179/I179)-1</f>
        <v>0.23341113704568195</v>
      </c>
      <c r="M179" s="30">
        <v>36.99</v>
      </c>
      <c r="N179" s="31">
        <f ca="1">M179*0.78</f>
        <v>28.852200000000003</v>
      </c>
      <c r="O179" s="31">
        <f ca="1">N179/0.7</f>
        <v>41.21742857142858</v>
      </c>
      <c r="P179" s="31">
        <f ca="1">N179*0.9</f>
        <v>25.966980000000003</v>
      </c>
      <c r="R179" s="174"/>
      <c r="S179" s="174"/>
      <c r="T179" s="4"/>
      <c r="U179" s="175">
        <f ca="1">I179</f>
        <v>29.99</v>
      </c>
      <c r="V179" s="175"/>
      <c r="W179" s="175">
        <f ca="1">H179*1.05</f>
        <v>18.501</v>
      </c>
      <c r="X179" s="175">
        <f ca="1">W179*0.9</f>
        <v>16.6509</v>
      </c>
      <c r="Y179" s="176">
        <f ca="1">(U179-W179)/U179</f>
        <v>0.3830943647882627</v>
      </c>
      <c r="Z179" s="184" t="e">
        <f ca="1">(V179-W179)/V179</f>
        <v>#DIV/0!</v>
      </c>
      <c r="AB179" s="4"/>
      <c r="AC179" s="4"/>
      <c r="AD179" s="4"/>
      <c r="AE179" s="4"/>
      <c r="AF179" s="4"/>
      <c r="AG179" s="4"/>
      <c r="AH179" s="4"/>
      <c r="AI179" s="4"/>
      <c r="AJ179" s="4"/>
    </row>
    <row r="180" spans="2:36" s="15" customFormat="1" customHeight="1">
      <c r="B180" s="102"/>
      <c r="C180" s="53"/>
      <c r="D180" s="52"/>
      <c r="E180" s="52"/>
      <c r="F180" s="52"/>
      <c r="G180" s="54"/>
      <c r="H180" s="54"/>
      <c r="I180" s="54"/>
      <c r="J180" s="54"/>
      <c r="K180" s="118"/>
      <c r="L180" s="14"/>
      <c r="M180" s="42"/>
      <c r="N180" s="31"/>
      <c r="O180" s="31"/>
      <c r="P180" s="31"/>
      <c r="R180" s="174"/>
      <c r="S180" s="174"/>
      <c r="T180" s="4"/>
      <c r="U180" s="175"/>
      <c r="V180" s="175"/>
      <c r="W180" s="175"/>
      <c r="X180" s="175"/>
      <c r="Y180" s="176"/>
      <c r="Z180" s="184"/>
      <c r="AB180" s="4"/>
      <c r="AC180" s="4"/>
      <c r="AD180" s="4"/>
      <c r="AE180" s="4"/>
      <c r="AF180" s="4"/>
      <c r="AG180" s="4"/>
      <c r="AH180" s="4"/>
      <c r="AI180" s="4"/>
      <c r="AJ180" s="4"/>
    </row>
    <row r="181" spans="2:36" s="15" customFormat="1" customHeight="1">
      <c r="B181" s="20" t="s">
        <v>399</v>
      </c>
      <c r="C181" s="309"/>
      <c r="D181" s="21"/>
      <c r="E181" s="21"/>
      <c r="F181" s="21"/>
      <c r="G181" s="22"/>
      <c r="H181" s="22"/>
      <c r="I181" s="47"/>
      <c r="J181" s="47"/>
      <c r="K181" s="212"/>
      <c r="L181" s="14"/>
      <c r="M181" s="42"/>
      <c r="N181" s="31"/>
      <c r="O181" s="31"/>
      <c r="P181" s="31"/>
      <c r="R181" s="174"/>
      <c r="S181" s="174"/>
      <c r="T181" s="4"/>
      <c r="U181" s="175"/>
      <c r="V181" s="175"/>
      <c r="W181" s="175"/>
      <c r="X181" s="175"/>
      <c r="Y181" s="176"/>
      <c r="Z181" s="184"/>
      <c r="AB181" s="4"/>
      <c r="AC181" s="4"/>
      <c r="AD181" s="4"/>
      <c r="AE181" s="4"/>
      <c r="AF181" s="4"/>
      <c r="AG181" s="4"/>
      <c r="AH181" s="4"/>
      <c r="AI181" s="4"/>
      <c r="AJ181" s="4"/>
    </row>
    <row r="182" spans="2:36" s="15" customFormat="1" customHeight="1">
      <c r="B182" s="25">
        <v>5000</v>
      </c>
      <c r="C182" s="26" t="s">
        <v>400</v>
      </c>
      <c r="D182" s="25" t="s">
        <v>401</v>
      </c>
      <c r="E182" s="25">
        <v>6</v>
      </c>
      <c r="F182" s="48">
        <v>270</v>
      </c>
      <c r="G182" s="28">
        <f ca="1">H182*0.9</f>
        <v>3.753</v>
      </c>
      <c r="H182" s="28">
        <v>4.17</v>
      </c>
      <c r="I182" s="28">
        <v>9.99</v>
      </c>
      <c r="J182" s="28">
        <v>9.99</v>
      </c>
      <c r="K182" s="118"/>
      <c r="L182" s="14"/>
      <c r="M182" s="42"/>
      <c r="N182" s="31">
        <f ca="1">M182*0.78</f>
        <v>0</v>
      </c>
      <c r="O182" s="31">
        <f ca="1">N182/0.7</f>
        <v>0</v>
      </c>
      <c r="P182" s="31">
        <f ca="1">N182*0.9</f>
        <v>0</v>
      </c>
      <c r="R182" s="174">
        <v>1.46</v>
      </c>
      <c r="S182" s="174"/>
      <c r="T182" s="176">
        <f ca="1">(W182-R182)/W182</f>
        <v>0.666552472307868</v>
      </c>
      <c r="U182" s="175">
        <f ca="1">I182</f>
        <v>9.99</v>
      </c>
      <c r="V182" s="175"/>
      <c r="W182" s="175">
        <f ca="1">H182*1.05</f>
        <v>4.3785</v>
      </c>
      <c r="X182" s="175">
        <f ca="1">W182*0.9</f>
        <v>3.9406499999999998</v>
      </c>
      <c r="Y182" s="191">
        <f ca="1">(U182-W182)/U182</f>
        <v>0.5617117117117117</v>
      </c>
      <c r="Z182" s="184" t="e">
        <f ca="1">(V182-W182)/V182</f>
        <v>#DIV/0!</v>
      </c>
      <c r="AB182" s="4"/>
      <c r="AC182" s="4"/>
      <c r="AD182" s="4"/>
      <c r="AE182" s="4"/>
      <c r="AF182" s="4"/>
      <c r="AG182" s="4"/>
      <c r="AH182" s="4"/>
      <c r="AI182" s="4"/>
      <c r="AJ182" s="4"/>
    </row>
    <row r="183" spans="2:36" s="15" customFormat="1" customHeight="1">
      <c r="B183" s="33">
        <v>5001</v>
      </c>
      <c r="C183" s="34" t="s">
        <v>402</v>
      </c>
      <c r="D183" s="33" t="s">
        <v>403</v>
      </c>
      <c r="E183" s="33">
        <v>6</v>
      </c>
      <c r="F183" s="49">
        <v>270</v>
      </c>
      <c r="G183" s="28">
        <f ca="1">H183*0.9</f>
        <v>3.24</v>
      </c>
      <c r="H183" s="36">
        <v>3.6</v>
      </c>
      <c r="I183" s="36">
        <v>8.99</v>
      </c>
      <c r="J183" s="36">
        <v>8.99</v>
      </c>
      <c r="K183" s="118"/>
      <c r="L183" s="14"/>
      <c r="M183" s="42"/>
      <c r="N183" s="31">
        <f ca="1">M183*0.78</f>
        <v>0</v>
      </c>
      <c r="O183" s="31">
        <f ca="1">N183/0.7</f>
        <v>0</v>
      </c>
      <c r="P183" s="31">
        <f ca="1">N183*0.9</f>
        <v>0</v>
      </c>
      <c r="R183" s="174">
        <v>1.24</v>
      </c>
      <c r="S183" s="174"/>
      <c r="T183" s="176">
        <f ca="1">(W183-R183)/W183</f>
        <v>0.671957671957672</v>
      </c>
      <c r="U183" s="175">
        <f ca="1">I183</f>
        <v>8.99</v>
      </c>
      <c r="V183" s="175"/>
      <c r="W183" s="175">
        <f ca="1">H183*1.05</f>
        <v>3.7800000000000002</v>
      </c>
      <c r="X183" s="175">
        <f ca="1">W183*0.9</f>
        <v>3.402</v>
      </c>
      <c r="Y183" s="191">
        <f ca="1">(U183-W183)/U183</f>
        <v>0.5795328142380423</v>
      </c>
      <c r="Z183" s="184" t="e">
        <f ca="1">(V183-W183)/V183</f>
        <v>#DIV/0!</v>
      </c>
      <c r="AB183" s="4"/>
      <c r="AC183" s="4"/>
      <c r="AD183" s="4"/>
      <c r="AE183" s="4"/>
      <c r="AF183" s="4"/>
      <c r="AG183" s="4"/>
      <c r="AH183" s="4"/>
      <c r="AI183" s="4"/>
      <c r="AJ183" s="4"/>
    </row>
    <row r="184" spans="2:36" s="15" customFormat="1" customHeight="1">
      <c r="B184" s="33">
        <v>5010</v>
      </c>
      <c r="C184" s="34" t="s">
        <v>404</v>
      </c>
      <c r="D184" s="33" t="s">
        <v>405</v>
      </c>
      <c r="E184" s="33">
        <v>6</v>
      </c>
      <c r="F184" s="49">
        <v>378</v>
      </c>
      <c r="G184" s="28">
        <f ca="1">H184*0.9</f>
        <v>6.606</v>
      </c>
      <c r="H184" s="36">
        <v>7.34</v>
      </c>
      <c r="I184" s="36">
        <v>13.99</v>
      </c>
      <c r="J184" s="36">
        <v>13.99</v>
      </c>
      <c r="K184" s="118"/>
      <c r="L184" s="14"/>
      <c r="M184" s="42"/>
      <c r="N184" s="31">
        <f ca="1">M184*0.78</f>
        <v>0</v>
      </c>
      <c r="O184" s="31">
        <f ca="1">N184/0.7</f>
        <v>0</v>
      </c>
      <c r="P184" s="31">
        <f ca="1">N184*0.9</f>
        <v>0</v>
      </c>
      <c r="R184" s="174">
        <v>2.874</v>
      </c>
      <c r="S184" s="174"/>
      <c r="T184" s="176">
        <f ca="1">(W184-R184)/W184</f>
        <v>0.6270922537952511</v>
      </c>
      <c r="U184" s="175">
        <f ca="1">I184</f>
        <v>13.99</v>
      </c>
      <c r="V184" s="175"/>
      <c r="W184" s="175">
        <f ca="1">H184*1.05</f>
        <v>7.707</v>
      </c>
      <c r="X184" s="175">
        <f ca="1">W184*0.9</f>
        <v>6.9363</v>
      </c>
      <c r="Y184" s="191">
        <f ca="1">(U184-W184)/U184</f>
        <v>0.44910650464617585</v>
      </c>
      <c r="Z184" s="184" t="e">
        <f ca="1">(V184-W184)/V184</f>
        <v>#DIV/0!</v>
      </c>
      <c r="AB184" s="4"/>
      <c r="AC184" s="4"/>
      <c r="AD184" s="4"/>
      <c r="AE184" s="4"/>
      <c r="AF184" s="4"/>
      <c r="AG184" s="4"/>
      <c r="AH184" s="4"/>
      <c r="AI184" s="4"/>
      <c r="AJ184" s="4"/>
    </row>
    <row r="185" spans="2:36" s="15" customFormat="1" customHeight="1">
      <c r="B185" s="33">
        <v>97902</v>
      </c>
      <c r="C185" s="66" t="s">
        <v>406</v>
      </c>
      <c r="D185" s="33" t="s">
        <v>407</v>
      </c>
      <c r="E185" s="33">
        <v>1</v>
      </c>
      <c r="F185" s="33">
        <v>15</v>
      </c>
      <c r="G185" s="28">
        <f ca="1">H185*0.9</f>
        <v>283.545</v>
      </c>
      <c r="H185" s="36">
        <v>315.05</v>
      </c>
      <c r="I185" s="36">
        <v>599.99</v>
      </c>
      <c r="J185" s="36">
        <v>599.99</v>
      </c>
      <c r="K185" s="118"/>
      <c r="L185" s="14"/>
      <c r="M185" s="42"/>
      <c r="N185" s="31">
        <f ca="1">M185*0.78</f>
        <v>0</v>
      </c>
      <c r="O185" s="31">
        <f ca="1">N185/0.7</f>
        <v>0</v>
      </c>
      <c r="P185" s="31">
        <f ca="1">N185*0.9</f>
        <v>0</v>
      </c>
      <c r="R185" s="174">
        <v>159.933</v>
      </c>
      <c r="S185" s="174"/>
      <c r="T185" s="176">
        <f ca="1">(W185-R185)/W185</f>
        <v>0.5165302559684404</v>
      </c>
      <c r="U185" s="175">
        <f ca="1">I185</f>
        <v>599.99</v>
      </c>
      <c r="V185" s="175"/>
      <c r="W185" s="175">
        <f ca="1">H185*1.05</f>
        <v>330.8025</v>
      </c>
      <c r="X185" s="175">
        <f ca="1">W185*0.9</f>
        <v>297.72225000000003</v>
      </c>
      <c r="Y185" s="191">
        <f ca="1">(U185-W185)/U185</f>
        <v>0.4486533108885148</v>
      </c>
      <c r="Z185" s="184" t="e">
        <f ca="1">(V185-W185)/V185</f>
        <v>#DIV/0!</v>
      </c>
      <c r="AB185" s="4"/>
      <c r="AC185" s="4"/>
      <c r="AD185" s="4"/>
      <c r="AE185" s="4"/>
      <c r="AF185" s="4"/>
      <c r="AG185" s="4"/>
      <c r="AH185" s="4"/>
      <c r="AI185" s="4"/>
      <c r="AJ185" s="4"/>
    </row>
    <row r="186" spans="2:36" s="15" customFormat="1" customHeight="1">
      <c r="B186" s="103"/>
      <c r="C186" s="103"/>
      <c r="D186" s="104"/>
      <c r="E186" s="104"/>
      <c r="F186" s="104"/>
      <c r="G186" s="105"/>
      <c r="H186" s="105"/>
      <c r="I186" s="105"/>
      <c r="J186" s="105"/>
      <c r="K186" s="105"/>
      <c r="L186" s="14"/>
      <c r="M186" s="42"/>
      <c r="N186" s="31"/>
      <c r="O186" s="31"/>
      <c r="P186" s="31"/>
      <c r="R186" s="174"/>
      <c r="S186" s="174"/>
      <c r="T186" s="4"/>
      <c r="U186" s="175"/>
      <c r="V186" s="175"/>
      <c r="W186" s="175"/>
      <c r="X186" s="175"/>
      <c r="Y186" s="176"/>
      <c r="Z186" s="184"/>
      <c r="AB186" s="4"/>
      <c r="AC186" s="4"/>
      <c r="AD186" s="4"/>
      <c r="AE186" s="4"/>
      <c r="AF186" s="4"/>
      <c r="AG186" s="4"/>
      <c r="AH186" s="4"/>
      <c r="AI186" s="4"/>
      <c r="AJ186" s="4"/>
    </row>
    <row r="187" spans="2:36" s="15" customFormat="1" ht="24" customHeight="1">
      <c r="B187" s="106"/>
      <c r="C187" s="107" t="s">
        <v>408</v>
      </c>
      <c r="D187" s="107"/>
      <c r="E187" s="107"/>
      <c r="F187" s="107"/>
      <c r="G187" s="107"/>
      <c r="H187" s="107"/>
      <c r="I187" s="108"/>
      <c r="J187" s="108"/>
      <c r="K187" s="216"/>
      <c r="L187" s="14"/>
      <c r="M187" s="42"/>
      <c r="N187" s="31"/>
      <c r="O187" s="31"/>
      <c r="P187" s="31"/>
      <c r="R187" s="174"/>
      <c r="S187" s="174"/>
      <c r="T187" s="4"/>
      <c r="U187" s="175"/>
      <c r="V187" s="175"/>
      <c r="W187" s="175"/>
      <c r="X187" s="175"/>
      <c r="Y187" s="176"/>
      <c r="Z187" s="184"/>
      <c r="AB187" s="4"/>
      <c r="AC187" s="4"/>
      <c r="AD187" s="4"/>
      <c r="AE187" s="4"/>
      <c r="AF187" s="4"/>
      <c r="AG187" s="4"/>
      <c r="AH187" s="4"/>
      <c r="AI187" s="4"/>
      <c r="AJ187" s="4"/>
    </row>
    <row r="188" spans="2:36" s="15" customFormat="1" customHeight="1">
      <c r="B188" s="312" t="s">
        <v>409</v>
      </c>
      <c r="C188" s="310"/>
      <c r="D188" s="109"/>
      <c r="E188" s="109"/>
      <c r="F188" s="109"/>
      <c r="G188" s="110"/>
      <c r="H188" s="110"/>
      <c r="I188" s="23"/>
      <c r="J188" s="23"/>
      <c r="K188" s="212"/>
      <c r="L188" s="14"/>
      <c r="M188" s="42"/>
      <c r="N188" s="31"/>
      <c r="O188" s="31"/>
      <c r="P188" s="31"/>
      <c r="R188" s="174"/>
      <c r="S188" s="174"/>
      <c r="T188" s="4"/>
      <c r="U188" s="175"/>
      <c r="V188" s="175"/>
      <c r="W188" s="175"/>
      <c r="X188" s="175"/>
      <c r="Y188" s="176"/>
      <c r="Z188" s="184"/>
      <c r="AB188" s="4"/>
      <c r="AC188" s="4"/>
      <c r="AD188" s="4"/>
      <c r="AE188" s="4"/>
      <c r="AF188" s="4"/>
      <c r="AG188" s="4"/>
      <c r="AH188" s="4"/>
      <c r="AI188" s="4"/>
      <c r="AJ188" s="4"/>
    </row>
    <row r="189" spans="2:36" s="15" customFormat="1">
      <c r="B189" s="25" t="s">
        <v>410</v>
      </c>
      <c r="C189" s="26" t="s">
        <v>411</v>
      </c>
      <c r="D189" s="25" t="s">
        <v>412</v>
      </c>
      <c r="E189" s="25">
        <v>1</v>
      </c>
      <c r="F189" s="25">
        <v>4</v>
      </c>
      <c r="G189" s="28">
        <f ca="1">H189*0.9</f>
        <v>416.97</v>
      </c>
      <c r="H189" s="28">
        <v>463.3</v>
      </c>
      <c r="I189" s="28">
        <v>964.99</v>
      </c>
      <c r="J189" s="28">
        <v>964.99</v>
      </c>
      <c r="K189" s="118"/>
      <c r="L189" s="14"/>
      <c r="M189" s="42"/>
      <c r="N189" s="31">
        <f ca="1">M189*0.78</f>
        <v>0</v>
      </c>
      <c r="O189" s="31">
        <f ca="1">N189/0.7</f>
        <v>0</v>
      </c>
      <c r="P189" s="31">
        <f ca="1">N189*0.9</f>
        <v>0</v>
      </c>
      <c r="R189" s="174">
        <v>257.413</v>
      </c>
      <c r="S189" s="174"/>
      <c r="T189" s="176">
        <f ca="1">(W189-R189)/W189</f>
        <v>0.47084990698200285</v>
      </c>
      <c r="U189" s="175">
        <f ca="1">I189</f>
        <v>964.99</v>
      </c>
      <c r="V189" s="175"/>
      <c r="W189" s="175">
        <f ca="1">H189*1.05</f>
        <v>486.46500000000003</v>
      </c>
      <c r="X189" s="175">
        <f ca="1">W189*0.9</f>
        <v>437.81850000000003</v>
      </c>
      <c r="Y189" s="191">
        <f ca="1">(U189-W189)/U189</f>
        <v>0.4958859677302355</v>
      </c>
      <c r="Z189" s="184" t="e">
        <f ca="1">(V189-W189)/V189</f>
        <v>#DIV/0!</v>
      </c>
      <c r="AB189" s="4"/>
      <c r="AC189" s="4"/>
      <c r="AD189" s="4"/>
      <c r="AE189" s="4"/>
      <c r="AF189" s="4"/>
      <c r="AG189" s="4"/>
      <c r="AH189" s="4"/>
      <c r="AI189" s="4"/>
      <c r="AJ189" s="4"/>
    </row>
    <row r="190" spans="2:36" s="15" customFormat="1">
      <c r="B190" s="33" t="s">
        <v>413</v>
      </c>
      <c r="C190" s="34" t="s">
        <v>414</v>
      </c>
      <c r="D190" s="33" t="s">
        <v>415</v>
      </c>
      <c r="E190" s="33">
        <v>1</v>
      </c>
      <c r="F190" s="33">
        <v>3</v>
      </c>
      <c r="G190" s="28">
        <f ca="1">H190*0.9</f>
        <v>488.844</v>
      </c>
      <c r="H190" s="36">
        <v>543.16</v>
      </c>
      <c r="I190" s="36">
        <v>1099.99</v>
      </c>
      <c r="J190" s="36">
        <v>1099.99</v>
      </c>
      <c r="K190" s="118"/>
      <c r="L190" s="14"/>
      <c r="M190" s="42"/>
      <c r="N190" s="31">
        <f ca="1">M190*0.78</f>
        <v>0</v>
      </c>
      <c r="O190" s="31">
        <f ca="1">N190/0.7</f>
        <v>0</v>
      </c>
      <c r="P190" s="31">
        <f ca="1">N190*0.9</f>
        <v>0</v>
      </c>
      <c r="R190" s="174">
        <v>287.773</v>
      </c>
      <c r="S190" s="174"/>
      <c r="T190" s="176">
        <f ca="1">(W190-R190)/W190</f>
        <v>0.4954165921468373</v>
      </c>
      <c r="U190" s="175">
        <f ca="1">I190</f>
        <v>1099.99</v>
      </c>
      <c r="V190" s="175"/>
      <c r="W190" s="175">
        <f ca="1">H190*1.05</f>
        <v>570.318</v>
      </c>
      <c r="X190" s="175">
        <f ca="1">W190*0.9</f>
        <v>513.2862</v>
      </c>
      <c r="Y190" s="191">
        <f ca="1">(U190-W190)/U190</f>
        <v>0.48152437749434085</v>
      </c>
      <c r="Z190" s="184" t="e">
        <f ca="1">(V190-W190)/V190</f>
        <v>#DIV/0!</v>
      </c>
      <c r="AB190" s="4"/>
      <c r="AC190" s="4"/>
      <c r="AD190" s="4"/>
      <c r="AE190" s="4"/>
      <c r="AF190" s="4"/>
      <c r="AG190" s="4"/>
      <c r="AH190" s="4"/>
      <c r="AI190" s="4"/>
      <c r="AJ190" s="4"/>
    </row>
    <row r="191" spans="2:36" s="15" customFormat="1">
      <c r="B191" s="33" t="s">
        <v>416</v>
      </c>
      <c r="C191" s="34" t="s">
        <v>417</v>
      </c>
      <c r="D191" s="33" t="s">
        <v>418</v>
      </c>
      <c r="E191" s="33">
        <v>1</v>
      </c>
      <c r="F191" s="33">
        <v>8</v>
      </c>
      <c r="G191" s="28">
        <f ca="1">H191*0.9</f>
        <v>229.077</v>
      </c>
      <c r="H191" s="36">
        <v>254.53</v>
      </c>
      <c r="I191" s="36">
        <v>374.99</v>
      </c>
      <c r="J191" s="41">
        <v>313.99</v>
      </c>
      <c r="K191" s="213"/>
      <c r="L191" s="29">
        <f ca="1">(J191/I191)-1</f>
        <v>-0.16267100456012162</v>
      </c>
      <c r="M191" s="30">
        <f ca="1">J191</f>
        <v>313.99</v>
      </c>
      <c r="N191" s="31">
        <f ca="1">M191*0.78</f>
        <v>244.9122</v>
      </c>
      <c r="O191" s="31">
        <f ca="1">N191/0.7</f>
        <v>349.87457142857147</v>
      </c>
      <c r="P191" s="31">
        <f ca="1">N191*0.9</f>
        <v>220.42098000000001</v>
      </c>
      <c r="R191" s="174">
        <v>126.281</v>
      </c>
      <c r="S191" s="174"/>
      <c r="T191" s="176">
        <f ca="1">(W191-R191)/W191</f>
        <v>0.527491380003854</v>
      </c>
      <c r="U191" s="175">
        <f ca="1">I191</f>
        <v>374.99</v>
      </c>
      <c r="V191" s="175"/>
      <c r="W191" s="175">
        <f ca="1">H191*1.05</f>
        <v>267.2565</v>
      </c>
      <c r="X191" s="175">
        <f ca="1">W191*0.9</f>
        <v>240.53085000000002</v>
      </c>
      <c r="Y191" s="180">
        <f ca="1">(U191-W191)/U191</f>
        <v>0.2872969945865223</v>
      </c>
      <c r="Z191" s="184" t="e">
        <f ca="1">(V191-W191)/V191</f>
        <v>#DIV/0!</v>
      </c>
      <c r="AB191" s="4"/>
      <c r="AC191" s="4"/>
      <c r="AD191" s="4"/>
      <c r="AE191" s="4"/>
      <c r="AF191" s="4"/>
      <c r="AG191" s="4"/>
      <c r="AH191" s="4"/>
      <c r="AI191" s="4"/>
      <c r="AJ191" s="4"/>
    </row>
    <row r="192" spans="2:36" s="15" customFormat="1">
      <c r="B192" s="37" t="s">
        <v>419</v>
      </c>
      <c r="C192" s="34" t="s">
        <v>420</v>
      </c>
      <c r="D192" s="37" t="s">
        <v>421</v>
      </c>
      <c r="E192" s="37">
        <v>1</v>
      </c>
      <c r="F192" s="37">
        <v>20</v>
      </c>
      <c r="G192" s="28">
        <f ca="1">H192*0.9</f>
        <v>281.79900000000004</v>
      </c>
      <c r="H192" s="41">
        <v>313.11</v>
      </c>
      <c r="I192" s="36">
        <v>499.99</v>
      </c>
      <c r="J192" s="41">
        <v>434.99</v>
      </c>
      <c r="K192" s="213"/>
      <c r="L192" s="29">
        <f ca="1">(J192/I192)-1</f>
        <v>-0.13000260005200104</v>
      </c>
      <c r="M192" s="30">
        <f ca="1">J192</f>
        <v>434.99</v>
      </c>
      <c r="N192" s="31">
        <f ca="1">M192*0.78</f>
        <v>339.29220000000004</v>
      </c>
      <c r="O192" s="31">
        <f ca="1">N192/0.7</f>
        <v>484.70314285714295</v>
      </c>
      <c r="P192" s="31">
        <f ca="1">N192*0.9</f>
        <v>305.36298000000005</v>
      </c>
      <c r="R192" s="174">
        <v>147.327</v>
      </c>
      <c r="S192" s="174"/>
      <c r="T192" s="176">
        <f ca="1">(W192-R192)/W192</f>
        <v>0.5518781623984269</v>
      </c>
      <c r="U192" s="175">
        <f ca="1">I192</f>
        <v>499.99</v>
      </c>
      <c r="V192" s="175"/>
      <c r="W192" s="175">
        <f ca="1">H192*1.05</f>
        <v>328.76550000000003</v>
      </c>
      <c r="X192" s="175">
        <f ca="1">W192*0.9</f>
        <v>295.88895</v>
      </c>
      <c r="Y192" s="176">
        <f ca="1">(U192-W192)/U192</f>
        <v>0.3424558491169823</v>
      </c>
      <c r="Z192" s="184" t="e">
        <f ca="1">(V192-W192)/V192</f>
        <v>#DIV/0!</v>
      </c>
      <c r="AB192" s="4"/>
      <c r="AC192" s="4"/>
      <c r="AD192" s="4"/>
      <c r="AE192" s="4"/>
      <c r="AF192" s="4"/>
      <c r="AG192" s="4"/>
      <c r="AH192" s="4"/>
      <c r="AI192" s="4"/>
      <c r="AJ192" s="4"/>
    </row>
    <row r="193" spans="2:36" s="15" customFormat="1">
      <c r="B193" s="37" t="s">
        <v>422</v>
      </c>
      <c r="C193" s="34" t="s">
        <v>423</v>
      </c>
      <c r="D193" s="37" t="s">
        <v>424</v>
      </c>
      <c r="E193" s="37">
        <v>1</v>
      </c>
      <c r="F193" s="37">
        <v>20</v>
      </c>
      <c r="G193" s="28">
        <f ca="1">H193*0.9</f>
        <v>262.71</v>
      </c>
      <c r="H193" s="36">
        <v>291.9</v>
      </c>
      <c r="I193" s="36">
        <v>479.99</v>
      </c>
      <c r="J193" s="41">
        <v>417.99</v>
      </c>
      <c r="K193" s="213"/>
      <c r="L193" s="29">
        <f ca="1">(J193/I193)-1</f>
        <v>-0.12916935769495197</v>
      </c>
      <c r="M193" s="30">
        <f ca="1">J193</f>
        <v>417.99</v>
      </c>
      <c r="N193" s="31">
        <f ca="1">M193*0.78</f>
        <v>326.03220000000005</v>
      </c>
      <c r="O193" s="31">
        <f ca="1">N193/0.7</f>
        <v>465.7602857142858</v>
      </c>
      <c r="P193" s="31">
        <f ca="1">N193*0.9</f>
        <v>293.42898</v>
      </c>
      <c r="R193" s="174">
        <v>147.581</v>
      </c>
      <c r="S193" s="174"/>
      <c r="T193" s="176">
        <f ca="1">(W193-R193)/W193</f>
        <v>0.5184880666895055</v>
      </c>
      <c r="U193" s="175">
        <f ca="1">I193</f>
        <v>479.99</v>
      </c>
      <c r="V193" s="175"/>
      <c r="W193" s="175">
        <f ca="1">H193*1.05</f>
        <v>306.495</v>
      </c>
      <c r="X193" s="175">
        <f ca="1">W193*0.9</f>
        <v>275.8455</v>
      </c>
      <c r="Y193" s="176">
        <f ca="1">(U193-W193)/U193</f>
        <v>0.3614554469884789</v>
      </c>
      <c r="Z193" s="184" t="e">
        <f ca="1">(V193-W193)/V193</f>
        <v>#DIV/0!</v>
      </c>
      <c r="AB193" s="4"/>
      <c r="AC193" s="4"/>
      <c r="AD193" s="4"/>
      <c r="AE193" s="4"/>
      <c r="AF193" s="4"/>
      <c r="AG193" s="4"/>
      <c r="AH193" s="4"/>
      <c r="AI193" s="4"/>
      <c r="AJ193" s="4"/>
    </row>
    <row r="194" spans="2:36" s="15" customFormat="1">
      <c r="B194" s="37" t="s">
        <v>425</v>
      </c>
      <c r="C194" s="34" t="s">
        <v>426</v>
      </c>
      <c r="D194" s="37" t="s">
        <v>427</v>
      </c>
      <c r="E194" s="37">
        <v>1</v>
      </c>
      <c r="F194" s="37">
        <v>20</v>
      </c>
      <c r="G194" s="28">
        <f ca="1">H194*0.9</f>
        <v>198.927</v>
      </c>
      <c r="H194" s="36">
        <v>221.03</v>
      </c>
      <c r="I194" s="36">
        <v>324.99</v>
      </c>
      <c r="J194" s="41">
        <v>261.99</v>
      </c>
      <c r="K194" s="213"/>
      <c r="L194" s="29">
        <f ca="1">(J194/I194)-1</f>
        <v>-0.1938521185267239</v>
      </c>
      <c r="M194" s="30">
        <f ca="1">J194</f>
        <v>261.99</v>
      </c>
      <c r="N194" s="31">
        <f ca="1">M194*0.78</f>
        <v>204.3522</v>
      </c>
      <c r="O194" s="31">
        <f ca="1">N194/0.7</f>
        <v>291.9317142857143</v>
      </c>
      <c r="P194" s="31">
        <f ca="1">N194*0.9</f>
        <v>183.91698000000002</v>
      </c>
      <c r="R194" s="174">
        <v>97.524</v>
      </c>
      <c r="S194" s="174"/>
      <c r="T194" s="176">
        <f ca="1">(W194-R194)/W194</f>
        <v>0.5797855494729223</v>
      </c>
      <c r="U194" s="175">
        <f ca="1">I194</f>
        <v>324.99</v>
      </c>
      <c r="V194" s="175"/>
      <c r="W194" s="175">
        <f ca="1">H194*1.05</f>
        <v>232.0815</v>
      </c>
      <c r="X194" s="175">
        <f ca="1">W194*0.9</f>
        <v>208.87335000000002</v>
      </c>
      <c r="Y194" s="180">
        <f ca="1">(U194-W194)/U194</f>
        <v>0.28588110403397027</v>
      </c>
      <c r="Z194" s="184" t="e">
        <f ca="1">(V194-W194)/V194</f>
        <v>#DIV/0!</v>
      </c>
      <c r="AB194" s="4"/>
      <c r="AC194" s="4"/>
      <c r="AD194" s="4"/>
      <c r="AE194" s="4"/>
      <c r="AF194" s="4"/>
      <c r="AG194" s="4"/>
      <c r="AH194" s="4"/>
      <c r="AI194" s="4"/>
      <c r="AJ194" s="4"/>
    </row>
    <row r="195" spans="2:36" s="15" customFormat="1">
      <c r="B195" s="37" t="s">
        <v>428</v>
      </c>
      <c r="C195" s="34" t="s">
        <v>429</v>
      </c>
      <c r="D195" s="37" t="s">
        <v>430</v>
      </c>
      <c r="E195" s="37">
        <v>1</v>
      </c>
      <c r="F195" s="37">
        <v>20</v>
      </c>
      <c r="G195" s="28">
        <f ca="1">H195*0.9</f>
        <v>174.267</v>
      </c>
      <c r="H195" s="36">
        <v>193.63</v>
      </c>
      <c r="I195" s="36">
        <v>299.99</v>
      </c>
      <c r="J195" s="41">
        <v>211.99</v>
      </c>
      <c r="K195" s="213"/>
      <c r="L195" s="29">
        <f ca="1">(J195/I195)-1</f>
        <v>-0.29334311143704794</v>
      </c>
      <c r="M195" s="30">
        <f ca="1">J195</f>
        <v>211.99</v>
      </c>
      <c r="N195" s="31">
        <f ca="1">M195*0.78</f>
        <v>165.3522</v>
      </c>
      <c r="O195" s="31">
        <f ca="1">N195/0.7</f>
        <v>236.2174285714286</v>
      </c>
      <c r="P195" s="31">
        <f ca="1">N195*0.9</f>
        <v>148.81698</v>
      </c>
      <c r="R195" s="174">
        <v>97.365</v>
      </c>
      <c r="S195" s="174"/>
      <c r="T195" s="176">
        <f ca="1">(W195-R195)/W195</f>
        <v>0.5211043152994297</v>
      </c>
      <c r="U195" s="175">
        <f ca="1">I195</f>
        <v>299.99</v>
      </c>
      <c r="V195" s="175"/>
      <c r="W195" s="175">
        <f ca="1">H195*1.05</f>
        <v>203.3115</v>
      </c>
      <c r="X195" s="175">
        <f ca="1">W195*0.9</f>
        <v>182.98035</v>
      </c>
      <c r="Y195" s="176">
        <f ca="1">(U195-W195)/U195</f>
        <v>0.3222724090803027</v>
      </c>
      <c r="Z195" s="184" t="e">
        <f ca="1">(V195-W195)/V195</f>
        <v>#DIV/0!</v>
      </c>
      <c r="AB195" s="4"/>
      <c r="AC195" s="4"/>
      <c r="AD195" s="4"/>
      <c r="AE195" s="4"/>
      <c r="AF195" s="4"/>
      <c r="AG195" s="4"/>
      <c r="AH195" s="4"/>
      <c r="AI195" s="4"/>
      <c r="AJ195" s="4"/>
    </row>
    <row r="196" spans="2:36" s="15" customFormat="1">
      <c r="B196" s="37" t="s">
        <v>431</v>
      </c>
      <c r="C196" s="34" t="s">
        <v>432</v>
      </c>
      <c r="D196" s="37" t="s">
        <v>433</v>
      </c>
      <c r="E196" s="37">
        <v>1</v>
      </c>
      <c r="F196" s="37">
        <v>16</v>
      </c>
      <c r="G196" s="28">
        <f ca="1">H196*0.9</f>
        <v>154.215</v>
      </c>
      <c r="H196" s="36">
        <v>171.35</v>
      </c>
      <c r="I196" s="36">
        <v>249.99</v>
      </c>
      <c r="J196" s="41">
        <v>284.99</v>
      </c>
      <c r="K196" s="213"/>
      <c r="L196" s="29">
        <f ca="1">(J196/I196)-1</f>
        <v>0.14000560022400887</v>
      </c>
      <c r="M196" s="30">
        <f ca="1">J196</f>
        <v>284.99</v>
      </c>
      <c r="N196" s="31">
        <f ca="1">M196*0.78</f>
        <v>222.2922</v>
      </c>
      <c r="O196" s="31">
        <f ca="1">N196/0.7</f>
        <v>317.5602857142857</v>
      </c>
      <c r="P196" s="31">
        <f ca="1">N196*0.9</f>
        <v>200.06298</v>
      </c>
      <c r="R196" s="174">
        <v>82.867</v>
      </c>
      <c r="S196" s="174"/>
      <c r="T196" s="176">
        <f ca="1">(W196-R196)/W196</f>
        <v>0.5394166770881098</v>
      </c>
      <c r="U196" s="175">
        <f ca="1">I196</f>
        <v>249.99</v>
      </c>
      <c r="V196" s="175"/>
      <c r="W196" s="175">
        <f ca="1">H196*1.05</f>
        <v>179.9175</v>
      </c>
      <c r="X196" s="175">
        <f ca="1">W196*0.9</f>
        <v>161.92575</v>
      </c>
      <c r="Y196" s="180">
        <f ca="1">(U196-W196)/U196</f>
        <v>0.280301212048482</v>
      </c>
      <c r="Z196" s="184" t="e">
        <f ca="1">(V196-W196)/V196</f>
        <v>#DIV/0!</v>
      </c>
      <c r="AB196" s="4"/>
      <c r="AC196" s="4"/>
      <c r="AD196" s="4"/>
      <c r="AE196" s="4"/>
      <c r="AF196" s="4"/>
      <c r="AG196" s="4"/>
      <c r="AH196" s="4"/>
      <c r="AI196" s="4"/>
      <c r="AJ196" s="4"/>
    </row>
    <row r="197" spans="2:36" s="15" customFormat="1">
      <c r="B197" s="37" t="s">
        <v>434</v>
      </c>
      <c r="C197" s="34" t="s">
        <v>435</v>
      </c>
      <c r="D197" s="37" t="s">
        <v>436</v>
      </c>
      <c r="E197" s="37">
        <v>1</v>
      </c>
      <c r="F197" s="37">
        <v>12</v>
      </c>
      <c r="G197" s="28">
        <f ca="1">H197*0.9</f>
        <v>149.823</v>
      </c>
      <c r="H197" s="36">
        <v>166.47</v>
      </c>
      <c r="I197" s="36">
        <v>239.99</v>
      </c>
      <c r="J197" s="41">
        <v>178.99</v>
      </c>
      <c r="K197" s="213"/>
      <c r="L197" s="29">
        <f ca="1">(J197/I197)-1</f>
        <v>-0.2541772573857244</v>
      </c>
      <c r="M197" s="30">
        <f ca="1">J197</f>
        <v>178.99</v>
      </c>
      <c r="N197" s="31">
        <f ca="1">M197*0.78</f>
        <v>139.6122</v>
      </c>
      <c r="O197" s="31">
        <f ca="1">N197/0.7</f>
        <v>199.44600000000003</v>
      </c>
      <c r="P197" s="31">
        <f ca="1">N197*0.9</f>
        <v>125.65098</v>
      </c>
      <c r="R197" s="174">
        <v>86.476</v>
      </c>
      <c r="S197" s="174"/>
      <c r="T197" s="176">
        <f ca="1">(W197-R197)/W197</f>
        <v>0.5052676443918109</v>
      </c>
      <c r="U197" s="175">
        <f ca="1">I197</f>
        <v>239.99</v>
      </c>
      <c r="V197" s="175"/>
      <c r="W197" s="175">
        <f ca="1">H197*1.05</f>
        <v>174.7935</v>
      </c>
      <c r="X197" s="175">
        <f ca="1">W197*0.9</f>
        <v>157.31415</v>
      </c>
      <c r="Y197" s="180">
        <f ca="1">(U197-W197)/U197</f>
        <v>0.2716634026417768</v>
      </c>
      <c r="Z197" s="184" t="e">
        <f ca="1">(V197-W197)/V197</f>
        <v>#DIV/0!</v>
      </c>
      <c r="AB197" s="4"/>
      <c r="AC197" s="4"/>
      <c r="AD197" s="4"/>
      <c r="AE197" s="4"/>
      <c r="AF197" s="4"/>
      <c r="AG197" s="4"/>
      <c r="AH197" s="4"/>
      <c r="AI197" s="4"/>
      <c r="AJ197" s="4"/>
    </row>
    <row r="198" spans="2:36" s="15" customFormat="1">
      <c r="B198" s="37" t="s">
        <v>437</v>
      </c>
      <c r="C198" s="34" t="s">
        <v>438</v>
      </c>
      <c r="D198" s="37" t="s">
        <v>439</v>
      </c>
      <c r="E198" s="37">
        <v>1</v>
      </c>
      <c r="F198" s="37">
        <v>16</v>
      </c>
      <c r="G198" s="28">
        <f ca="1">H198*0.9</f>
        <v>113.4</v>
      </c>
      <c r="H198" s="36">
        <v>126</v>
      </c>
      <c r="I198" s="36">
        <v>179.99</v>
      </c>
      <c r="J198" s="41">
        <v>182.99</v>
      </c>
      <c r="K198" s="213"/>
      <c r="L198" s="29">
        <f ca="1">(J198/I198)-1</f>
        <v>0.016667592644035834</v>
      </c>
      <c r="M198" s="30">
        <f ca="1">J198</f>
        <v>182.99</v>
      </c>
      <c r="N198" s="31">
        <f ca="1">M198*0.78</f>
        <v>142.7322</v>
      </c>
      <c r="O198" s="31">
        <f ca="1">N198/0.7</f>
        <v>203.90314285714288</v>
      </c>
      <c r="P198" s="31">
        <f ca="1">N198*0.9</f>
        <v>128.45898</v>
      </c>
      <c r="R198" s="174">
        <v>69.129</v>
      </c>
      <c r="S198" s="174"/>
      <c r="T198" s="176">
        <f ca="1">(W198-R198)/W198</f>
        <v>0.47748299319727894</v>
      </c>
      <c r="U198" s="175">
        <f ca="1">I198</f>
        <v>179.99</v>
      </c>
      <c r="V198" s="175"/>
      <c r="W198" s="175">
        <f ca="1">H198*1.05</f>
        <v>132.3</v>
      </c>
      <c r="X198" s="175">
        <f ca="1">W198*0.9</f>
        <v>119.07000000000001</v>
      </c>
      <c r="Y198" s="180">
        <f ca="1">(U198-W198)/U198</f>
        <v>0.2649591643980221</v>
      </c>
      <c r="Z198" s="184" t="e">
        <f ca="1">(V198-W198)/V198</f>
        <v>#DIV/0!</v>
      </c>
      <c r="AB198" s="4"/>
      <c r="AC198" s="4"/>
      <c r="AD198" s="4"/>
      <c r="AE198" s="4"/>
      <c r="AF198" s="4"/>
      <c r="AG198" s="4"/>
      <c r="AH198" s="4"/>
      <c r="AI198" s="4"/>
      <c r="AJ198" s="4"/>
    </row>
    <row r="199" spans="2:36" s="15" customFormat="1">
      <c r="B199" s="37" t="s">
        <v>440</v>
      </c>
      <c r="C199" s="34" t="s">
        <v>441</v>
      </c>
      <c r="D199" s="37" t="s">
        <v>442</v>
      </c>
      <c r="E199" s="37">
        <v>1</v>
      </c>
      <c r="F199" s="37">
        <v>16</v>
      </c>
      <c r="G199" s="28">
        <f ca="1">H199*0.9</f>
        <v>62.68500000000001</v>
      </c>
      <c r="H199" s="36">
        <v>69.65</v>
      </c>
      <c r="I199" s="36">
        <v>99.99</v>
      </c>
      <c r="J199" s="41">
        <v>100.99</v>
      </c>
      <c r="K199" s="213"/>
      <c r="L199" s="29">
        <f ca="1">(J199/I199)-1</f>
        <v>0.010001000100009927</v>
      </c>
      <c r="M199" s="30">
        <f ca="1">J199</f>
        <v>100.99</v>
      </c>
      <c r="N199" s="31">
        <f ca="1">M199*0.78</f>
        <v>78.7722</v>
      </c>
      <c r="O199" s="31">
        <f ca="1">N199/0.7</f>
        <v>112.53171428571429</v>
      </c>
      <c r="P199" s="31">
        <f ca="1">N199*0.9</f>
        <v>70.89498</v>
      </c>
      <c r="R199" s="174">
        <v>38.715</v>
      </c>
      <c r="S199" s="174"/>
      <c r="T199" s="176">
        <f ca="1">(W199-R199)/W199</f>
        <v>0.47061839811301404</v>
      </c>
      <c r="U199" s="175">
        <f ca="1">I199</f>
        <v>99.99</v>
      </c>
      <c r="V199" s="175"/>
      <c r="W199" s="175">
        <f ca="1">H199*1.05</f>
        <v>73.13250000000001</v>
      </c>
      <c r="X199" s="175">
        <f ca="1">W199*0.9</f>
        <v>65.81925000000001</v>
      </c>
      <c r="Y199" s="180">
        <f ca="1">(U199-W199)/U199</f>
        <v>0.2686018601860185</v>
      </c>
      <c r="Z199" s="184" t="e">
        <f ca="1">(V199-W199)/V199</f>
        <v>#DIV/0!</v>
      </c>
      <c r="AB199" s="4"/>
      <c r="AC199" s="4"/>
      <c r="AD199" s="4"/>
      <c r="AE199" s="4"/>
      <c r="AF199" s="4"/>
      <c r="AG199" s="4"/>
      <c r="AH199" s="4"/>
      <c r="AI199" s="4"/>
      <c r="AJ199" s="4"/>
    </row>
    <row r="200" spans="2:36" s="15" customFormat="1">
      <c r="B200" s="37" t="s">
        <v>443</v>
      </c>
      <c r="C200" s="34" t="s">
        <v>444</v>
      </c>
      <c r="D200" s="37" t="s">
        <v>445</v>
      </c>
      <c r="E200" s="37">
        <v>3</v>
      </c>
      <c r="F200" s="33">
        <v>24</v>
      </c>
      <c r="G200" s="28">
        <f ca="1">H200*0.9</f>
        <v>52.019999999999996</v>
      </c>
      <c r="H200" s="36">
        <v>57.8</v>
      </c>
      <c r="I200" s="36">
        <v>84.99</v>
      </c>
      <c r="J200" s="36">
        <v>84.99</v>
      </c>
      <c r="K200" s="118"/>
      <c r="L200" s="14"/>
      <c r="M200" s="42"/>
      <c r="N200" s="31">
        <f ca="1">M200*0.78</f>
        <v>0</v>
      </c>
      <c r="O200" s="31">
        <f ca="1">N200/0.7</f>
        <v>0</v>
      </c>
      <c r="P200" s="31">
        <f ca="1">N200*0.9</f>
        <v>0</v>
      </c>
      <c r="R200" s="174">
        <v>33.335</v>
      </c>
      <c r="S200" s="174"/>
      <c r="T200" s="176">
        <f ca="1">(W200-R200)/W200</f>
        <v>0.45073323447025865</v>
      </c>
      <c r="U200" s="175">
        <f ca="1">I200</f>
        <v>84.99</v>
      </c>
      <c r="V200" s="175"/>
      <c r="W200" s="175">
        <f ca="1">H200*1.05</f>
        <v>60.69</v>
      </c>
      <c r="X200" s="175">
        <f ca="1">W200*0.9</f>
        <v>54.621</v>
      </c>
      <c r="Y200" s="180">
        <f ca="1">(U200-W200)/U200</f>
        <v>0.2859159901164843</v>
      </c>
      <c r="Z200" s="184" t="e">
        <f ca="1">(V200-W200)/V200</f>
        <v>#DIV/0!</v>
      </c>
      <c r="AB200" s="4"/>
      <c r="AC200" s="4"/>
      <c r="AD200" s="4"/>
      <c r="AE200" s="4"/>
      <c r="AF200" s="4"/>
      <c r="AG200" s="4"/>
      <c r="AH200" s="4"/>
      <c r="AI200" s="4"/>
      <c r="AJ200" s="4"/>
    </row>
    <row r="201" spans="2:36" s="15" customFormat="1">
      <c r="B201" s="45"/>
      <c r="C201" s="67"/>
      <c r="D201" s="45"/>
      <c r="E201" s="45"/>
      <c r="F201" s="111"/>
      <c r="G201" s="46"/>
      <c r="H201" s="46"/>
      <c r="I201" s="46"/>
      <c r="J201" s="46"/>
      <c r="K201" s="105"/>
      <c r="L201" s="14"/>
      <c r="M201" s="42"/>
      <c r="N201" s="31"/>
      <c r="O201" s="31"/>
      <c r="P201" s="31"/>
      <c r="R201" s="174"/>
      <c r="S201" s="174"/>
      <c r="T201" s="176"/>
      <c r="U201" s="175"/>
      <c r="V201" s="175"/>
      <c r="W201" s="175"/>
      <c r="X201" s="175"/>
      <c r="Y201" s="176"/>
      <c r="Z201" s="184"/>
      <c r="AB201" s="4"/>
      <c r="AC201" s="4"/>
      <c r="AD201" s="4"/>
      <c r="AE201" s="4"/>
      <c r="AF201" s="4"/>
      <c r="AG201" s="4"/>
      <c r="AH201" s="4"/>
      <c r="AI201" s="4"/>
      <c r="AJ201" s="4"/>
    </row>
    <row r="202" spans="2:36" s="15" customFormat="1" customHeight="1">
      <c r="B202" s="20" t="s">
        <v>446</v>
      </c>
      <c r="C202" s="309"/>
      <c r="D202" s="21"/>
      <c r="E202" s="21"/>
      <c r="F202" s="21"/>
      <c r="G202" s="22"/>
      <c r="H202" s="22"/>
      <c r="I202" s="47"/>
      <c r="J202" s="47"/>
      <c r="K202" s="212"/>
      <c r="L202" s="14"/>
      <c r="M202" s="42"/>
      <c r="N202" s="31"/>
      <c r="O202" s="31"/>
      <c r="P202" s="31"/>
      <c r="R202" s="174"/>
      <c r="S202" s="174"/>
      <c r="T202" s="176"/>
      <c r="U202" s="175"/>
      <c r="V202" s="175"/>
      <c r="W202" s="175"/>
      <c r="X202" s="175"/>
      <c r="Y202" s="176"/>
      <c r="Z202" s="184"/>
      <c r="AB202" s="4"/>
      <c r="AC202" s="4"/>
      <c r="AD202" s="4"/>
      <c r="AE202" s="4"/>
      <c r="AF202" s="4"/>
      <c r="AG202" s="4"/>
      <c r="AH202" s="4"/>
      <c r="AI202" s="4"/>
      <c r="AJ202" s="4"/>
    </row>
    <row r="203" spans="2:36" s="15" customFormat="1">
      <c r="B203" s="68" t="s">
        <v>447</v>
      </c>
      <c r="C203" s="26" t="s">
        <v>448</v>
      </c>
      <c r="D203" s="68" t="s">
        <v>449</v>
      </c>
      <c r="E203" s="68">
        <v>1</v>
      </c>
      <c r="F203" s="68">
        <v>60</v>
      </c>
      <c r="G203" s="28">
        <f ca="1">H203*0.9</f>
        <v>23.616</v>
      </c>
      <c r="H203" s="28">
        <v>26.24</v>
      </c>
      <c r="I203" s="28">
        <v>49.99</v>
      </c>
      <c r="J203" s="28">
        <v>49.99</v>
      </c>
      <c r="K203" s="118"/>
      <c r="L203" s="14"/>
      <c r="M203" s="42"/>
      <c r="N203" s="31">
        <f ca="1">M203*0.78</f>
        <v>0</v>
      </c>
      <c r="O203" s="31">
        <f ca="1">N203/0.7</f>
        <v>0</v>
      </c>
      <c r="P203" s="31">
        <f ca="1">N203*0.9</f>
        <v>0</v>
      </c>
      <c r="R203" s="174">
        <v>14.252</v>
      </c>
      <c r="S203" s="174"/>
      <c r="T203" s="176">
        <f ca="1">(W203-R203)/W203</f>
        <v>0.4827235772357723</v>
      </c>
      <c r="U203" s="175">
        <f ca="1">I203</f>
        <v>49.99</v>
      </c>
      <c r="V203" s="175"/>
      <c r="W203" s="175">
        <f ca="1">H203*1.05</f>
        <v>27.552</v>
      </c>
      <c r="X203" s="175">
        <f ca="1">W203*0.9</f>
        <v>24.7968</v>
      </c>
      <c r="Y203" s="191">
        <f ca="1">(U203-W203)/U203</f>
        <v>0.44884976995399084</v>
      </c>
      <c r="Z203" s="184" t="e">
        <f ca="1">(V203-W203)/V203</f>
        <v>#DIV/0!</v>
      </c>
      <c r="AB203" s="4"/>
      <c r="AC203" s="4"/>
      <c r="AD203" s="4"/>
      <c r="AE203" s="4"/>
      <c r="AF203" s="4"/>
      <c r="AG203" s="4"/>
      <c r="AH203" s="4"/>
      <c r="AI203" s="4"/>
      <c r="AJ203" s="4"/>
    </row>
    <row r="204" spans="2:36" s="15" customFormat="1">
      <c r="B204" s="37" t="s">
        <v>450</v>
      </c>
      <c r="C204" s="34" t="s">
        <v>451</v>
      </c>
      <c r="D204" s="37" t="s">
        <v>452</v>
      </c>
      <c r="E204" s="37">
        <v>1</v>
      </c>
      <c r="F204" s="37">
        <v>24</v>
      </c>
      <c r="G204" s="28">
        <f ca="1">H204*0.9</f>
        <v>45.342000000000006</v>
      </c>
      <c r="H204" s="36">
        <v>50.38</v>
      </c>
      <c r="I204" s="36">
        <v>99.99</v>
      </c>
      <c r="J204" s="41">
        <v>81.99</v>
      </c>
      <c r="K204" s="213"/>
      <c r="L204" s="29">
        <f ca="1">(J204/I204)-1</f>
        <v>-0.18001800180018002</v>
      </c>
      <c r="M204" s="30">
        <f ca="1">J204</f>
        <v>81.99</v>
      </c>
      <c r="N204" s="31">
        <f ca="1">M204*0.78</f>
        <v>63.9522</v>
      </c>
      <c r="O204" s="31">
        <f ca="1">N204/0.7</f>
        <v>91.36028571428572</v>
      </c>
      <c r="P204" s="31">
        <f ca="1">N204*0.9</f>
        <v>57.556979999999996</v>
      </c>
      <c r="R204" s="174">
        <v>28.363</v>
      </c>
      <c r="S204" s="174"/>
      <c r="T204" s="176">
        <f ca="1">(W204-R204)/W204</f>
        <v>0.4638272935216168</v>
      </c>
      <c r="U204" s="175">
        <f ca="1">I204</f>
        <v>99.99</v>
      </c>
      <c r="V204" s="175"/>
      <c r="W204" s="175">
        <f ca="1">H204*1.05</f>
        <v>52.89900000000001</v>
      </c>
      <c r="X204" s="175">
        <f ca="1">W204*0.9</f>
        <v>47.609100000000005</v>
      </c>
      <c r="Y204" s="191">
        <f ca="1">(U204-W204)/U204</f>
        <v>0.47095709570957084</v>
      </c>
      <c r="Z204" s="184" t="e">
        <f ca="1">(V204-W204)/V204</f>
        <v>#DIV/0!</v>
      </c>
      <c r="AB204" s="4"/>
      <c r="AC204" s="4"/>
      <c r="AD204" s="4"/>
      <c r="AE204" s="4"/>
      <c r="AF204" s="4"/>
      <c r="AG204" s="4"/>
      <c r="AH204" s="4"/>
      <c r="AI204" s="4"/>
      <c r="AJ204" s="4"/>
    </row>
    <row r="205" spans="2:36" s="15" customFormat="1">
      <c r="B205" s="37" t="s">
        <v>453</v>
      </c>
      <c r="C205" s="34" t="s">
        <v>454</v>
      </c>
      <c r="D205" s="37" t="s">
        <v>455</v>
      </c>
      <c r="E205" s="37">
        <v>3</v>
      </c>
      <c r="F205" s="37">
        <v>144</v>
      </c>
      <c r="G205" s="28">
        <f ca="1">H205*0.9</f>
        <v>9.909</v>
      </c>
      <c r="H205" s="36">
        <v>11.01</v>
      </c>
      <c r="I205" s="36">
        <v>19.99</v>
      </c>
      <c r="J205" s="36">
        <v>19.99</v>
      </c>
      <c r="K205" s="118"/>
      <c r="L205" s="14"/>
      <c r="M205" s="42"/>
      <c r="N205" s="31">
        <f ca="1">M205*0.78</f>
        <v>0</v>
      </c>
      <c r="O205" s="31">
        <f ca="1">N205/0.7</f>
        <v>0</v>
      </c>
      <c r="P205" s="31">
        <f ca="1">N205*0.9</f>
        <v>0</v>
      </c>
      <c r="R205" s="174">
        <v>5.995</v>
      </c>
      <c r="S205" s="174"/>
      <c r="T205" s="176">
        <f ca="1">(W205-R205)/W205</f>
        <v>0.481423813848882</v>
      </c>
      <c r="U205" s="175">
        <f ca="1">I205</f>
        <v>19.99</v>
      </c>
      <c r="V205" s="175"/>
      <c r="W205" s="175">
        <f ca="1">H205*1.05</f>
        <v>11.560500000000001</v>
      </c>
      <c r="X205" s="175">
        <f ca="1">W205*0.9</f>
        <v>10.40445</v>
      </c>
      <c r="Y205" s="191">
        <f ca="1">(U205-W205)/U205</f>
        <v>0.4216858429214606</v>
      </c>
      <c r="Z205" s="184" t="e">
        <f ca="1">(V205-W205)/V205</f>
        <v>#DIV/0!</v>
      </c>
      <c r="AB205" s="4"/>
      <c r="AC205" s="4"/>
      <c r="AD205" s="4"/>
      <c r="AE205" s="4"/>
      <c r="AF205" s="4"/>
      <c r="AG205" s="4"/>
      <c r="AH205" s="4"/>
      <c r="AI205" s="4"/>
      <c r="AJ205" s="4"/>
    </row>
    <row r="206" spans="2:36" s="15" customFormat="1">
      <c r="B206" s="112"/>
      <c r="C206" s="113"/>
      <c r="D206" s="112"/>
      <c r="E206" s="112"/>
      <c r="F206" s="114"/>
      <c r="G206" s="114"/>
      <c r="H206" s="114"/>
      <c r="I206" s="114"/>
      <c r="J206" s="114"/>
      <c r="K206" s="217"/>
      <c r="L206" s="14"/>
      <c r="M206" s="42"/>
      <c r="N206" s="31"/>
      <c r="O206" s="31"/>
      <c r="P206" s="31"/>
      <c r="R206" s="174"/>
      <c r="S206" s="174"/>
      <c r="T206" s="176"/>
      <c r="U206" s="175"/>
      <c r="V206" s="175"/>
      <c r="W206" s="175"/>
      <c r="X206" s="175"/>
      <c r="Y206" s="176"/>
      <c r="Z206" s="184"/>
      <c r="AB206" s="4"/>
      <c r="AC206" s="4"/>
      <c r="AD206" s="4"/>
      <c r="AE206" s="4"/>
      <c r="AF206" s="4"/>
      <c r="AG206" s="4"/>
      <c r="AH206" s="4"/>
      <c r="AI206" s="4"/>
      <c r="AJ206" s="4"/>
    </row>
    <row r="207" spans="2:36" s="15" customFormat="1" customHeight="1">
      <c r="B207" s="20" t="s">
        <v>456</v>
      </c>
      <c r="C207" s="309"/>
      <c r="D207" s="21"/>
      <c r="E207" s="21"/>
      <c r="F207" s="21"/>
      <c r="G207" s="22"/>
      <c r="H207" s="22"/>
      <c r="I207" s="47"/>
      <c r="J207" s="47"/>
      <c r="K207" s="212"/>
      <c r="L207" s="14"/>
      <c r="M207" s="42"/>
      <c r="N207" s="31"/>
      <c r="O207" s="31"/>
      <c r="P207" s="31"/>
      <c r="R207" s="174"/>
      <c r="S207" s="174"/>
      <c r="T207" s="176"/>
      <c r="U207" s="175"/>
      <c r="V207" s="175"/>
      <c r="W207" s="175"/>
      <c r="X207" s="175"/>
      <c r="Y207" s="176"/>
      <c r="Z207" s="184"/>
      <c r="AB207" s="4"/>
      <c r="AC207" s="4"/>
      <c r="AD207" s="4"/>
      <c r="AE207" s="4"/>
      <c r="AF207" s="4"/>
      <c r="AG207" s="4"/>
      <c r="AH207" s="4"/>
      <c r="AI207" s="4"/>
      <c r="AJ207" s="4"/>
    </row>
    <row r="208" spans="2:36" s="15" customFormat="1">
      <c r="B208" s="68" t="s">
        <v>457</v>
      </c>
      <c r="C208" s="26" t="s">
        <v>458</v>
      </c>
      <c r="D208" s="68" t="s">
        <v>459</v>
      </c>
      <c r="E208" s="68">
        <v>1</v>
      </c>
      <c r="F208" s="68">
        <v>12</v>
      </c>
      <c r="G208" s="28">
        <f ca="1">H208*0.9</f>
        <v>83.646</v>
      </c>
      <c r="H208" s="28">
        <v>92.94</v>
      </c>
      <c r="I208" s="28">
        <v>164.99</v>
      </c>
      <c r="J208" s="62">
        <v>130.99</v>
      </c>
      <c r="K208" s="213"/>
      <c r="L208" s="29">
        <f ca="1">(J208/I208)-1</f>
        <v>-0.20607309533911145</v>
      </c>
      <c r="M208" s="30">
        <f ca="1">J208</f>
        <v>130.99</v>
      </c>
      <c r="N208" s="31">
        <f ca="1">M208*0.78</f>
        <v>102.1722</v>
      </c>
      <c r="O208" s="31">
        <f ca="1">N208/0.7</f>
        <v>145.96028571428573</v>
      </c>
      <c r="P208" s="31">
        <f ca="1">N208*0.9</f>
        <v>91.95498</v>
      </c>
      <c r="R208" s="174">
        <v>44.153</v>
      </c>
      <c r="S208" s="174"/>
      <c r="T208" s="176">
        <f ca="1">(W208-R208)/W208</f>
        <v>0.547552440386527</v>
      </c>
      <c r="U208" s="175">
        <f ca="1">I208</f>
        <v>164.99</v>
      </c>
      <c r="V208" s="175"/>
      <c r="W208" s="175">
        <f ca="1">H208*1.05</f>
        <v>97.587</v>
      </c>
      <c r="X208" s="175">
        <f ca="1">W208*0.9</f>
        <v>87.8283</v>
      </c>
      <c r="Y208" s="176">
        <f ca="1">(U208-W208)/U208</f>
        <v>0.40852778956300384</v>
      </c>
      <c r="Z208" s="184" t="e">
        <f ca="1">(V208-W208)/V208</f>
        <v>#DIV/0!</v>
      </c>
      <c r="AB208" s="4"/>
      <c r="AC208" s="4"/>
      <c r="AD208" s="4"/>
      <c r="AE208" s="4"/>
      <c r="AF208" s="4"/>
      <c r="AG208" s="4"/>
      <c r="AH208" s="4"/>
      <c r="AI208" s="4"/>
      <c r="AJ208" s="4"/>
    </row>
    <row r="209" spans="2:36" s="15" customFormat="1">
      <c r="B209" s="45"/>
      <c r="C209" s="67"/>
      <c r="D209" s="111"/>
      <c r="E209" s="45"/>
      <c r="F209" s="45"/>
      <c r="G209" s="46"/>
      <c r="H209" s="46"/>
      <c r="I209" s="46"/>
      <c r="J209" s="46"/>
      <c r="K209" s="105"/>
      <c r="L209" s="14"/>
      <c r="M209" s="42"/>
      <c r="N209" s="31"/>
      <c r="O209" s="31"/>
      <c r="P209" s="31"/>
      <c r="R209" s="174"/>
      <c r="S209" s="174"/>
      <c r="T209" s="176"/>
      <c r="U209" s="175"/>
      <c r="V209" s="175"/>
      <c r="W209" s="175"/>
      <c r="X209" s="175"/>
      <c r="Y209" s="176"/>
      <c r="Z209" s="184"/>
      <c r="AB209" s="4"/>
      <c r="AC209" s="4"/>
      <c r="AD209" s="4"/>
      <c r="AE209" s="4"/>
      <c r="AF209" s="4"/>
      <c r="AG209" s="4"/>
      <c r="AH209" s="4"/>
      <c r="AI209" s="4"/>
      <c r="AJ209" s="4"/>
    </row>
    <row r="210" spans="2:36" s="15" customFormat="1" customHeight="1">
      <c r="B210" s="20" t="s">
        <v>460</v>
      </c>
      <c r="C210" s="309"/>
      <c r="D210" s="21"/>
      <c r="E210" s="21"/>
      <c r="F210" s="21"/>
      <c r="G210" s="22"/>
      <c r="H210" s="22"/>
      <c r="I210" s="47"/>
      <c r="J210" s="47"/>
      <c r="K210" s="212"/>
      <c r="L210" s="14"/>
      <c r="M210" s="42"/>
      <c r="N210" s="31"/>
      <c r="O210" s="31"/>
      <c r="P210" s="31"/>
      <c r="R210" s="174"/>
      <c r="S210" s="174"/>
      <c r="T210" s="176"/>
      <c r="U210" s="175"/>
      <c r="V210" s="175"/>
      <c r="W210" s="175"/>
      <c r="X210" s="175"/>
      <c r="Y210" s="176"/>
      <c r="Z210" s="184"/>
      <c r="AB210" s="4"/>
      <c r="AC210" s="4"/>
      <c r="AD210" s="4"/>
      <c r="AE210" s="4"/>
      <c r="AF210" s="4"/>
      <c r="AG210" s="4"/>
      <c r="AH210" s="4"/>
      <c r="AI210" s="4"/>
      <c r="AJ210" s="4"/>
    </row>
    <row r="211" spans="2:36" s="15" customFormat="1">
      <c r="B211" s="68" t="s">
        <v>461</v>
      </c>
      <c r="C211" s="26" t="s">
        <v>462</v>
      </c>
      <c r="D211" s="68" t="s">
        <v>463</v>
      </c>
      <c r="E211" s="68">
        <v>1</v>
      </c>
      <c r="F211" s="68">
        <v>6</v>
      </c>
      <c r="G211" s="28">
        <f ca="1">H211*0.9</f>
        <v>537.345</v>
      </c>
      <c r="H211" s="28">
        <v>597.05</v>
      </c>
      <c r="I211" s="28">
        <v>1099.99</v>
      </c>
      <c r="J211" s="28">
        <v>799.99</v>
      </c>
      <c r="K211" s="118"/>
      <c r="L211" s="29">
        <f ca="1">(J211/I211)-1</f>
        <v>-0.27272975208865535</v>
      </c>
      <c r="M211" s="38">
        <f ca="1">J211</f>
        <v>799.99</v>
      </c>
      <c r="N211" s="31">
        <f ca="1">M211*0.78</f>
        <v>623.9922</v>
      </c>
      <c r="O211" s="31">
        <f ca="1">N211/0.7</f>
        <v>891.4174285714287</v>
      </c>
      <c r="P211" s="31">
        <f ca="1">N211*0.9</f>
        <v>561.59298</v>
      </c>
      <c r="R211" s="174">
        <v>253.603</v>
      </c>
      <c r="S211" s="174"/>
      <c r="T211" s="176">
        <f ca="1">(W211-R211)/W211</f>
        <v>0.5954665996706027</v>
      </c>
      <c r="U211" s="175">
        <f ca="1">I211</f>
        <v>1099.99</v>
      </c>
      <c r="V211" s="175"/>
      <c r="W211" s="175">
        <f ca="1">H211*1.05</f>
        <v>626.9025</v>
      </c>
      <c r="X211" s="175">
        <f ca="1">W211*0.9</f>
        <v>564.21225</v>
      </c>
      <c r="Y211" s="176">
        <f ca="1">(U211-W211)/U211</f>
        <v>0.4300834553041391</v>
      </c>
      <c r="Z211" s="184" t="e">
        <f ca="1">(V211-W211)/V211</f>
        <v>#DIV/0!</v>
      </c>
      <c r="AB211" s="4"/>
      <c r="AC211" s="4"/>
      <c r="AD211" s="4"/>
      <c r="AE211" s="4"/>
      <c r="AF211" s="4"/>
      <c r="AG211" s="4"/>
      <c r="AH211" s="4"/>
      <c r="AI211" s="4"/>
      <c r="AJ211" s="4"/>
    </row>
    <row r="212" spans="2:36" s="15" customFormat="1">
      <c r="B212" s="33" t="s">
        <v>464</v>
      </c>
      <c r="C212" s="34" t="s">
        <v>465</v>
      </c>
      <c r="D212" s="33" t="s">
        <v>466</v>
      </c>
      <c r="E212" s="33">
        <v>1</v>
      </c>
      <c r="F212" s="33">
        <v>12</v>
      </c>
      <c r="G212" s="28">
        <f ca="1">H212*0.9</f>
        <v>305.388</v>
      </c>
      <c r="H212" s="36">
        <v>339.32</v>
      </c>
      <c r="I212" s="36">
        <v>624.99</v>
      </c>
      <c r="J212" s="36">
        <v>449.99</v>
      </c>
      <c r="K212" s="118"/>
      <c r="L212" s="29">
        <f ca="1">(J212/I212)-1</f>
        <v>-0.2800044800716811</v>
      </c>
      <c r="M212" s="38">
        <f ca="1">J212</f>
        <v>449.99</v>
      </c>
      <c r="N212" s="31">
        <f ca="1">M212*0.78</f>
        <v>350.9922</v>
      </c>
      <c r="O212" s="31">
        <f ca="1">N212/0.7</f>
        <v>501.4174285714286</v>
      </c>
      <c r="P212" s="31">
        <f ca="1">N212*0.9</f>
        <v>315.89298</v>
      </c>
      <c r="R212" s="174">
        <v>146.016</v>
      </c>
      <c r="S212" s="174"/>
      <c r="T212" s="176">
        <f ca="1">(W212-R212)/W212</f>
        <v>0.5901719405196949</v>
      </c>
      <c r="U212" s="175">
        <f ca="1">I212</f>
        <v>624.99</v>
      </c>
      <c r="V212" s="175"/>
      <c r="W212" s="175">
        <f ca="1">H212*1.05</f>
        <v>356.286</v>
      </c>
      <c r="X212" s="175">
        <f ca="1">W212*0.9</f>
        <v>320.6574</v>
      </c>
      <c r="Y212" s="176">
        <f ca="1">(U212-W212)/U212</f>
        <v>0.4299332789324629</v>
      </c>
      <c r="Z212" s="184" t="e">
        <f ca="1">(V212-W212)/V212</f>
        <v>#DIV/0!</v>
      </c>
      <c r="AB212" s="4"/>
      <c r="AC212" s="4"/>
      <c r="AD212" s="4"/>
      <c r="AE212" s="4"/>
      <c r="AF212" s="4"/>
      <c r="AG212" s="4"/>
      <c r="AH212" s="4"/>
      <c r="AI212" s="4"/>
      <c r="AJ212" s="4"/>
    </row>
    <row r="213" spans="2:36" s="15" customFormat="1">
      <c r="B213" s="37" t="s">
        <v>467</v>
      </c>
      <c r="C213" s="34" t="s">
        <v>468</v>
      </c>
      <c r="D213" s="37" t="s">
        <v>469</v>
      </c>
      <c r="E213" s="37">
        <v>1</v>
      </c>
      <c r="F213" s="37">
        <v>12</v>
      </c>
      <c r="G213" s="28">
        <f ca="1">H213*0.9</f>
        <v>291.654</v>
      </c>
      <c r="H213" s="36">
        <v>324.06</v>
      </c>
      <c r="I213" s="36">
        <v>499.99</v>
      </c>
      <c r="J213" s="36">
        <v>429.99</v>
      </c>
      <c r="K213" s="118"/>
      <c r="L213" s="29">
        <f ca="1">(J213/I213)-1</f>
        <v>-0.14000280005600108</v>
      </c>
      <c r="M213" s="38">
        <f ca="1">J213</f>
        <v>429.99</v>
      </c>
      <c r="N213" s="31">
        <f ca="1">M213*0.78</f>
        <v>335.3922</v>
      </c>
      <c r="O213" s="31">
        <f ca="1">N213/0.7</f>
        <v>479.13171428571434</v>
      </c>
      <c r="P213" s="31">
        <f ca="1">N213*0.9</f>
        <v>301.85298</v>
      </c>
      <c r="R213" s="174">
        <v>147.208</v>
      </c>
      <c r="S213" s="174"/>
      <c r="T213" s="176">
        <f ca="1">(W213-R213)/W213</f>
        <v>0.5673699461886835</v>
      </c>
      <c r="U213" s="175">
        <f ca="1">I213</f>
        <v>499.99</v>
      </c>
      <c r="V213" s="175"/>
      <c r="W213" s="175">
        <f ca="1">H213*1.05</f>
        <v>340.26300000000003</v>
      </c>
      <c r="X213" s="175">
        <f ca="1">W213*0.9</f>
        <v>306.23670000000004</v>
      </c>
      <c r="Y213" s="176">
        <f ca="1">(U213-W213)/U213</f>
        <v>0.3194603892077841</v>
      </c>
      <c r="Z213" s="184" t="e">
        <f ca="1">(V213-W213)/V213</f>
        <v>#DIV/0!</v>
      </c>
      <c r="AB213" s="4"/>
      <c r="AC213" s="4"/>
      <c r="AD213" s="4"/>
      <c r="AE213" s="4"/>
      <c r="AF213" s="4"/>
      <c r="AG213" s="4"/>
      <c r="AH213" s="4"/>
      <c r="AI213" s="4"/>
      <c r="AJ213" s="4"/>
    </row>
    <row r="214" spans="2:36" s="15" customFormat="1">
      <c r="B214" s="37" t="s">
        <v>470</v>
      </c>
      <c r="C214" s="34" t="s">
        <v>471</v>
      </c>
      <c r="D214" s="37" t="s">
        <v>472</v>
      </c>
      <c r="E214" s="37">
        <v>1</v>
      </c>
      <c r="F214" s="37">
        <v>12</v>
      </c>
      <c r="G214" s="28">
        <f ca="1">H214*0.9</f>
        <v>188.055</v>
      </c>
      <c r="H214" s="36">
        <v>208.95</v>
      </c>
      <c r="I214" s="36">
        <v>299.99</v>
      </c>
      <c r="J214" s="36">
        <v>269.99</v>
      </c>
      <c r="K214" s="118"/>
      <c r="L214" s="29">
        <f ca="1">(J214/I214)-1</f>
        <v>-0.10000333344444812</v>
      </c>
      <c r="M214" s="38">
        <f ca="1">J214</f>
        <v>269.99</v>
      </c>
      <c r="N214" s="31">
        <f ca="1">M214*0.78</f>
        <v>210.59220000000002</v>
      </c>
      <c r="O214" s="31">
        <f ca="1">N214/0.7</f>
        <v>300.84600000000006</v>
      </c>
      <c r="P214" s="31">
        <f ca="1">N214*0.9</f>
        <v>189.53298</v>
      </c>
      <c r="R214" s="174">
        <v>94.031</v>
      </c>
      <c r="S214" s="174"/>
      <c r="T214" s="176">
        <f ca="1">(W214-R214)/W214</f>
        <v>0.5714126186487996</v>
      </c>
      <c r="U214" s="175">
        <f ca="1">I214</f>
        <v>299.99</v>
      </c>
      <c r="V214" s="175"/>
      <c r="W214" s="175">
        <f ca="1">H214*1.05</f>
        <v>219.3975</v>
      </c>
      <c r="X214" s="175">
        <f ca="1">W214*0.9</f>
        <v>197.45775</v>
      </c>
      <c r="Y214" s="180">
        <f ca="1">(U214-W214)/U214</f>
        <v>0.26865062168738957</v>
      </c>
      <c r="Z214" s="184" t="e">
        <f ca="1">(V214-W214)/V214</f>
        <v>#DIV/0!</v>
      </c>
      <c r="AB214" s="4"/>
      <c r="AC214" s="4"/>
      <c r="AD214" s="4"/>
      <c r="AE214" s="4"/>
      <c r="AF214" s="4"/>
      <c r="AG214" s="4"/>
      <c r="AH214" s="4"/>
      <c r="AI214" s="4"/>
      <c r="AJ214" s="4"/>
    </row>
    <row r="215" spans="2:36" s="15" customFormat="1">
      <c r="B215" s="37" t="s">
        <v>473</v>
      </c>
      <c r="C215" s="34" t="s">
        <v>474</v>
      </c>
      <c r="D215" s="37" t="s">
        <v>475</v>
      </c>
      <c r="E215" s="37">
        <v>1</v>
      </c>
      <c r="F215" s="37">
        <v>12</v>
      </c>
      <c r="G215" s="28">
        <f ca="1">H215*0.9</f>
        <v>156.87</v>
      </c>
      <c r="H215" s="36">
        <v>174.3</v>
      </c>
      <c r="I215" s="36">
        <v>249.99</v>
      </c>
      <c r="J215" s="36">
        <v>229.99</v>
      </c>
      <c r="K215" s="118"/>
      <c r="L215" s="29">
        <f ca="1">(J215/I215)-1</f>
        <v>-0.0800032001280051</v>
      </c>
      <c r="M215" s="38">
        <f ca="1">J215</f>
        <v>229.99</v>
      </c>
      <c r="N215" s="31">
        <f ca="1">M215*0.78</f>
        <v>179.3922</v>
      </c>
      <c r="O215" s="31">
        <f ca="1">N215/0.7</f>
        <v>256.27457142857145</v>
      </c>
      <c r="P215" s="31">
        <f ca="1">N215*0.9</f>
        <v>161.45298</v>
      </c>
      <c r="R215" s="174">
        <v>88.511</v>
      </c>
      <c r="S215" s="174"/>
      <c r="T215" s="176">
        <f ca="1">(W215-R215)/W215</f>
        <v>0.5163729748927685</v>
      </c>
      <c r="U215" s="175">
        <f ca="1">I215</f>
        <v>249.99</v>
      </c>
      <c r="V215" s="175"/>
      <c r="W215" s="175">
        <f ca="1">H215*1.05</f>
        <v>183.01500000000001</v>
      </c>
      <c r="X215" s="175">
        <f ca="1">W215*0.9</f>
        <v>164.7135</v>
      </c>
      <c r="Y215" s="180">
        <f ca="1">(U215-W215)/U215</f>
        <v>0.2679107164286571</v>
      </c>
      <c r="Z215" s="184" t="e">
        <f ca="1">(V215-W215)/V215</f>
        <v>#DIV/0!</v>
      </c>
      <c r="AB215" s="4"/>
      <c r="AC215" s="4"/>
      <c r="AD215" s="4"/>
      <c r="AE215" s="4"/>
      <c r="AF215" s="4"/>
      <c r="AG215" s="4"/>
      <c r="AH215" s="4"/>
      <c r="AI215" s="4"/>
      <c r="AJ215" s="4"/>
    </row>
    <row r="216" spans="2:36" s="15" customFormat="1">
      <c r="B216" s="37" t="s">
        <v>476</v>
      </c>
      <c r="C216" s="34" t="s">
        <v>477</v>
      </c>
      <c r="D216" s="37" t="s">
        <v>478</v>
      </c>
      <c r="E216" s="37">
        <v>1</v>
      </c>
      <c r="F216" s="37">
        <v>16</v>
      </c>
      <c r="G216" s="28">
        <f ca="1">H216*0.9</f>
        <v>119.62799999999999</v>
      </c>
      <c r="H216" s="36">
        <v>132.92</v>
      </c>
      <c r="I216" s="36">
        <v>189.99</v>
      </c>
      <c r="J216" s="36">
        <v>169.99</v>
      </c>
      <c r="K216" s="118"/>
      <c r="L216" s="29">
        <f ca="1">(J216/I216)-1</f>
        <v>-0.10526869835254482</v>
      </c>
      <c r="M216" s="38">
        <f ca="1">J216</f>
        <v>169.99</v>
      </c>
      <c r="N216" s="31">
        <f ca="1">M216*0.78</f>
        <v>132.59220000000002</v>
      </c>
      <c r="O216" s="31">
        <f ca="1">N216/0.7</f>
        <v>189.41742857142862</v>
      </c>
      <c r="P216" s="31">
        <f ca="1">N216*0.9</f>
        <v>119.33298000000002</v>
      </c>
      <c r="R216" s="174">
        <v>74.036</v>
      </c>
      <c r="S216" s="174"/>
      <c r="T216" s="176">
        <f ca="1">(W216-R216)/W216</f>
        <v>0.4695269621541063</v>
      </c>
      <c r="U216" s="175">
        <f ca="1">I216</f>
        <v>189.99</v>
      </c>
      <c r="V216" s="175"/>
      <c r="W216" s="175">
        <f ca="1">H216*1.05</f>
        <v>139.566</v>
      </c>
      <c r="X216" s="175">
        <f ca="1">W216*0.9</f>
        <v>125.60940000000001</v>
      </c>
      <c r="Y216" s="180">
        <f ca="1">(U216-W216)/U216</f>
        <v>0.26540344228643614</v>
      </c>
      <c r="Z216" s="184" t="e">
        <f ca="1">(V216-W216)/V216</f>
        <v>#DIV/0!</v>
      </c>
      <c r="AB216" s="4"/>
      <c r="AC216" s="4"/>
      <c r="AD216" s="4"/>
      <c r="AE216" s="4"/>
      <c r="AF216" s="4"/>
      <c r="AG216" s="4"/>
      <c r="AH216" s="4"/>
      <c r="AI216" s="4"/>
      <c r="AJ216" s="4"/>
    </row>
    <row r="217" spans="2:36" s="15" customFormat="1">
      <c r="B217" s="33" t="s">
        <v>479</v>
      </c>
      <c r="C217" s="34" t="s">
        <v>480</v>
      </c>
      <c r="D217" s="33" t="s">
        <v>481</v>
      </c>
      <c r="E217" s="33">
        <v>1</v>
      </c>
      <c r="F217" s="33">
        <v>8</v>
      </c>
      <c r="G217" s="28">
        <f ca="1">H217*0.9</f>
        <v>78.705</v>
      </c>
      <c r="H217" s="36">
        <v>87.45</v>
      </c>
      <c r="I217" s="36">
        <v>124.99</v>
      </c>
      <c r="J217" s="36">
        <v>114.99</v>
      </c>
      <c r="K217" s="118"/>
      <c r="L217" s="29">
        <f ca="1">(J217/I217)-1</f>
        <v>-0.080006400512041</v>
      </c>
      <c r="M217" s="38">
        <f ca="1">J217</f>
        <v>114.99</v>
      </c>
      <c r="N217" s="31">
        <f ca="1">M217*0.78</f>
        <v>89.6922</v>
      </c>
      <c r="O217" s="31">
        <f ca="1">N217/0.7</f>
        <v>128.13171428571428</v>
      </c>
      <c r="P217" s="31">
        <f ca="1">N217*0.9</f>
        <v>80.72298</v>
      </c>
      <c r="R217" s="174">
        <v>40.165</v>
      </c>
      <c r="S217" s="174"/>
      <c r="T217" s="176">
        <f ca="1">(W217-R217)/W217</f>
        <v>0.5625799776743173</v>
      </c>
      <c r="U217" s="175">
        <f ca="1">I217</f>
        <v>124.99</v>
      </c>
      <c r="V217" s="175"/>
      <c r="W217" s="175">
        <f ca="1">H217*1.05</f>
        <v>91.8225</v>
      </c>
      <c r="X217" s="175">
        <f ca="1">W217*0.9</f>
        <v>82.64025000000001</v>
      </c>
      <c r="Y217" s="180">
        <f ca="1">(U217-W217)/U217</f>
        <v>0.2653612288983118</v>
      </c>
      <c r="Z217" s="184" t="e">
        <f ca="1">(V217-W217)/V217</f>
        <v>#DIV/0!</v>
      </c>
      <c r="AB217" s="4"/>
      <c r="AC217" s="4"/>
      <c r="AD217" s="4"/>
      <c r="AE217" s="4"/>
      <c r="AF217" s="4"/>
      <c r="AG217" s="4"/>
      <c r="AH217" s="4"/>
      <c r="AI217" s="4"/>
      <c r="AJ217" s="4"/>
    </row>
    <row r="218" spans="2:36" s="15" customFormat="1">
      <c r="B218" s="45"/>
      <c r="C218" s="67"/>
      <c r="D218" s="111"/>
      <c r="E218" s="111"/>
      <c r="F218" s="111"/>
      <c r="G218" s="46"/>
      <c r="H218" s="46"/>
      <c r="I218" s="46"/>
      <c r="J218" s="46"/>
      <c r="K218" s="105"/>
      <c r="L218" s="29"/>
      <c r="M218" s="30"/>
      <c r="N218" s="31"/>
      <c r="O218" s="31"/>
      <c r="P218" s="31"/>
      <c r="R218" s="174"/>
      <c r="S218" s="174"/>
      <c r="T218" s="176"/>
      <c r="U218" s="175"/>
      <c r="V218" s="175"/>
      <c r="W218" s="175"/>
      <c r="X218" s="175"/>
      <c r="Y218" s="176"/>
      <c r="Z218" s="184"/>
      <c r="AB218" s="4"/>
      <c r="AC218" s="4"/>
      <c r="AD218" s="4"/>
      <c r="AE218" s="4"/>
      <c r="AF218" s="4"/>
      <c r="AG218" s="4"/>
      <c r="AH218" s="4"/>
      <c r="AI218" s="4"/>
      <c r="AJ218" s="4"/>
    </row>
    <row r="219" spans="2:36" s="15" customFormat="1" customHeight="1">
      <c r="B219" s="20" t="s">
        <v>482</v>
      </c>
      <c r="C219" s="309"/>
      <c r="D219" s="21"/>
      <c r="E219" s="21"/>
      <c r="F219" s="21"/>
      <c r="G219" s="22"/>
      <c r="H219" s="22"/>
      <c r="I219" s="47"/>
      <c r="J219" s="47"/>
      <c r="K219" s="212"/>
      <c r="L219" s="29"/>
      <c r="M219" s="30"/>
      <c r="N219" s="31"/>
      <c r="O219" s="31"/>
      <c r="P219" s="31"/>
      <c r="R219" s="174"/>
      <c r="S219" s="174"/>
      <c r="T219" s="176"/>
      <c r="U219" s="175"/>
      <c r="V219" s="175"/>
      <c r="W219" s="175"/>
      <c r="X219" s="175"/>
      <c r="Y219" s="176"/>
      <c r="Z219" s="184"/>
      <c r="AB219" s="4"/>
      <c r="AC219" s="4"/>
      <c r="AD219" s="4"/>
      <c r="AE219" s="4"/>
      <c r="AF219" s="4"/>
      <c r="AG219" s="4"/>
      <c r="AH219" s="4"/>
      <c r="AI219" s="4"/>
      <c r="AJ219" s="4"/>
    </row>
    <row r="220" spans="2:36" s="15" customFormat="1">
      <c r="B220" s="68" t="s">
        <v>483</v>
      </c>
      <c r="C220" s="26" t="s">
        <v>484</v>
      </c>
      <c r="D220" s="68" t="s">
        <v>485</v>
      </c>
      <c r="E220" s="68">
        <v>6</v>
      </c>
      <c r="F220" s="68">
        <v>144</v>
      </c>
      <c r="G220" s="28">
        <f ca="1">H220*0.9</f>
        <v>4.905</v>
      </c>
      <c r="H220" s="28">
        <v>5.45</v>
      </c>
      <c r="I220" s="28">
        <v>14.99</v>
      </c>
      <c r="J220" s="28">
        <v>14.99</v>
      </c>
      <c r="K220" s="118"/>
      <c r="L220" s="29">
        <f ca="1">(J220/I220)-1</f>
        <v>0</v>
      </c>
      <c r="M220" s="38">
        <f ca="1">J220</f>
        <v>14.99</v>
      </c>
      <c r="N220" s="31">
        <f ca="1">M220*0.78</f>
        <v>11.6922</v>
      </c>
      <c r="O220" s="31">
        <f ca="1">N220/0.7</f>
        <v>16.703142857142858</v>
      </c>
      <c r="P220" s="31">
        <f ca="1">N220*0.9</f>
        <v>10.52298</v>
      </c>
      <c r="R220" s="174">
        <v>2.687</v>
      </c>
      <c r="S220" s="174"/>
      <c r="T220" s="176">
        <f ca="1">(W220-R220)/W220</f>
        <v>0.5304499781564003</v>
      </c>
      <c r="U220" s="175">
        <f ca="1">I220</f>
        <v>14.99</v>
      </c>
      <c r="V220" s="175"/>
      <c r="W220" s="175">
        <f ca="1">H220*1.05</f>
        <v>5.7225</v>
      </c>
      <c r="X220" s="175">
        <f ca="1">W220*0.9</f>
        <v>5.150250000000001</v>
      </c>
      <c r="Y220" s="176">
        <f ca="1">(U220-W220)/U220</f>
        <v>0.6182454969979987</v>
      </c>
      <c r="Z220" s="184" t="e">
        <f ca="1">(V220-W220)/V220</f>
        <v>#DIV/0!</v>
      </c>
      <c r="AB220" s="4"/>
      <c r="AC220" s="4"/>
      <c r="AD220" s="4"/>
      <c r="AE220" s="4"/>
      <c r="AF220" s="4"/>
      <c r="AG220" s="4"/>
      <c r="AH220" s="4"/>
      <c r="AI220" s="4"/>
      <c r="AJ220" s="4"/>
    </row>
    <row r="221" spans="2:36" s="15" customFormat="1">
      <c r="B221" s="37" t="s">
        <v>486</v>
      </c>
      <c r="C221" s="34" t="s">
        <v>487</v>
      </c>
      <c r="D221" s="37" t="s">
        <v>485</v>
      </c>
      <c r="E221" s="37">
        <v>24</v>
      </c>
      <c r="F221" s="37">
        <v>384</v>
      </c>
      <c r="G221" s="28">
        <f ca="1">H221*0.9</f>
        <v>5.6610000000000005</v>
      </c>
      <c r="H221" s="36">
        <v>6.29</v>
      </c>
      <c r="I221" s="36">
        <v>19.99</v>
      </c>
      <c r="J221" s="36">
        <v>19.99</v>
      </c>
      <c r="K221" s="118"/>
      <c r="L221" s="29">
        <f ca="1">(J221/I221)-1</f>
        <v>0</v>
      </c>
      <c r="M221" s="38">
        <f ca="1">J221</f>
        <v>19.99</v>
      </c>
      <c r="N221" s="31">
        <f ca="1">M221*0.78</f>
        <v>15.5922</v>
      </c>
      <c r="O221" s="31">
        <f ca="1">N221/0.7</f>
        <v>22.27457142857143</v>
      </c>
      <c r="P221" s="31">
        <f ca="1">N221*0.9</f>
        <v>14.03298</v>
      </c>
      <c r="R221" s="174">
        <v>2.974</v>
      </c>
      <c r="S221" s="174"/>
      <c r="T221" s="176">
        <f ca="1">(W221-R221)/W221</f>
        <v>0.5497009614656674</v>
      </c>
      <c r="U221" s="175">
        <f ca="1">I221</f>
        <v>19.99</v>
      </c>
      <c r="V221" s="175"/>
      <c r="W221" s="175">
        <f ca="1">H221*1.05</f>
        <v>6.604500000000001</v>
      </c>
      <c r="X221" s="175">
        <f ca="1">W221*0.9</f>
        <v>5.944050000000001</v>
      </c>
      <c r="Y221" s="176">
        <f ca="1">(U221-W221)/U221</f>
        <v>0.6696098049024511</v>
      </c>
      <c r="Z221" s="184" t="e">
        <f ca="1">(V221-W221)/V221</f>
        <v>#DIV/0!</v>
      </c>
      <c r="AB221" s="4"/>
      <c r="AC221" s="4"/>
      <c r="AD221" s="4"/>
      <c r="AE221" s="4"/>
      <c r="AF221" s="4"/>
      <c r="AG221" s="4"/>
      <c r="AH221" s="4"/>
      <c r="AI221" s="4"/>
      <c r="AJ221" s="4"/>
    </row>
    <row r="222" spans="2:36" s="15" customFormat="1">
      <c r="B222" s="37" t="s">
        <v>488</v>
      </c>
      <c r="C222" s="34" t="s">
        <v>489</v>
      </c>
      <c r="D222" s="33" t="s">
        <v>490</v>
      </c>
      <c r="E222" s="33">
        <v>1</v>
      </c>
      <c r="F222" s="37">
        <v>96</v>
      </c>
      <c r="G222" s="28">
        <f ca="1">H222*0.9</f>
        <v>14.166</v>
      </c>
      <c r="H222" s="36">
        <v>15.74</v>
      </c>
      <c r="I222" s="36">
        <v>22.99</v>
      </c>
      <c r="J222" s="36">
        <v>19.99</v>
      </c>
      <c r="K222" s="118"/>
      <c r="L222" s="29">
        <f ca="1">(J222/I222)-1</f>
        <v>-0.13049151805132664</v>
      </c>
      <c r="M222" s="38">
        <f ca="1">J222</f>
        <v>19.99</v>
      </c>
      <c r="N222" s="31">
        <f ca="1">M222*0.78</f>
        <v>15.5922</v>
      </c>
      <c r="O222" s="31">
        <f ca="1">N222/0.7</f>
        <v>22.27457142857143</v>
      </c>
      <c r="P222" s="31">
        <f ca="1">N222*0.9</f>
        <v>14.03298</v>
      </c>
      <c r="R222" s="174">
        <v>6.039</v>
      </c>
      <c r="S222" s="174"/>
      <c r="T222" s="176">
        <f ca="1">(W222-R222)/W222</f>
        <v>0.6345979306589218</v>
      </c>
      <c r="U222" s="175">
        <f ca="1">I222</f>
        <v>22.99</v>
      </c>
      <c r="V222" s="175"/>
      <c r="W222" s="175">
        <f ca="1">H222*1.05</f>
        <v>16.527</v>
      </c>
      <c r="X222" s="175">
        <f ca="1">W222*0.9</f>
        <v>14.874300000000002</v>
      </c>
      <c r="Y222" s="180">
        <f ca="1">(U222-W222)/U222</f>
        <v>0.2811222270552413</v>
      </c>
      <c r="Z222" s="184" t="e">
        <f ca="1">(V222-W222)/V222</f>
        <v>#DIV/0!</v>
      </c>
      <c r="AB222" s="4"/>
      <c r="AC222" s="4"/>
      <c r="AD222" s="4"/>
      <c r="AE222" s="4"/>
      <c r="AF222" s="4"/>
      <c r="AG222" s="4"/>
      <c r="AH222" s="4"/>
      <c r="AI222" s="4"/>
      <c r="AJ222" s="4"/>
    </row>
    <row r="223" spans="2:36" s="15" customFormat="1">
      <c r="B223" s="37"/>
      <c r="C223" s="34"/>
      <c r="D223" s="33"/>
      <c r="E223" s="33"/>
      <c r="F223" s="37"/>
      <c r="G223" s="36"/>
      <c r="H223" s="36"/>
      <c r="I223" s="36"/>
      <c r="J223" s="36"/>
      <c r="K223" s="118"/>
      <c r="L223" s="14"/>
      <c r="M223" s="42"/>
      <c r="N223" s="31"/>
      <c r="O223" s="31"/>
      <c r="P223" s="31"/>
      <c r="R223" s="174"/>
      <c r="S223" s="174"/>
      <c r="T223" s="4"/>
      <c r="U223" s="175"/>
      <c r="V223" s="175"/>
      <c r="W223" s="175"/>
      <c r="X223" s="175"/>
      <c r="Y223" s="176"/>
      <c r="Z223" s="184"/>
      <c r="AB223" s="4"/>
      <c r="AC223" s="4"/>
      <c r="AD223" s="4"/>
      <c r="AE223" s="4"/>
      <c r="AF223" s="4"/>
      <c r="AG223" s="4"/>
      <c r="AH223" s="4"/>
      <c r="AI223" s="4"/>
      <c r="AJ223" s="4"/>
    </row>
    <row r="224" spans="2:36" s="15" customFormat="1">
      <c r="B224" s="115"/>
      <c r="C224" s="116"/>
      <c r="D224" s="117"/>
      <c r="E224" s="117"/>
      <c r="F224" s="115"/>
      <c r="G224" s="118"/>
      <c r="H224" s="118"/>
      <c r="I224" s="118"/>
      <c r="J224" s="118"/>
      <c r="K224" s="118"/>
      <c r="L224" s="14"/>
      <c r="M224" s="42"/>
      <c r="N224" s="31"/>
      <c r="O224" s="31"/>
      <c r="P224" s="31"/>
      <c r="R224" s="174"/>
      <c r="S224" s="174"/>
      <c r="T224" s="4"/>
      <c r="U224" s="175"/>
      <c r="V224" s="175"/>
      <c r="W224" s="175"/>
      <c r="X224" s="175"/>
      <c r="Y224" s="176"/>
      <c r="Z224" s="184"/>
      <c r="AB224" s="4"/>
      <c r="AC224" s="4"/>
      <c r="AD224" s="4"/>
      <c r="AE224" s="4"/>
      <c r="AF224" s="4"/>
      <c r="AG224" s="4"/>
      <c r="AH224" s="4"/>
      <c r="AI224" s="4"/>
      <c r="AJ224" s="4"/>
    </row>
    <row r="225" spans="2:36" s="15" customFormat="1" ht="24" customHeight="1">
      <c r="B225" s="106"/>
      <c r="C225" s="107" t="s">
        <v>491</v>
      </c>
      <c r="D225" s="119"/>
      <c r="E225" s="119"/>
      <c r="F225" s="119"/>
      <c r="G225" s="119"/>
      <c r="H225" s="119"/>
      <c r="I225" s="120"/>
      <c r="J225" s="120"/>
      <c r="K225" s="211"/>
      <c r="L225" s="14"/>
      <c r="M225" s="42"/>
      <c r="N225" s="31"/>
      <c r="O225" s="31"/>
      <c r="P225" s="31"/>
      <c r="R225" s="174"/>
      <c r="S225" s="174"/>
      <c r="T225" s="4"/>
      <c r="U225" s="175"/>
      <c r="V225" s="175"/>
      <c r="W225" s="175"/>
      <c r="X225" s="175"/>
      <c r="Y225" s="176"/>
      <c r="Z225" s="184"/>
      <c r="AB225" s="4"/>
      <c r="AC225" s="4"/>
      <c r="AD225" s="4"/>
      <c r="AE225" s="4"/>
      <c r="AF225" s="4"/>
      <c r="AG225" s="4"/>
      <c r="AH225" s="4"/>
      <c r="AI225" s="4"/>
      <c r="AJ225" s="4"/>
    </row>
    <row r="226" spans="2:36" s="15" customFormat="1" customHeight="1">
      <c r="B226" s="312" t="s">
        <v>492</v>
      </c>
      <c r="C226" s="310"/>
      <c r="D226" s="109"/>
      <c r="E226" s="109"/>
      <c r="F226" s="109"/>
      <c r="G226" s="110"/>
      <c r="H226" s="110"/>
      <c r="I226" s="23"/>
      <c r="J226" s="23"/>
      <c r="K226" s="212"/>
      <c r="L226" s="14"/>
      <c r="M226" s="42"/>
      <c r="N226" s="31"/>
      <c r="O226" s="31"/>
      <c r="P226" s="31"/>
      <c r="R226" s="174"/>
      <c r="S226" s="174"/>
      <c r="T226" s="4"/>
      <c r="U226" s="175"/>
      <c r="V226" s="175"/>
      <c r="W226" s="175"/>
      <c r="X226" s="175"/>
      <c r="Y226" s="176"/>
      <c r="Z226" s="184"/>
      <c r="AB226" s="4"/>
      <c r="AC226" s="4"/>
      <c r="AD226" s="4"/>
      <c r="AE226" s="4"/>
      <c r="AF226" s="4"/>
      <c r="AG226" s="4"/>
      <c r="AH226" s="4"/>
      <c r="AI226" s="4"/>
      <c r="AJ226" s="4"/>
    </row>
    <row r="227" spans="2:36" s="15" customFormat="1" customHeight="1">
      <c r="B227" s="25">
        <v>4720</v>
      </c>
      <c r="C227" s="26" t="s">
        <v>493</v>
      </c>
      <c r="D227" s="25" t="s">
        <v>494</v>
      </c>
      <c r="E227" s="68">
        <v>4</v>
      </c>
      <c r="F227" s="68">
        <v>48</v>
      </c>
      <c r="G227" s="28">
        <f ca="1">H227*0.9</f>
        <v>64.818</v>
      </c>
      <c r="H227" s="28">
        <v>72.02</v>
      </c>
      <c r="I227" s="28">
        <v>119.99</v>
      </c>
      <c r="J227" s="62">
        <v>72.99</v>
      </c>
      <c r="K227" s="213"/>
      <c r="L227" s="29">
        <f ca="1">(J227/I227)-1</f>
        <v>-0.39169930827568966</v>
      </c>
      <c r="M227" s="30">
        <v>72.99</v>
      </c>
      <c r="N227" s="31">
        <f ca="1">M227*0.78</f>
        <v>56.932199999999995</v>
      </c>
      <c r="O227" s="31">
        <f ca="1">N227/0.7</f>
        <v>81.33171428571428</v>
      </c>
      <c r="P227" s="31">
        <f ca="1">N227*0.9</f>
        <v>51.23898</v>
      </c>
      <c r="R227" s="174"/>
      <c r="S227" s="174"/>
      <c r="T227" s="4"/>
      <c r="U227" s="175">
        <f ca="1">I227</f>
        <v>119.99</v>
      </c>
      <c r="V227" s="175"/>
      <c r="W227" s="175">
        <f ca="1">H227*1.05</f>
        <v>75.621</v>
      </c>
      <c r="X227" s="175">
        <f ca="1">W227*0.9</f>
        <v>68.0589</v>
      </c>
      <c r="Y227" s="176">
        <f ca="1">(U227-W227)/U227</f>
        <v>0.3697724810400867</v>
      </c>
      <c r="Z227" s="184" t="e">
        <f ca="1">(V227-W227)/V227</f>
        <v>#DIV/0!</v>
      </c>
      <c r="AB227" s="4"/>
      <c r="AC227" s="4"/>
      <c r="AD227" s="4"/>
      <c r="AE227" s="4"/>
      <c r="AF227" s="4"/>
      <c r="AG227" s="4"/>
      <c r="AH227" s="4"/>
      <c r="AI227" s="4"/>
      <c r="AJ227" s="4"/>
    </row>
    <row r="228" spans="2:36" s="15" customFormat="1" customHeight="1">
      <c r="B228" s="33">
        <v>4710</v>
      </c>
      <c r="C228" s="34" t="s">
        <v>495</v>
      </c>
      <c r="D228" s="33" t="s">
        <v>496</v>
      </c>
      <c r="E228" s="37">
        <v>4</v>
      </c>
      <c r="F228" s="37">
        <v>48</v>
      </c>
      <c r="G228" s="28">
        <f ca="1">H228*0.9</f>
        <v>53.955000000000005</v>
      </c>
      <c r="H228" s="36">
        <v>59.95</v>
      </c>
      <c r="I228" s="36">
        <v>99.99</v>
      </c>
      <c r="J228" s="41">
        <v>64.99</v>
      </c>
      <c r="K228" s="213"/>
      <c r="L228" s="29">
        <f ca="1">(J228/I228)-1</f>
        <v>-0.3500350035003501</v>
      </c>
      <c r="M228" s="30">
        <v>64.99</v>
      </c>
      <c r="N228" s="31">
        <f ca="1">M228*0.78</f>
        <v>50.6922</v>
      </c>
      <c r="O228" s="31">
        <f ca="1">N228/0.7</f>
        <v>72.41742857142857</v>
      </c>
      <c r="P228" s="31">
        <f ca="1">N228*0.9</f>
        <v>45.62298</v>
      </c>
      <c r="R228" s="174"/>
      <c r="S228" s="174"/>
      <c r="T228" s="4"/>
      <c r="U228" s="175">
        <f ca="1">I228</f>
        <v>99.99</v>
      </c>
      <c r="V228" s="175"/>
      <c r="W228" s="175">
        <f ca="1">H228*1.05</f>
        <v>62.947500000000005</v>
      </c>
      <c r="X228" s="175">
        <f ca="1">W228*0.9</f>
        <v>56.652750000000005</v>
      </c>
      <c r="Y228" s="176">
        <f ca="1">(U228-W228)/U228</f>
        <v>0.37046204620462037</v>
      </c>
      <c r="Z228" s="184" t="e">
        <f ca="1">(V228-W228)/V228</f>
        <v>#DIV/0!</v>
      </c>
      <c r="AB228" s="4"/>
      <c r="AC228" s="4"/>
      <c r="AD228" s="4"/>
      <c r="AE228" s="4"/>
      <c r="AF228" s="4"/>
      <c r="AG228" s="4"/>
      <c r="AH228" s="4"/>
      <c r="AI228" s="4"/>
      <c r="AJ228" s="4"/>
    </row>
    <row r="229" spans="2:36" s="15" customFormat="1" customHeight="1">
      <c r="B229" s="33">
        <v>4702</v>
      </c>
      <c r="C229" s="34" t="s">
        <v>497</v>
      </c>
      <c r="D229" s="33" t="s">
        <v>494</v>
      </c>
      <c r="E229" s="37">
        <v>3</v>
      </c>
      <c r="F229" s="37">
        <v>300</v>
      </c>
      <c r="G229" s="28">
        <f ca="1">H229*0.9</f>
        <v>51.255</v>
      </c>
      <c r="H229" s="36">
        <v>56.95</v>
      </c>
      <c r="I229" s="36">
        <v>94.99</v>
      </c>
      <c r="J229" s="41">
        <v>62.99</v>
      </c>
      <c r="K229" s="213"/>
      <c r="L229" s="29">
        <f ca="1">(J229/I229)-1</f>
        <v>-0.3368775660595852</v>
      </c>
      <c r="M229" s="30">
        <f ca="1">J229</f>
        <v>62.99</v>
      </c>
      <c r="N229" s="31">
        <f ca="1">M229*0.78</f>
        <v>49.132200000000005</v>
      </c>
      <c r="O229" s="31">
        <f ca="1">N229/0.7</f>
        <v>70.18885714285716</v>
      </c>
      <c r="P229" s="31">
        <f ca="1">N229*0.9</f>
        <v>44.21898</v>
      </c>
      <c r="R229" s="174"/>
      <c r="S229" s="174"/>
      <c r="T229" s="4"/>
      <c r="U229" s="175">
        <f ca="1">I229</f>
        <v>94.99</v>
      </c>
      <c r="V229" s="175"/>
      <c r="W229" s="175">
        <f ca="1">H229*1.05</f>
        <v>59.79750000000001</v>
      </c>
      <c r="X229" s="175">
        <f ca="1">W229*0.9</f>
        <v>53.817750000000004</v>
      </c>
      <c r="Y229" s="176">
        <f ca="1">(U229-W229)/U229</f>
        <v>0.3704863669859984</v>
      </c>
      <c r="Z229" s="184" t="e">
        <f ca="1">(V229-W229)/V229</f>
        <v>#DIV/0!</v>
      </c>
      <c r="AB229" s="4"/>
      <c r="AC229" s="4"/>
      <c r="AD229" s="4"/>
      <c r="AE229" s="4"/>
      <c r="AF229" s="4"/>
      <c r="AG229" s="4"/>
      <c r="AH229" s="4"/>
      <c r="AI229" s="4"/>
      <c r="AJ229" s="4"/>
    </row>
    <row r="230" spans="2:36" s="15" customFormat="1" customHeight="1">
      <c r="B230" s="33">
        <v>4701</v>
      </c>
      <c r="C230" s="34" t="s">
        <v>498</v>
      </c>
      <c r="D230" s="33" t="s">
        <v>499</v>
      </c>
      <c r="E230" s="37">
        <v>3</v>
      </c>
      <c r="F230" s="37">
        <v>450</v>
      </c>
      <c r="G230" s="28">
        <f ca="1">H230*0.9</f>
        <v>45.891000000000005</v>
      </c>
      <c r="H230" s="36">
        <v>50.99</v>
      </c>
      <c r="I230" s="36">
        <v>84.99</v>
      </c>
      <c r="J230" s="41">
        <v>65.99</v>
      </c>
      <c r="K230" s="213"/>
      <c r="L230" s="29">
        <f ca="1">(J230/I230)-1</f>
        <v>-0.22355571243675731</v>
      </c>
      <c r="M230" s="30">
        <f ca="1">J230</f>
        <v>65.99</v>
      </c>
      <c r="N230" s="31">
        <f ca="1">M230*0.78</f>
        <v>51.4722</v>
      </c>
      <c r="O230" s="31">
        <f ca="1">N230/0.7</f>
        <v>73.53171428571429</v>
      </c>
      <c r="P230" s="31">
        <f ca="1">N230*0.9</f>
        <v>46.324980000000004</v>
      </c>
      <c r="R230" s="174"/>
      <c r="S230" s="174"/>
      <c r="T230" s="4"/>
      <c r="U230" s="175">
        <f ca="1">I230</f>
        <v>84.99</v>
      </c>
      <c r="V230" s="175"/>
      <c r="W230" s="175">
        <f ca="1">H230*1.05</f>
        <v>53.539500000000004</v>
      </c>
      <c r="X230" s="175">
        <f ca="1">W230*0.9</f>
        <v>48.185550000000006</v>
      </c>
      <c r="Y230" s="176">
        <f ca="1">(U230-W230)/U230</f>
        <v>0.37004941757853854</v>
      </c>
      <c r="Z230" s="184" t="e">
        <f ca="1">(V230-W230)/V230</f>
        <v>#DIV/0!</v>
      </c>
      <c r="AB230" s="4"/>
      <c r="AC230" s="4"/>
      <c r="AD230" s="4"/>
      <c r="AE230" s="4"/>
      <c r="AF230" s="4"/>
      <c r="AG230" s="4"/>
      <c r="AH230" s="4"/>
      <c r="AI230" s="4"/>
      <c r="AJ230" s="4"/>
    </row>
    <row r="231" spans="2:36" s="15" customFormat="1" customHeight="1">
      <c r="B231" s="33">
        <v>4700</v>
      </c>
      <c r="C231" s="34" t="s">
        <v>500</v>
      </c>
      <c r="D231" s="33" t="s">
        <v>501</v>
      </c>
      <c r="E231" s="37">
        <v>6</v>
      </c>
      <c r="F231" s="37">
        <v>516</v>
      </c>
      <c r="G231" s="28">
        <f ca="1">H231*0.9</f>
        <v>32.382</v>
      </c>
      <c r="H231" s="36">
        <v>35.98</v>
      </c>
      <c r="I231" s="36">
        <v>59.99</v>
      </c>
      <c r="J231" s="41">
        <v>33.99</v>
      </c>
      <c r="K231" s="213"/>
      <c r="L231" s="29">
        <f ca="1">(J231/I231)-1</f>
        <v>-0.43340556759459914</v>
      </c>
      <c r="M231" s="30">
        <f ca="1">J231</f>
        <v>33.99</v>
      </c>
      <c r="N231" s="31">
        <f ca="1">M231*0.78</f>
        <v>26.512200000000004</v>
      </c>
      <c r="O231" s="31">
        <f ca="1">N231/0.7</f>
        <v>37.874571428571436</v>
      </c>
      <c r="P231" s="31">
        <f ca="1">N231*0.9</f>
        <v>23.860980000000005</v>
      </c>
      <c r="R231" s="174"/>
      <c r="S231" s="174"/>
      <c r="T231" s="4"/>
      <c r="U231" s="175">
        <f ca="1">I231</f>
        <v>59.99</v>
      </c>
      <c r="V231" s="175"/>
      <c r="W231" s="175">
        <f ca="1">H231*1.05</f>
        <v>37.778999999999996</v>
      </c>
      <c r="X231" s="175">
        <f ca="1">W231*0.9</f>
        <v>34.0011</v>
      </c>
      <c r="Y231" s="176">
        <f ca="1">(U231-W231)/U231</f>
        <v>0.3702450408401401</v>
      </c>
      <c r="Z231" s="184" t="e">
        <f ca="1">(V231-W231)/V231</f>
        <v>#DIV/0!</v>
      </c>
      <c r="AB231" s="4"/>
      <c r="AC231" s="4"/>
      <c r="AD231" s="4"/>
      <c r="AE231" s="4"/>
      <c r="AF231" s="4"/>
      <c r="AG231" s="4"/>
      <c r="AH231" s="4"/>
      <c r="AI231" s="4"/>
      <c r="AJ231" s="4"/>
    </row>
    <row r="232" spans="2:36" s="15" customFormat="1" customHeight="1">
      <c r="B232" s="51" t="s">
        <v>502</v>
      </c>
      <c r="C232" s="34" t="s">
        <v>503</v>
      </c>
      <c r="D232" s="33">
        <v>690892</v>
      </c>
      <c r="E232" s="37">
        <v>1</v>
      </c>
      <c r="F232" s="85" t="s">
        <v>266</v>
      </c>
      <c r="G232" s="28">
        <f ca="1">H232*0.9</f>
        <v>14.427000000000001</v>
      </c>
      <c r="H232" s="36">
        <v>16.03</v>
      </c>
      <c r="I232" s="36">
        <v>49.99</v>
      </c>
      <c r="J232" s="41">
        <v>49.99</v>
      </c>
      <c r="K232" s="213"/>
      <c r="L232" s="14"/>
      <c r="M232" s="42"/>
      <c r="N232" s="31">
        <f ca="1">M232*0.78</f>
        <v>0</v>
      </c>
      <c r="O232" s="31">
        <f ca="1">N232/0.7</f>
        <v>0</v>
      </c>
      <c r="P232" s="31">
        <f ca="1">N232*0.9</f>
        <v>0</v>
      </c>
      <c r="R232" s="174"/>
      <c r="S232" s="174"/>
      <c r="T232" s="4"/>
      <c r="U232" s="175">
        <f ca="1">I232</f>
        <v>49.99</v>
      </c>
      <c r="V232" s="175"/>
      <c r="W232" s="175">
        <f ca="1">H232*1.05</f>
        <v>16.831500000000002</v>
      </c>
      <c r="X232" s="175">
        <f ca="1">W232*0.9</f>
        <v>15.148350000000002</v>
      </c>
      <c r="Y232" s="176">
        <f ca="1">(U232-W232)/U232</f>
        <v>0.6633026605321065</v>
      </c>
      <c r="Z232" s="184" t="e">
        <f ca="1">(V232-W232)/V232</f>
        <v>#DIV/0!</v>
      </c>
      <c r="AB232" s="4"/>
      <c r="AC232" s="4"/>
      <c r="AD232" s="4"/>
      <c r="AE232" s="4"/>
      <c r="AF232" s="4"/>
      <c r="AG232" s="4"/>
      <c r="AH232" s="4"/>
      <c r="AI232" s="4"/>
      <c r="AJ232" s="4"/>
    </row>
    <row r="233" spans="2:36" s="15" customFormat="1" customHeight="1">
      <c r="B233" s="101" t="s">
        <v>504</v>
      </c>
      <c r="C233" s="34" t="s">
        <v>505</v>
      </c>
      <c r="D233" s="33">
        <v>690885</v>
      </c>
      <c r="E233" s="37">
        <v>1</v>
      </c>
      <c r="F233" s="85" t="s">
        <v>266</v>
      </c>
      <c r="G233" s="28">
        <f ca="1">H233*0.9</f>
        <v>2.952</v>
      </c>
      <c r="H233" s="36">
        <v>3.28</v>
      </c>
      <c r="I233" s="36">
        <v>9.99</v>
      </c>
      <c r="J233" s="36">
        <v>9.99</v>
      </c>
      <c r="K233" s="118"/>
      <c r="L233" s="14"/>
      <c r="M233" s="42"/>
      <c r="N233" s="31">
        <f ca="1">M233*0.78</f>
        <v>0</v>
      </c>
      <c r="O233" s="31">
        <f ca="1">N233/0.7</f>
        <v>0</v>
      </c>
      <c r="P233" s="31">
        <f ca="1">N233*0.9</f>
        <v>0</v>
      </c>
      <c r="R233" s="174"/>
      <c r="S233" s="174"/>
      <c r="T233" s="4"/>
      <c r="U233" s="175">
        <f ca="1">I233</f>
        <v>9.99</v>
      </c>
      <c r="V233" s="175"/>
      <c r="W233" s="175">
        <f ca="1">H233*1.05</f>
        <v>3.444</v>
      </c>
      <c r="X233" s="175">
        <f ca="1">W233*0.9</f>
        <v>3.0996</v>
      </c>
      <c r="Y233" s="176">
        <f ca="1">(U233-W233)/U233</f>
        <v>0.6552552552552553</v>
      </c>
      <c r="Z233" s="184" t="e">
        <f ca="1">(V233-W233)/V233</f>
        <v>#DIV/0!</v>
      </c>
      <c r="AB233" s="4"/>
      <c r="AC233" s="4"/>
      <c r="AD233" s="4"/>
      <c r="AE233" s="4"/>
      <c r="AF233" s="4"/>
      <c r="AG233" s="4"/>
      <c r="AH233" s="4"/>
      <c r="AI233" s="4"/>
      <c r="AJ233" s="4"/>
    </row>
    <row r="234" spans="2:36" s="15" customFormat="1" customHeight="1">
      <c r="B234" s="45"/>
      <c r="C234" s="67"/>
      <c r="D234" s="45"/>
      <c r="E234" s="45"/>
      <c r="F234" s="111"/>
      <c r="G234" s="46"/>
      <c r="H234" s="46"/>
      <c r="I234" s="46"/>
      <c r="J234" s="46"/>
      <c r="K234" s="105"/>
      <c r="L234" s="14"/>
      <c r="M234" s="42"/>
      <c r="N234" s="31"/>
      <c r="O234" s="31"/>
      <c r="P234" s="31"/>
      <c r="R234" s="174"/>
      <c r="S234" s="174"/>
      <c r="T234" s="4"/>
      <c r="U234" s="175"/>
      <c r="V234" s="175"/>
      <c r="W234" s="175"/>
      <c r="X234" s="175"/>
      <c r="Y234" s="176"/>
      <c r="Z234" s="184"/>
      <c r="AB234" s="4"/>
      <c r="AC234" s="4"/>
      <c r="AD234" s="4"/>
      <c r="AE234" s="4"/>
      <c r="AF234" s="4"/>
      <c r="AG234" s="4"/>
      <c r="AH234" s="4"/>
      <c r="AI234" s="4"/>
      <c r="AJ234" s="4"/>
    </row>
    <row r="235" spans="2:36" s="15" customFormat="1" customHeight="1">
      <c r="B235" s="20" t="s">
        <v>506</v>
      </c>
      <c r="C235" s="309"/>
      <c r="D235" s="21"/>
      <c r="E235" s="21"/>
      <c r="F235" s="21"/>
      <c r="G235" s="22"/>
      <c r="H235" s="22"/>
      <c r="I235" s="47"/>
      <c r="J235" s="47"/>
      <c r="K235" s="212"/>
      <c r="L235" s="14"/>
      <c r="M235" s="42"/>
      <c r="N235" s="31"/>
      <c r="O235" s="31"/>
      <c r="P235" s="31"/>
      <c r="R235" s="174"/>
      <c r="S235" s="174"/>
      <c r="T235" s="4"/>
      <c r="U235" s="175"/>
      <c r="V235" s="175"/>
      <c r="W235" s="175"/>
      <c r="X235" s="175"/>
      <c r="Y235" s="176"/>
      <c r="Z235" s="184"/>
      <c r="AB235" s="4"/>
      <c r="AC235" s="4"/>
      <c r="AD235" s="4"/>
      <c r="AE235" s="4"/>
      <c r="AF235" s="4"/>
      <c r="AG235" s="4"/>
      <c r="AH235" s="4"/>
      <c r="AI235" s="4"/>
      <c r="AJ235" s="4"/>
    </row>
    <row r="236" spans="2:36" s="15" customFormat="1" customHeight="1">
      <c r="B236" s="121" t="s">
        <v>507</v>
      </c>
      <c r="C236" s="122" t="s">
        <v>508</v>
      </c>
      <c r="D236" s="25">
        <v>410135</v>
      </c>
      <c r="E236" s="68">
        <v>10</v>
      </c>
      <c r="F236" s="68">
        <v>240</v>
      </c>
      <c r="G236" s="28">
        <f ca="1">H236*0.9</f>
        <v>38.601</v>
      </c>
      <c r="H236" s="28">
        <v>42.89</v>
      </c>
      <c r="I236" s="28">
        <v>64.99</v>
      </c>
      <c r="J236" s="28">
        <v>64.99</v>
      </c>
      <c r="K236" s="118"/>
      <c r="L236" s="14"/>
      <c r="M236" s="42"/>
      <c r="N236" s="31">
        <f ca="1">M236*0.78</f>
        <v>0</v>
      </c>
      <c r="O236" s="31">
        <f ca="1">N236/0.7</f>
        <v>0</v>
      </c>
      <c r="P236" s="31">
        <f ca="1">N236*0.9</f>
        <v>0</v>
      </c>
      <c r="R236" s="174"/>
      <c r="S236" s="174"/>
      <c r="T236" s="4"/>
      <c r="U236" s="175">
        <f ca="1">I236</f>
        <v>64.99</v>
      </c>
      <c r="V236" s="175"/>
      <c r="W236" s="175">
        <f ca="1">H236*1.05</f>
        <v>45.0345</v>
      </c>
      <c r="X236" s="175">
        <f ca="1">W236*0.9</f>
        <v>40.53105</v>
      </c>
      <c r="Y236" s="176">
        <f ca="1">(U236-W236)/U236</f>
        <v>0.3070549315279273</v>
      </c>
      <c r="Z236" s="184" t="e">
        <f ca="1">(V236-W236)/V236</f>
        <v>#DIV/0!</v>
      </c>
      <c r="AB236" s="4"/>
      <c r="AC236" s="4"/>
      <c r="AD236" s="4"/>
      <c r="AE236" s="4"/>
      <c r="AF236" s="4"/>
      <c r="AG236" s="4"/>
      <c r="AH236" s="4"/>
      <c r="AI236" s="4"/>
      <c r="AJ236" s="4"/>
    </row>
    <row r="237" spans="2:36" s="15" customFormat="1" customHeight="1">
      <c r="B237" s="123" t="s">
        <v>509</v>
      </c>
      <c r="C237" s="124" t="s">
        <v>510</v>
      </c>
      <c r="D237" s="33">
        <v>410128</v>
      </c>
      <c r="E237" s="37">
        <v>10</v>
      </c>
      <c r="F237" s="37">
        <v>360</v>
      </c>
      <c r="G237" s="28">
        <f ca="1">H237*0.9</f>
        <v>28.206</v>
      </c>
      <c r="H237" s="36">
        <v>31.34</v>
      </c>
      <c r="I237" s="36">
        <v>49.99</v>
      </c>
      <c r="J237" s="36">
        <v>49.99</v>
      </c>
      <c r="K237" s="118"/>
      <c r="L237" s="14"/>
      <c r="M237" s="42"/>
      <c r="N237" s="31">
        <f ca="1">M237*0.78</f>
        <v>0</v>
      </c>
      <c r="O237" s="31">
        <f ca="1">N237/0.7</f>
        <v>0</v>
      </c>
      <c r="P237" s="31">
        <f ca="1">N237*0.9</f>
        <v>0</v>
      </c>
      <c r="R237" s="174"/>
      <c r="S237" s="174"/>
      <c r="T237" s="4"/>
      <c r="U237" s="175">
        <f ca="1">I237</f>
        <v>49.99</v>
      </c>
      <c r="V237" s="175"/>
      <c r="W237" s="175">
        <f ca="1">H237*1.05</f>
        <v>32.907000000000004</v>
      </c>
      <c r="X237" s="175">
        <f ca="1">W237*0.9</f>
        <v>29.616300000000003</v>
      </c>
      <c r="Y237" s="176">
        <f ca="1">(U237-W237)/U237</f>
        <v>0.3417283456691338</v>
      </c>
      <c r="Z237" s="184" t="e">
        <f ca="1">(V237-W237)/V237</f>
        <v>#DIV/0!</v>
      </c>
      <c r="AB237" s="4"/>
      <c r="AC237" s="4"/>
      <c r="AD237" s="4"/>
      <c r="AE237" s="4"/>
      <c r="AF237" s="4"/>
      <c r="AG237" s="4"/>
      <c r="AH237" s="4"/>
      <c r="AI237" s="4"/>
      <c r="AJ237" s="4"/>
    </row>
    <row r="238" spans="2:36" s="15" customFormat="1" customHeight="1">
      <c r="B238" s="123" t="s">
        <v>511</v>
      </c>
      <c r="C238" s="124" t="s">
        <v>512</v>
      </c>
      <c r="D238" s="33">
        <v>410111</v>
      </c>
      <c r="E238" s="37">
        <v>10</v>
      </c>
      <c r="F238" s="37">
        <v>400</v>
      </c>
      <c r="G238" s="28">
        <f ca="1">H238*0.9</f>
        <v>19.791</v>
      </c>
      <c r="H238" s="36">
        <v>21.99</v>
      </c>
      <c r="I238" s="36">
        <v>39.99</v>
      </c>
      <c r="J238" s="36">
        <v>39.99</v>
      </c>
      <c r="K238" s="118"/>
      <c r="L238" s="14"/>
      <c r="M238" s="42"/>
      <c r="N238" s="31">
        <f ca="1">M238*0.78</f>
        <v>0</v>
      </c>
      <c r="O238" s="31">
        <f ca="1">N238/0.7</f>
        <v>0</v>
      </c>
      <c r="P238" s="31">
        <f ca="1">N238*0.9</f>
        <v>0</v>
      </c>
      <c r="R238" s="174"/>
      <c r="S238" s="174"/>
      <c r="T238" s="4"/>
      <c r="U238" s="175">
        <f ca="1">I238</f>
        <v>39.99</v>
      </c>
      <c r="V238" s="175"/>
      <c r="W238" s="175">
        <f ca="1">H238*1.05</f>
        <v>23.0895</v>
      </c>
      <c r="X238" s="175">
        <f ca="1">W238*0.9</f>
        <v>20.78055</v>
      </c>
      <c r="Y238" s="176">
        <f ca="1">(U238-W238)/U238</f>
        <v>0.42261815453863466</v>
      </c>
      <c r="Z238" s="184" t="e">
        <f ca="1">(V238-W238)/V238</f>
        <v>#DIV/0!</v>
      </c>
      <c r="AB238" s="4"/>
      <c r="AC238" s="4"/>
      <c r="AD238" s="4"/>
      <c r="AE238" s="4"/>
      <c r="AF238" s="4"/>
      <c r="AG238" s="4"/>
      <c r="AH238" s="4"/>
      <c r="AI238" s="4"/>
      <c r="AJ238" s="4"/>
    </row>
    <row r="239" spans="2:36" s="15" customFormat="1" customHeight="1">
      <c r="B239" s="33" t="s">
        <v>513</v>
      </c>
      <c r="C239" s="124" t="s">
        <v>514</v>
      </c>
      <c r="D239" s="123" t="s">
        <v>515</v>
      </c>
      <c r="E239" s="33">
        <v>10</v>
      </c>
      <c r="F239" s="33">
        <v>480</v>
      </c>
      <c r="G239" s="28">
        <f ca="1">H239*0.9</f>
        <v>6.7410000000000005</v>
      </c>
      <c r="H239" s="125">
        <v>7.49</v>
      </c>
      <c r="I239" s="36">
        <v>14.99</v>
      </c>
      <c r="J239" s="36">
        <v>14.99</v>
      </c>
      <c r="K239" s="118"/>
      <c r="L239" s="14"/>
      <c r="M239" s="42"/>
      <c r="N239" s="31">
        <f ca="1">M239*0.78</f>
        <v>0</v>
      </c>
      <c r="O239" s="31">
        <f ca="1">N239/0.7</f>
        <v>0</v>
      </c>
      <c r="P239" s="31">
        <f ca="1">N239*0.9</f>
        <v>0</v>
      </c>
      <c r="R239" s="174"/>
      <c r="S239" s="174"/>
      <c r="T239" s="4"/>
      <c r="U239" s="175">
        <f ca="1">I239</f>
        <v>14.99</v>
      </c>
      <c r="V239" s="175"/>
      <c r="W239" s="175">
        <f ca="1">H239*1.05</f>
        <v>7.8645000000000005</v>
      </c>
      <c r="X239" s="175">
        <f ca="1">W239*0.9</f>
        <v>7.07805</v>
      </c>
      <c r="Y239" s="176">
        <f ca="1">(U239-W239)/U239</f>
        <v>0.47535023348899264</v>
      </c>
      <c r="Z239" s="184" t="e">
        <f ca="1">(V239-W239)/V239</f>
        <v>#DIV/0!</v>
      </c>
      <c r="AB239" s="4"/>
      <c r="AC239" s="4"/>
      <c r="AD239" s="4"/>
      <c r="AE239" s="4"/>
      <c r="AF239" s="4"/>
      <c r="AG239" s="4"/>
      <c r="AH239" s="4"/>
      <c r="AI239" s="4"/>
      <c r="AJ239" s="4"/>
    </row>
    <row r="240" spans="2:36" s="15" customFormat="1" customHeight="1">
      <c r="B240" s="126"/>
      <c r="C240" s="127"/>
      <c r="D240" s="52"/>
      <c r="E240" s="63"/>
      <c r="F240" s="63"/>
      <c r="G240" s="128"/>
      <c r="H240" s="54"/>
      <c r="I240" s="54"/>
      <c r="J240" s="54"/>
      <c r="K240" s="118"/>
      <c r="L240" s="14"/>
      <c r="M240" s="42"/>
      <c r="N240" s="31"/>
      <c r="O240" s="31"/>
      <c r="P240" s="31"/>
      <c r="R240" s="174"/>
      <c r="S240" s="174"/>
      <c r="T240" s="4"/>
      <c r="U240" s="175"/>
      <c r="V240" s="175"/>
      <c r="W240" s="175"/>
      <c r="X240" s="175"/>
      <c r="Y240" s="176"/>
      <c r="Z240" s="184"/>
      <c r="AB240" s="4"/>
      <c r="AC240" s="4"/>
      <c r="AD240" s="4"/>
      <c r="AE240" s="4"/>
      <c r="AF240" s="4"/>
      <c r="AG240" s="4"/>
      <c r="AH240" s="4"/>
      <c r="AI240" s="4"/>
      <c r="AJ240" s="4"/>
    </row>
    <row r="241" spans="2:36" s="15" customFormat="1" customHeight="1">
      <c r="B241" s="20" t="s">
        <v>516</v>
      </c>
      <c r="C241" s="309"/>
      <c r="D241" s="21"/>
      <c r="E241" s="21"/>
      <c r="F241" s="21"/>
      <c r="G241" s="22"/>
      <c r="H241" s="22"/>
      <c r="I241" s="47"/>
      <c r="J241" s="47"/>
      <c r="K241" s="212"/>
      <c r="L241" s="14"/>
      <c r="M241" s="42"/>
      <c r="N241" s="31"/>
      <c r="O241" s="31"/>
      <c r="P241" s="31"/>
      <c r="R241" s="174"/>
      <c r="S241" s="174"/>
      <c r="T241" s="4"/>
      <c r="U241" s="175"/>
      <c r="V241" s="175"/>
      <c r="W241" s="175"/>
      <c r="X241" s="175"/>
      <c r="Y241" s="176"/>
      <c r="Z241" s="184"/>
      <c r="AB241" s="4"/>
      <c r="AC241" s="4"/>
      <c r="AD241" s="4"/>
      <c r="AE241" s="4"/>
      <c r="AF241" s="4"/>
      <c r="AG241" s="4"/>
      <c r="AH241" s="4"/>
      <c r="AI241" s="4"/>
      <c r="AJ241" s="4"/>
    </row>
    <row r="242" spans="2:36" s="15" customFormat="1" customHeight="1">
      <c r="B242" s="121" t="s">
        <v>517</v>
      </c>
      <c r="C242" s="122" t="s">
        <v>518</v>
      </c>
      <c r="D242" s="25" t="s">
        <v>519</v>
      </c>
      <c r="E242" s="68">
        <v>8</v>
      </c>
      <c r="F242" s="68">
        <v>640</v>
      </c>
      <c r="G242" s="28">
        <f ca="1">H242*0.9</f>
        <v>9.891</v>
      </c>
      <c r="H242" s="28">
        <v>10.99</v>
      </c>
      <c r="I242" s="28">
        <v>19.99</v>
      </c>
      <c r="J242" s="28">
        <v>19.99</v>
      </c>
      <c r="K242" s="118"/>
      <c r="L242" s="14"/>
      <c r="M242" s="42"/>
      <c r="N242" s="31">
        <f ca="1">M242*0.78</f>
        <v>0</v>
      </c>
      <c r="O242" s="31">
        <f ca="1">N242/0.7</f>
        <v>0</v>
      </c>
      <c r="P242" s="31">
        <f ca="1">N242*0.9</f>
        <v>0</v>
      </c>
      <c r="R242" s="174"/>
      <c r="S242" s="174"/>
      <c r="T242" s="4"/>
      <c r="U242" s="175">
        <f ca="1">I242</f>
        <v>19.99</v>
      </c>
      <c r="V242" s="175"/>
      <c r="W242" s="175">
        <f ca="1">H242*1.05</f>
        <v>11.5395</v>
      </c>
      <c r="X242" s="175">
        <f ca="1">W242*0.9</f>
        <v>10.38555</v>
      </c>
      <c r="Y242" s="176">
        <f ca="1">(U242-W242)/U242</f>
        <v>0.422736368184092</v>
      </c>
      <c r="Z242" s="184" t="e">
        <f ca="1">(V242-W242)/V242</f>
        <v>#DIV/0!</v>
      </c>
      <c r="AB242" s="4"/>
      <c r="AC242" s="4"/>
      <c r="AD242" s="4"/>
      <c r="AE242" s="4"/>
      <c r="AF242" s="4"/>
      <c r="AG242" s="4"/>
      <c r="AH242" s="4"/>
      <c r="AI242" s="4"/>
      <c r="AJ242" s="4"/>
    </row>
    <row r="243" spans="2:36" s="15" customFormat="1" customHeight="1">
      <c r="B243" s="123" t="s">
        <v>520</v>
      </c>
      <c r="C243" s="124" t="s">
        <v>521</v>
      </c>
      <c r="D243" s="33" t="s">
        <v>522</v>
      </c>
      <c r="E243" s="37">
        <v>8</v>
      </c>
      <c r="F243" s="37">
        <v>384</v>
      </c>
      <c r="G243" s="28">
        <f ca="1">H243*0.9</f>
        <v>9.891</v>
      </c>
      <c r="H243" s="36">
        <v>10.99</v>
      </c>
      <c r="I243" s="36">
        <v>24.99</v>
      </c>
      <c r="J243" s="36">
        <v>24.99</v>
      </c>
      <c r="K243" s="118"/>
      <c r="L243" s="14"/>
      <c r="M243" s="42"/>
      <c r="N243" s="31">
        <f ca="1">M243*0.78</f>
        <v>0</v>
      </c>
      <c r="O243" s="31">
        <f ca="1">N243/0.7</f>
        <v>0</v>
      </c>
      <c r="P243" s="31">
        <f ca="1">N243*0.9</f>
        <v>0</v>
      </c>
      <c r="R243" s="174"/>
      <c r="S243" s="174"/>
      <c r="T243" s="4"/>
      <c r="U243" s="175">
        <f ca="1">I243</f>
        <v>24.99</v>
      </c>
      <c r="V243" s="175"/>
      <c r="W243" s="175">
        <f ca="1">H243*1.05</f>
        <v>11.5395</v>
      </c>
      <c r="X243" s="175">
        <f ca="1">W243*0.9</f>
        <v>10.38555</v>
      </c>
      <c r="Y243" s="176">
        <f ca="1">(U243-W243)/U243</f>
        <v>0.538235294117647</v>
      </c>
      <c r="Z243" s="184" t="e">
        <f ca="1">(V243-W243)/V243</f>
        <v>#DIV/0!</v>
      </c>
      <c r="AB243" s="4"/>
      <c r="AC243" s="4"/>
      <c r="AD243" s="4"/>
      <c r="AE243" s="4"/>
      <c r="AF243" s="4"/>
      <c r="AG243" s="4"/>
      <c r="AH243" s="4"/>
      <c r="AI243" s="4"/>
      <c r="AJ243" s="4"/>
    </row>
    <row r="244" spans="2:36" s="15" customFormat="1" customHeight="1">
      <c r="B244" s="123" t="s">
        <v>523</v>
      </c>
      <c r="C244" s="124" t="s">
        <v>524</v>
      </c>
      <c r="D244" s="33" t="s">
        <v>525</v>
      </c>
      <c r="E244" s="37">
        <v>8</v>
      </c>
      <c r="F244" s="37">
        <v>384</v>
      </c>
      <c r="G244" s="28">
        <f ca="1">H244*0.9</f>
        <v>10.791</v>
      </c>
      <c r="H244" s="36">
        <v>11.99</v>
      </c>
      <c r="I244" s="36">
        <v>29.99</v>
      </c>
      <c r="J244" s="36">
        <v>29.99</v>
      </c>
      <c r="K244" s="118"/>
      <c r="L244" s="14"/>
      <c r="M244" s="42"/>
      <c r="N244" s="31">
        <f ca="1">M244*0.78</f>
        <v>0</v>
      </c>
      <c r="O244" s="31">
        <f ca="1">N244/0.7</f>
        <v>0</v>
      </c>
      <c r="P244" s="31">
        <f ca="1">N244*0.9</f>
        <v>0</v>
      </c>
      <c r="R244" s="174"/>
      <c r="S244" s="174"/>
      <c r="T244" s="4"/>
      <c r="U244" s="175">
        <f ca="1">I244</f>
        <v>29.99</v>
      </c>
      <c r="V244" s="175"/>
      <c r="W244" s="175">
        <f ca="1">H244*1.05</f>
        <v>12.589500000000001</v>
      </c>
      <c r="X244" s="175">
        <f ca="1">W244*0.9</f>
        <v>11.33055</v>
      </c>
      <c r="Y244" s="176">
        <f ca="1">(U244-W244)/U244</f>
        <v>0.580210070023341</v>
      </c>
      <c r="Z244" s="184" t="e">
        <f ca="1">(V244-W244)/V244</f>
        <v>#DIV/0!</v>
      </c>
      <c r="AB244" s="4"/>
      <c r="AC244" s="4"/>
      <c r="AD244" s="4"/>
      <c r="AE244" s="4"/>
      <c r="AF244" s="4"/>
      <c r="AG244" s="4"/>
      <c r="AH244" s="4"/>
      <c r="AI244" s="4"/>
      <c r="AJ244" s="4"/>
    </row>
    <row r="245" spans="2:36" s="15" customFormat="1" customHeight="1">
      <c r="B245" s="123">
        <v>4692</v>
      </c>
      <c r="C245" s="124" t="s">
        <v>526</v>
      </c>
      <c r="D245" s="33" t="s">
        <v>527</v>
      </c>
      <c r="E245" s="37">
        <v>8</v>
      </c>
      <c r="F245" s="37">
        <v>480</v>
      </c>
      <c r="G245" s="28">
        <f ca="1">H245*0.9</f>
        <v>5.04</v>
      </c>
      <c r="H245" s="36">
        <v>5.6</v>
      </c>
      <c r="I245" s="36">
        <v>10.99</v>
      </c>
      <c r="J245" s="36">
        <v>10.99</v>
      </c>
      <c r="K245" s="118"/>
      <c r="L245" s="14"/>
      <c r="M245" s="42"/>
      <c r="N245" s="31">
        <f ca="1">M245*0.78</f>
        <v>0</v>
      </c>
      <c r="O245" s="31">
        <f ca="1">N245/0.7</f>
        <v>0</v>
      </c>
      <c r="P245" s="31">
        <f ca="1">N245*0.9</f>
        <v>0</v>
      </c>
      <c r="R245" s="174"/>
      <c r="S245" s="174"/>
      <c r="T245" s="4"/>
      <c r="U245" s="175">
        <f ca="1">I245</f>
        <v>10.99</v>
      </c>
      <c r="V245" s="175"/>
      <c r="W245" s="175">
        <f ca="1">H245*1.05</f>
        <v>5.88</v>
      </c>
      <c r="X245" s="175">
        <f ca="1">W245*0.9</f>
        <v>5.292</v>
      </c>
      <c r="Y245" s="176">
        <f ca="1">(U245-W245)/U245</f>
        <v>0.46496815286624205</v>
      </c>
      <c r="Z245" s="184" t="e">
        <f ca="1">(V245-W245)/V245</f>
        <v>#DIV/0!</v>
      </c>
      <c r="AB245" s="4"/>
      <c r="AC245" s="4"/>
      <c r="AD245" s="4"/>
      <c r="AE245" s="4"/>
      <c r="AF245" s="4"/>
      <c r="AG245" s="4"/>
      <c r="AH245" s="4"/>
      <c r="AI245" s="4"/>
      <c r="AJ245" s="4"/>
    </row>
    <row r="246" spans="2:36" s="15" customFormat="1" customHeight="1">
      <c r="B246" s="123">
        <v>4694</v>
      </c>
      <c r="C246" s="124" t="s">
        <v>528</v>
      </c>
      <c r="D246" s="33" t="s">
        <v>529</v>
      </c>
      <c r="E246" s="37">
        <v>8</v>
      </c>
      <c r="F246" s="37">
        <v>480</v>
      </c>
      <c r="G246" s="28">
        <f ca="1">H246*0.9</f>
        <v>9.216000000000001</v>
      </c>
      <c r="H246" s="36">
        <v>10.24</v>
      </c>
      <c r="I246" s="36">
        <v>24.99</v>
      </c>
      <c r="J246" s="36">
        <v>24.99</v>
      </c>
      <c r="K246" s="118"/>
      <c r="L246" s="14"/>
      <c r="M246" s="42"/>
      <c r="N246" s="31">
        <f ca="1">M246*0.78</f>
        <v>0</v>
      </c>
      <c r="O246" s="31">
        <f ca="1">N246/0.7</f>
        <v>0</v>
      </c>
      <c r="P246" s="31">
        <f ca="1">N246*0.9</f>
        <v>0</v>
      </c>
      <c r="R246" s="174"/>
      <c r="S246" s="174"/>
      <c r="T246" s="4"/>
      <c r="U246" s="175">
        <f ca="1">I246</f>
        <v>24.99</v>
      </c>
      <c r="V246" s="175"/>
      <c r="W246" s="175">
        <f ca="1">H246*1.05</f>
        <v>10.752</v>
      </c>
      <c r="X246" s="175">
        <f ca="1">W246*0.9</f>
        <v>9.6768</v>
      </c>
      <c r="Y246" s="176">
        <f ca="1">(U246-W246)/U246</f>
        <v>0.5697478991596638</v>
      </c>
      <c r="Z246" s="184" t="e">
        <f ca="1">(V246-W246)/V246</f>
        <v>#DIV/0!</v>
      </c>
      <c r="AB246" s="4"/>
      <c r="AC246" s="4"/>
      <c r="AD246" s="4"/>
      <c r="AE246" s="4"/>
      <c r="AF246" s="4"/>
      <c r="AG246" s="4"/>
      <c r="AH246" s="4"/>
      <c r="AI246" s="4"/>
      <c r="AJ246" s="4"/>
    </row>
    <row r="247" spans="2:36" s="15" customFormat="1" customHeight="1">
      <c r="B247" s="123">
        <v>4696</v>
      </c>
      <c r="C247" s="124" t="s">
        <v>530</v>
      </c>
      <c r="D247" s="33" t="s">
        <v>531</v>
      </c>
      <c r="E247" s="37">
        <v>8</v>
      </c>
      <c r="F247" s="37">
        <v>480</v>
      </c>
      <c r="G247" s="28">
        <f ca="1">H247*0.9</f>
        <v>9.522</v>
      </c>
      <c r="H247" s="36">
        <v>10.58</v>
      </c>
      <c r="I247" s="36">
        <v>23.99</v>
      </c>
      <c r="J247" s="36">
        <v>23.99</v>
      </c>
      <c r="K247" s="118"/>
      <c r="L247" s="14"/>
      <c r="M247" s="42"/>
      <c r="N247" s="31">
        <f ca="1">M247*0.78</f>
        <v>0</v>
      </c>
      <c r="O247" s="31">
        <f ca="1">N247/0.7</f>
        <v>0</v>
      </c>
      <c r="P247" s="31">
        <f ca="1">N247*0.9</f>
        <v>0</v>
      </c>
      <c r="R247" s="174"/>
      <c r="S247" s="174"/>
      <c r="T247" s="4"/>
      <c r="U247" s="175">
        <f ca="1">I247</f>
        <v>23.99</v>
      </c>
      <c r="V247" s="175"/>
      <c r="W247" s="175">
        <f ca="1">H247*1.05</f>
        <v>11.109</v>
      </c>
      <c r="X247" s="175">
        <f ca="1">W247*0.9</f>
        <v>9.9981</v>
      </c>
      <c r="Y247" s="176">
        <f ca="1">(U247-W247)/U247</f>
        <v>0.5369320550229262</v>
      </c>
      <c r="Z247" s="184" t="e">
        <f ca="1">(V247-W247)/V247</f>
        <v>#DIV/0!</v>
      </c>
      <c r="AB247" s="4"/>
      <c r="AC247" s="4"/>
      <c r="AD247" s="4"/>
      <c r="AE247" s="4"/>
      <c r="AF247" s="4"/>
      <c r="AG247" s="4"/>
      <c r="AH247" s="4"/>
      <c r="AI247" s="4"/>
      <c r="AJ247" s="4"/>
    </row>
    <row r="248" spans="2:36" s="15" customFormat="1" customHeight="1">
      <c r="B248" s="123">
        <v>4698</v>
      </c>
      <c r="C248" s="124" t="s">
        <v>532</v>
      </c>
      <c r="D248" s="33" t="s">
        <v>533</v>
      </c>
      <c r="E248" s="37">
        <v>8</v>
      </c>
      <c r="F248" s="37">
        <v>480</v>
      </c>
      <c r="G248" s="28">
        <f ca="1">H248*0.9</f>
        <v>9.522</v>
      </c>
      <c r="H248" s="36">
        <v>10.58</v>
      </c>
      <c r="I248" s="36">
        <v>21.99</v>
      </c>
      <c r="J248" s="36">
        <v>21.99</v>
      </c>
      <c r="K248" s="118"/>
      <c r="L248" s="14"/>
      <c r="M248" s="42"/>
      <c r="N248" s="31">
        <f ca="1">M248*0.78</f>
        <v>0</v>
      </c>
      <c r="O248" s="31">
        <f ca="1">N248/0.7</f>
        <v>0</v>
      </c>
      <c r="P248" s="31">
        <f ca="1">N248*0.9</f>
        <v>0</v>
      </c>
      <c r="R248" s="174"/>
      <c r="S248" s="174"/>
      <c r="T248" s="4"/>
      <c r="U248" s="175">
        <f ca="1">I248</f>
        <v>21.99</v>
      </c>
      <c r="V248" s="175"/>
      <c r="W248" s="175">
        <f ca="1">H248*1.05</f>
        <v>11.109</v>
      </c>
      <c r="X248" s="175">
        <f ca="1">W248*0.9</f>
        <v>9.9981</v>
      </c>
      <c r="Y248" s="176">
        <f ca="1">(U248-W248)/U248</f>
        <v>0.4948158253751705</v>
      </c>
      <c r="Z248" s="184" t="e">
        <f ca="1">(V248-W248)/V248</f>
        <v>#DIV/0!</v>
      </c>
      <c r="AB248" s="4"/>
      <c r="AC248" s="4"/>
      <c r="AD248" s="4"/>
      <c r="AE248" s="4"/>
      <c r="AF248" s="4"/>
      <c r="AG248" s="4"/>
      <c r="AH248" s="4"/>
      <c r="AI248" s="4"/>
      <c r="AJ248" s="4"/>
    </row>
    <row r="249" spans="2:36" s="15" customFormat="1" customHeight="1">
      <c r="B249" s="33" t="s">
        <v>534</v>
      </c>
      <c r="C249" s="124" t="s">
        <v>535</v>
      </c>
      <c r="D249" s="33" t="s">
        <v>536</v>
      </c>
      <c r="E249" s="33" t="s">
        <v>537</v>
      </c>
      <c r="F249" s="37">
        <v>2160</v>
      </c>
      <c r="G249" s="28">
        <f ca="1">H249*0.9</f>
        <v>1.746</v>
      </c>
      <c r="H249" s="36">
        <v>1.94</v>
      </c>
      <c r="I249" s="36">
        <v>3.99</v>
      </c>
      <c r="J249" s="36">
        <v>3.99</v>
      </c>
      <c r="K249" s="118"/>
      <c r="L249" s="14"/>
      <c r="M249" s="42"/>
      <c r="N249" s="31">
        <f ca="1">M249*0.78</f>
        <v>0</v>
      </c>
      <c r="O249" s="31">
        <f ca="1">N249/0.7</f>
        <v>0</v>
      </c>
      <c r="P249" s="31">
        <f ca="1">N249*0.9</f>
        <v>0</v>
      </c>
      <c r="R249" s="174"/>
      <c r="S249" s="174"/>
      <c r="T249" s="4"/>
      <c r="U249" s="175">
        <f ca="1">I249</f>
        <v>3.99</v>
      </c>
      <c r="V249" s="175"/>
      <c r="W249" s="175">
        <f ca="1">H249*1.05</f>
        <v>2.037</v>
      </c>
      <c r="X249" s="175">
        <f ca="1">W249*0.9</f>
        <v>1.8333</v>
      </c>
      <c r="Y249" s="176">
        <f ca="1">(U249-W249)/U249</f>
        <v>0.48947368421052634</v>
      </c>
      <c r="Z249" s="184" t="e">
        <f ca="1">(V249-W249)/V249</f>
        <v>#DIV/0!</v>
      </c>
      <c r="AB249" s="4"/>
      <c r="AC249" s="4"/>
      <c r="AD249" s="4"/>
      <c r="AE249" s="4"/>
      <c r="AF249" s="4"/>
      <c r="AG249" s="4"/>
      <c r="AH249" s="4"/>
      <c r="AI249" s="4"/>
      <c r="AJ249" s="4"/>
    </row>
    <row r="250" spans="2:36" s="15" customFormat="1" customHeight="1">
      <c r="B250" s="33" t="s">
        <v>538</v>
      </c>
      <c r="C250" s="124" t="s">
        <v>539</v>
      </c>
      <c r="D250" s="33" t="s">
        <v>540</v>
      </c>
      <c r="E250" s="33">
        <v>8</v>
      </c>
      <c r="F250" s="35">
        <v>480</v>
      </c>
      <c r="G250" s="28">
        <f ca="1">H250*0.9</f>
        <v>3.861</v>
      </c>
      <c r="H250" s="36">
        <v>4.29</v>
      </c>
      <c r="I250" s="36">
        <v>8.99</v>
      </c>
      <c r="J250" s="36">
        <v>8.99</v>
      </c>
      <c r="K250" s="118"/>
      <c r="L250" s="14"/>
      <c r="M250" s="42"/>
      <c r="N250" s="31">
        <f ca="1">M250*0.78</f>
        <v>0</v>
      </c>
      <c r="O250" s="31">
        <f ca="1">N250/0.7</f>
        <v>0</v>
      </c>
      <c r="P250" s="31">
        <f ca="1">N250*0.9</f>
        <v>0</v>
      </c>
      <c r="R250" s="174"/>
      <c r="S250" s="174"/>
      <c r="T250" s="4"/>
      <c r="U250" s="175">
        <f ca="1">I250</f>
        <v>8.99</v>
      </c>
      <c r="V250" s="175"/>
      <c r="W250" s="175">
        <f ca="1">H250*1.05</f>
        <v>4.5045</v>
      </c>
      <c r="X250" s="175">
        <f ca="1">W250*0.9</f>
        <v>4.05405</v>
      </c>
      <c r="Y250" s="176">
        <f ca="1">(U250-W250)/U250</f>
        <v>0.4989432703003337</v>
      </c>
      <c r="Z250" s="184" t="e">
        <f ca="1">(V250-W250)/V250</f>
        <v>#DIV/0!</v>
      </c>
      <c r="AB250" s="4"/>
      <c r="AC250" s="4"/>
      <c r="AD250" s="4"/>
      <c r="AE250" s="4"/>
      <c r="AF250" s="4"/>
      <c r="AG250" s="4"/>
      <c r="AH250" s="4"/>
      <c r="AI250" s="4"/>
      <c r="AJ250" s="4"/>
    </row>
    <row r="251" spans="2:36" s="15" customFormat="1" customHeight="1">
      <c r="B251" s="33">
        <v>46836</v>
      </c>
      <c r="C251" s="124" t="s">
        <v>541</v>
      </c>
      <c r="D251" s="123" t="s">
        <v>542</v>
      </c>
      <c r="E251" s="33">
        <v>10</v>
      </c>
      <c r="F251" s="85" t="s">
        <v>266</v>
      </c>
      <c r="G251" s="28">
        <f ca="1">H251*0.9</f>
        <v>5.8500000000000005</v>
      </c>
      <c r="H251" s="36">
        <v>6.5</v>
      </c>
      <c r="I251" s="36">
        <v>12.99</v>
      </c>
      <c r="J251" s="36">
        <v>12.99</v>
      </c>
      <c r="K251" s="118"/>
      <c r="L251" s="14"/>
      <c r="M251" s="42"/>
      <c r="N251" s="31">
        <f ca="1">M251*0.78</f>
        <v>0</v>
      </c>
      <c r="O251" s="31">
        <f ca="1">N251/0.7</f>
        <v>0</v>
      </c>
      <c r="P251" s="31">
        <f ca="1">N251*0.9</f>
        <v>0</v>
      </c>
      <c r="R251" s="174"/>
      <c r="S251" s="174"/>
      <c r="T251" s="4"/>
      <c r="U251" s="175">
        <f ca="1">I251</f>
        <v>12.99</v>
      </c>
      <c r="V251" s="175"/>
      <c r="W251" s="175">
        <f ca="1">H251*1.05</f>
        <v>6.825</v>
      </c>
      <c r="X251" s="175">
        <f ca="1">W251*0.9</f>
        <v>6.1425</v>
      </c>
      <c r="Y251" s="176">
        <f ca="1">(U251-W251)/U251</f>
        <v>0.47459584295612006</v>
      </c>
      <c r="Z251" s="184" t="e">
        <f ca="1">(V251-W251)/V251</f>
        <v>#DIV/0!</v>
      </c>
      <c r="AB251" s="4"/>
      <c r="AC251" s="4"/>
      <c r="AD251" s="4"/>
      <c r="AE251" s="4"/>
      <c r="AF251" s="4"/>
      <c r="AG251" s="4"/>
      <c r="AH251" s="4"/>
      <c r="AI251" s="4"/>
      <c r="AJ251" s="4"/>
    </row>
    <row r="252" spans="2:36" s="15" customFormat="1" customHeight="1">
      <c r="B252" s="129" t="s">
        <v>543</v>
      </c>
      <c r="C252" s="130" t="s">
        <v>544</v>
      </c>
      <c r="D252" s="131" t="s">
        <v>545</v>
      </c>
      <c r="E252" s="132">
        <v>12</v>
      </c>
      <c r="F252" s="85" t="s">
        <v>266</v>
      </c>
      <c r="G252" s="28">
        <f ca="1">H252*0.9</f>
        <v>3.375</v>
      </c>
      <c r="H252" s="133">
        <v>3.75</v>
      </c>
      <c r="I252" s="133">
        <v>7.49</v>
      </c>
      <c r="J252" s="133">
        <v>7.49</v>
      </c>
      <c r="K252" s="218"/>
      <c r="L252" s="14"/>
      <c r="M252" s="42"/>
      <c r="N252" s="31">
        <f ca="1">M252*0.78</f>
        <v>0</v>
      </c>
      <c r="O252" s="31">
        <f ca="1">N252/0.7</f>
        <v>0</v>
      </c>
      <c r="P252" s="31">
        <f ca="1">N252*0.9</f>
        <v>0</v>
      </c>
      <c r="R252" s="174"/>
      <c r="S252" s="174"/>
      <c r="T252" s="4"/>
      <c r="U252" s="175">
        <f ca="1">I252</f>
        <v>7.49</v>
      </c>
      <c r="V252" s="175"/>
      <c r="W252" s="175">
        <f ca="1">H252*1.05</f>
        <v>3.9375</v>
      </c>
      <c r="X252" s="175">
        <f ca="1">W252*0.9</f>
        <v>3.54375</v>
      </c>
      <c r="Y252" s="176">
        <f ca="1">(U252-W252)/U252</f>
        <v>0.4742990654205608</v>
      </c>
      <c r="Z252" s="184" t="e">
        <f ca="1">(V252-W252)/V252</f>
        <v>#DIV/0!</v>
      </c>
      <c r="AB252" s="4"/>
      <c r="AC252" s="4"/>
      <c r="AD252" s="4"/>
      <c r="AE252" s="4"/>
      <c r="AF252" s="4"/>
      <c r="AG252" s="4"/>
      <c r="AH252" s="4"/>
      <c r="AI252" s="4"/>
      <c r="AJ252" s="4"/>
    </row>
    <row r="253" spans="2:36" s="15" customFormat="1" customHeight="1">
      <c r="B253" s="129" t="s">
        <v>546</v>
      </c>
      <c r="C253" s="130" t="s">
        <v>547</v>
      </c>
      <c r="D253" s="131" t="s">
        <v>548</v>
      </c>
      <c r="E253" s="132">
        <v>12</v>
      </c>
      <c r="F253" s="85" t="s">
        <v>266</v>
      </c>
      <c r="G253" s="28">
        <f ca="1">H253*0.9</f>
        <v>3.375</v>
      </c>
      <c r="H253" s="133">
        <v>3.75</v>
      </c>
      <c r="I253" s="133">
        <v>7.49</v>
      </c>
      <c r="J253" s="133">
        <v>7.49</v>
      </c>
      <c r="K253" s="218"/>
      <c r="L253" s="14"/>
      <c r="M253" s="42"/>
      <c r="N253" s="31">
        <f ca="1">M253*0.78</f>
        <v>0</v>
      </c>
      <c r="O253" s="31">
        <f ca="1">N253/0.7</f>
        <v>0</v>
      </c>
      <c r="P253" s="31">
        <f ca="1">N253*0.9</f>
        <v>0</v>
      </c>
      <c r="R253" s="174"/>
      <c r="S253" s="174"/>
      <c r="T253" s="4"/>
      <c r="U253" s="175">
        <f ca="1">I253</f>
        <v>7.49</v>
      </c>
      <c r="V253" s="175"/>
      <c r="W253" s="175">
        <f ca="1">H253*1.05</f>
        <v>3.9375</v>
      </c>
      <c r="X253" s="175">
        <f ca="1">W253*0.9</f>
        <v>3.54375</v>
      </c>
      <c r="Y253" s="176">
        <f ca="1">(U253-W253)/U253</f>
        <v>0.4742990654205608</v>
      </c>
      <c r="Z253" s="184" t="e">
        <f ca="1">(V253-W253)/V253</f>
        <v>#DIV/0!</v>
      </c>
      <c r="AB253" s="4"/>
      <c r="AC253" s="4"/>
      <c r="AD253" s="4"/>
      <c r="AE253" s="4"/>
      <c r="AF253" s="4"/>
      <c r="AG253" s="4"/>
      <c r="AH253" s="4"/>
      <c r="AI253" s="4"/>
      <c r="AJ253" s="4"/>
    </row>
    <row r="254" spans="2:36" s="15" customFormat="1" customHeight="1">
      <c r="B254" s="129" t="s">
        <v>549</v>
      </c>
      <c r="C254" s="130" t="s">
        <v>550</v>
      </c>
      <c r="D254" s="131" t="s">
        <v>551</v>
      </c>
      <c r="E254" s="132">
        <v>12</v>
      </c>
      <c r="F254" s="85" t="s">
        <v>266</v>
      </c>
      <c r="G254" s="28">
        <f ca="1">H254*0.9</f>
        <v>6.3</v>
      </c>
      <c r="H254" s="133">
        <v>7</v>
      </c>
      <c r="I254" s="133">
        <v>13.99</v>
      </c>
      <c r="J254" s="133">
        <v>13.99</v>
      </c>
      <c r="K254" s="218"/>
      <c r="L254" s="14"/>
      <c r="M254" s="42"/>
      <c r="N254" s="31">
        <f ca="1">M254*0.78</f>
        <v>0</v>
      </c>
      <c r="O254" s="31">
        <f ca="1">N254/0.7</f>
        <v>0</v>
      </c>
      <c r="P254" s="31">
        <f ca="1">N254*0.9</f>
        <v>0</v>
      </c>
      <c r="R254" s="174"/>
      <c r="S254" s="174"/>
      <c r="T254" s="4"/>
      <c r="U254" s="175">
        <f ca="1">I254</f>
        <v>13.99</v>
      </c>
      <c r="V254" s="175"/>
      <c r="W254" s="175">
        <f ca="1">H254*1.05</f>
        <v>7.3500000000000005</v>
      </c>
      <c r="X254" s="175">
        <f ca="1">W254*0.9</f>
        <v>6.615</v>
      </c>
      <c r="Y254" s="176">
        <f ca="1">(U254-W254)/U254</f>
        <v>0.4746247319513938</v>
      </c>
      <c r="Z254" s="184" t="e">
        <f ca="1">(V254-W254)/V254</f>
        <v>#DIV/0!</v>
      </c>
      <c r="AB254" s="4"/>
      <c r="AC254" s="4"/>
      <c r="AD254" s="4"/>
      <c r="AE254" s="4"/>
      <c r="AF254" s="4"/>
      <c r="AG254" s="4"/>
      <c r="AH254" s="4"/>
      <c r="AI254" s="4"/>
      <c r="AJ254" s="4"/>
    </row>
    <row r="255" spans="2:36" s="15" customFormat="1" customHeight="1">
      <c r="B255" s="129" t="s">
        <v>552</v>
      </c>
      <c r="C255" s="130" t="s">
        <v>553</v>
      </c>
      <c r="D255" s="131" t="s">
        <v>554</v>
      </c>
      <c r="E255" s="132">
        <v>12</v>
      </c>
      <c r="F255" s="85" t="s">
        <v>266</v>
      </c>
      <c r="G255" s="28">
        <f ca="1">H255*0.9</f>
        <v>7.2</v>
      </c>
      <c r="H255" s="133">
        <v>8</v>
      </c>
      <c r="I255" s="133">
        <v>15.99</v>
      </c>
      <c r="J255" s="133">
        <v>15.99</v>
      </c>
      <c r="K255" s="218"/>
      <c r="L255" s="14"/>
      <c r="M255" s="42"/>
      <c r="N255" s="31">
        <f ca="1">M255*0.78</f>
        <v>0</v>
      </c>
      <c r="O255" s="31">
        <f ca="1">N255/0.7</f>
        <v>0</v>
      </c>
      <c r="P255" s="31">
        <f ca="1">N255*0.9</f>
        <v>0</v>
      </c>
      <c r="R255" s="174"/>
      <c r="S255" s="174"/>
      <c r="T255" s="4"/>
      <c r="U255" s="175">
        <f ca="1">I255</f>
        <v>15.99</v>
      </c>
      <c r="V255" s="175"/>
      <c r="W255" s="175">
        <f ca="1">H255*1.05</f>
        <v>8.4</v>
      </c>
      <c r="X255" s="175">
        <f ca="1">W255*0.9</f>
        <v>7.5600000000000005</v>
      </c>
      <c r="Y255" s="176">
        <f ca="1">(U255-W255)/U255</f>
        <v>0.474671669793621</v>
      </c>
      <c r="Z255" s="184" t="e">
        <f ca="1">(V255-W255)/V255</f>
        <v>#DIV/0!</v>
      </c>
      <c r="AB255" s="4"/>
      <c r="AC255" s="4"/>
      <c r="AD255" s="4"/>
      <c r="AE255" s="4"/>
      <c r="AF255" s="4"/>
      <c r="AG255" s="4"/>
      <c r="AH255" s="4"/>
      <c r="AI255" s="4"/>
      <c r="AJ255" s="4"/>
    </row>
    <row r="256" spans="2:36" s="15" customFormat="1" customHeight="1">
      <c r="B256" s="129" t="s">
        <v>555</v>
      </c>
      <c r="C256" s="130" t="s">
        <v>556</v>
      </c>
      <c r="D256" s="131" t="s">
        <v>557</v>
      </c>
      <c r="E256" s="132">
        <v>12</v>
      </c>
      <c r="F256" s="85" t="s">
        <v>266</v>
      </c>
      <c r="G256" s="28">
        <f ca="1">H256*0.9</f>
        <v>5.8500000000000005</v>
      </c>
      <c r="H256" s="133">
        <v>6.5</v>
      </c>
      <c r="I256" s="133">
        <v>12.99</v>
      </c>
      <c r="J256" s="133">
        <v>12.99</v>
      </c>
      <c r="K256" s="218"/>
      <c r="L256" s="14"/>
      <c r="M256" s="42"/>
      <c r="N256" s="31">
        <f ca="1">M256*0.78</f>
        <v>0</v>
      </c>
      <c r="O256" s="31">
        <f ca="1">N256/0.7</f>
        <v>0</v>
      </c>
      <c r="P256" s="31">
        <f ca="1">N256*0.9</f>
        <v>0</v>
      </c>
      <c r="R256" s="174"/>
      <c r="S256" s="174"/>
      <c r="T256" s="4"/>
      <c r="U256" s="175">
        <f ca="1">I256</f>
        <v>12.99</v>
      </c>
      <c r="V256" s="175"/>
      <c r="W256" s="175">
        <f ca="1">H256*1.05</f>
        <v>6.825</v>
      </c>
      <c r="X256" s="175">
        <f ca="1">W256*0.9</f>
        <v>6.1425</v>
      </c>
      <c r="Y256" s="176">
        <f ca="1">(U256-W256)/U256</f>
        <v>0.47459584295612006</v>
      </c>
      <c r="Z256" s="184" t="e">
        <f ca="1">(V256-W256)/V256</f>
        <v>#DIV/0!</v>
      </c>
      <c r="AB256" s="4"/>
      <c r="AC256" s="4"/>
      <c r="AD256" s="4"/>
      <c r="AE256" s="4"/>
      <c r="AF256" s="4"/>
      <c r="AG256" s="4"/>
      <c r="AH256" s="4"/>
      <c r="AI256" s="4"/>
      <c r="AJ256" s="4"/>
    </row>
    <row r="257" spans="2:36" s="15" customFormat="1" customHeight="1">
      <c r="B257" s="129" t="s">
        <v>558</v>
      </c>
      <c r="C257" s="130" t="s">
        <v>559</v>
      </c>
      <c r="D257" s="134" t="s">
        <v>560</v>
      </c>
      <c r="E257" s="132">
        <v>12</v>
      </c>
      <c r="F257" s="85" t="s">
        <v>266</v>
      </c>
      <c r="G257" s="28">
        <f ca="1">H257*0.9</f>
        <v>9.450000000000001</v>
      </c>
      <c r="H257" s="133">
        <v>10.5</v>
      </c>
      <c r="I257" s="133">
        <v>20.99</v>
      </c>
      <c r="J257" s="133">
        <v>20.99</v>
      </c>
      <c r="K257" s="218"/>
      <c r="L257" s="14"/>
      <c r="M257" s="42"/>
      <c r="N257" s="31">
        <f ca="1">M257*0.78</f>
        <v>0</v>
      </c>
      <c r="O257" s="31">
        <f ca="1">N257/0.7</f>
        <v>0</v>
      </c>
      <c r="P257" s="31">
        <f ca="1">N257*0.9</f>
        <v>0</v>
      </c>
      <c r="R257" s="174"/>
      <c r="S257" s="174"/>
      <c r="T257" s="4"/>
      <c r="U257" s="175">
        <f ca="1">I257</f>
        <v>20.99</v>
      </c>
      <c r="V257" s="175"/>
      <c r="W257" s="175">
        <f ca="1">H257*1.05</f>
        <v>11.025</v>
      </c>
      <c r="X257" s="175">
        <f ca="1">W257*0.9</f>
        <v>9.922500000000001</v>
      </c>
      <c r="Y257" s="176">
        <f ca="1">(U257-W257)/U257</f>
        <v>0.47474988089566456</v>
      </c>
      <c r="Z257" s="184" t="e">
        <f ca="1">(V257-W257)/V257</f>
        <v>#DIV/0!</v>
      </c>
      <c r="AB257" s="4"/>
      <c r="AC257" s="4"/>
      <c r="AD257" s="4"/>
      <c r="AE257" s="4"/>
      <c r="AF257" s="4"/>
      <c r="AG257" s="4"/>
      <c r="AH257" s="4"/>
      <c r="AI257" s="4"/>
      <c r="AJ257" s="4"/>
    </row>
    <row r="258" spans="2:36" s="15" customFormat="1" customHeight="1">
      <c r="B258" s="129" t="s">
        <v>561</v>
      </c>
      <c r="C258" s="130" t="s">
        <v>562</v>
      </c>
      <c r="D258" s="134" t="s">
        <v>563</v>
      </c>
      <c r="E258" s="132">
        <v>12</v>
      </c>
      <c r="F258" s="85" t="s">
        <v>266</v>
      </c>
      <c r="G258" s="28">
        <f ca="1">H258*0.9</f>
        <v>8.55</v>
      </c>
      <c r="H258" s="133">
        <v>9.5</v>
      </c>
      <c r="I258" s="133">
        <v>18.99</v>
      </c>
      <c r="J258" s="133">
        <v>18.99</v>
      </c>
      <c r="K258" s="218"/>
      <c r="L258" s="14"/>
      <c r="M258" s="42"/>
      <c r="N258" s="31">
        <f ca="1">M258*0.78</f>
        <v>0</v>
      </c>
      <c r="O258" s="31">
        <f ca="1">N258/0.7</f>
        <v>0</v>
      </c>
      <c r="P258" s="31">
        <f ca="1">N258*0.9</f>
        <v>0</v>
      </c>
      <c r="R258" s="174"/>
      <c r="S258" s="174"/>
      <c r="T258" s="4"/>
      <c r="U258" s="175">
        <f ca="1">I258</f>
        <v>18.99</v>
      </c>
      <c r="V258" s="175"/>
      <c r="W258" s="175">
        <f ca="1">H258*1.05</f>
        <v>9.975</v>
      </c>
      <c r="X258" s="175">
        <f ca="1">W258*0.9</f>
        <v>8.9775</v>
      </c>
      <c r="Y258" s="176">
        <f ca="1">(U258-W258)/U258</f>
        <v>0.47472353870458134</v>
      </c>
      <c r="Z258" s="184" t="e">
        <f ca="1">(V258-W258)/V258</f>
        <v>#DIV/0!</v>
      </c>
      <c r="AB258" s="4"/>
      <c r="AC258" s="4"/>
      <c r="AD258" s="4"/>
      <c r="AE258" s="4"/>
      <c r="AF258" s="4"/>
      <c r="AG258" s="4"/>
      <c r="AH258" s="4"/>
      <c r="AI258" s="4"/>
      <c r="AJ258" s="4"/>
    </row>
    <row r="259" spans="2:36" s="15" customFormat="1" customHeight="1">
      <c r="B259" s="129">
        <v>46852</v>
      </c>
      <c r="C259" s="135" t="s">
        <v>564</v>
      </c>
      <c r="D259" s="136" t="s">
        <v>565</v>
      </c>
      <c r="E259" s="132">
        <v>12</v>
      </c>
      <c r="F259" s="85" t="s">
        <v>266</v>
      </c>
      <c r="G259" s="28">
        <f ca="1">H259*0.9</f>
        <v>2.9250000000000003</v>
      </c>
      <c r="H259" s="133">
        <v>3.25</v>
      </c>
      <c r="I259" s="133">
        <v>6.49</v>
      </c>
      <c r="J259" s="133">
        <v>6.49</v>
      </c>
      <c r="K259" s="218"/>
      <c r="L259" s="14"/>
      <c r="M259" s="42"/>
      <c r="N259" s="31">
        <f ca="1">M259*0.78</f>
        <v>0</v>
      </c>
      <c r="O259" s="31">
        <f ca="1">N259/0.7</f>
        <v>0</v>
      </c>
      <c r="P259" s="31">
        <f ca="1">N259*0.9</f>
        <v>0</v>
      </c>
      <c r="R259" s="174"/>
      <c r="S259" s="174"/>
      <c r="T259" s="4"/>
      <c r="U259" s="175">
        <f ca="1">I259</f>
        <v>6.49</v>
      </c>
      <c r="V259" s="175"/>
      <c r="W259" s="175">
        <f ca="1">H259*1.05</f>
        <v>3.4125</v>
      </c>
      <c r="X259" s="175">
        <f ca="1">W259*0.9</f>
        <v>3.07125</v>
      </c>
      <c r="Y259" s="176">
        <f ca="1">(U259-W259)/U259</f>
        <v>0.474191063174114</v>
      </c>
      <c r="Z259" s="184" t="e">
        <f ca="1">(V259-W259)/V259</f>
        <v>#DIV/0!</v>
      </c>
      <c r="AB259" s="4"/>
      <c r="AC259" s="4"/>
      <c r="AD259" s="4"/>
      <c r="AE259" s="4"/>
      <c r="AF259" s="4"/>
      <c r="AG259" s="4"/>
      <c r="AH259" s="4"/>
      <c r="AI259" s="4"/>
      <c r="AJ259" s="4"/>
    </row>
    <row r="260" spans="2:36" s="15" customFormat="1" customHeight="1">
      <c r="B260" s="129">
        <v>46854</v>
      </c>
      <c r="C260" s="135" t="s">
        <v>566</v>
      </c>
      <c r="D260" s="137" t="s">
        <v>567</v>
      </c>
      <c r="E260" s="132">
        <v>12</v>
      </c>
      <c r="F260" s="85" t="s">
        <v>266</v>
      </c>
      <c r="G260" s="28">
        <f ca="1">H260*0.9</f>
        <v>2.9250000000000003</v>
      </c>
      <c r="H260" s="133">
        <v>3.25</v>
      </c>
      <c r="I260" s="133">
        <v>6.49</v>
      </c>
      <c r="J260" s="133">
        <v>6.49</v>
      </c>
      <c r="K260" s="218"/>
      <c r="L260" s="14"/>
      <c r="M260" s="42"/>
      <c r="N260" s="31">
        <f ca="1">M260*0.78</f>
        <v>0</v>
      </c>
      <c r="O260" s="31">
        <f ca="1">N260/0.7</f>
        <v>0</v>
      </c>
      <c r="P260" s="31">
        <f ca="1">N260*0.9</f>
        <v>0</v>
      </c>
      <c r="R260" s="174"/>
      <c r="S260" s="174"/>
      <c r="T260" s="4"/>
      <c r="U260" s="175">
        <f ca="1">I260</f>
        <v>6.49</v>
      </c>
      <c r="V260" s="175"/>
      <c r="W260" s="175">
        <f ca="1">H260*1.05</f>
        <v>3.4125</v>
      </c>
      <c r="X260" s="175">
        <f ca="1">W260*0.9</f>
        <v>3.07125</v>
      </c>
      <c r="Y260" s="176">
        <f ca="1">(U260-W260)/U260</f>
        <v>0.474191063174114</v>
      </c>
      <c r="Z260" s="184" t="e">
        <f ca="1">(V260-W260)/V260</f>
        <v>#DIV/0!</v>
      </c>
      <c r="AB260" s="4"/>
      <c r="AC260" s="4"/>
      <c r="AD260" s="4"/>
      <c r="AE260" s="4"/>
      <c r="AF260" s="4"/>
      <c r="AG260" s="4"/>
      <c r="AH260" s="4"/>
      <c r="AI260" s="4"/>
      <c r="AJ260" s="4"/>
    </row>
    <row r="261" spans="2:36" s="15" customFormat="1" customHeight="1">
      <c r="B261" s="129">
        <v>46856</v>
      </c>
      <c r="C261" s="135" t="s">
        <v>568</v>
      </c>
      <c r="D261" s="136" t="s">
        <v>569</v>
      </c>
      <c r="E261" s="132">
        <v>6</v>
      </c>
      <c r="F261" s="85" t="s">
        <v>266</v>
      </c>
      <c r="G261" s="28">
        <f ca="1">H261*0.9</f>
        <v>6.3</v>
      </c>
      <c r="H261" s="133">
        <v>7</v>
      </c>
      <c r="I261" s="133">
        <v>13.99</v>
      </c>
      <c r="J261" s="133">
        <v>13.99</v>
      </c>
      <c r="K261" s="218"/>
      <c r="L261" s="14"/>
      <c r="M261" s="42"/>
      <c r="N261" s="31">
        <f ca="1">M261*0.78</f>
        <v>0</v>
      </c>
      <c r="O261" s="31">
        <f ca="1">N261/0.7</f>
        <v>0</v>
      </c>
      <c r="P261" s="31">
        <f ca="1">N261*0.9</f>
        <v>0</v>
      </c>
      <c r="R261" s="174"/>
      <c r="S261" s="174"/>
      <c r="T261" s="4"/>
      <c r="U261" s="175">
        <f ca="1">I261</f>
        <v>13.99</v>
      </c>
      <c r="V261" s="175"/>
      <c r="W261" s="175">
        <f ca="1">H261*1.05</f>
        <v>7.3500000000000005</v>
      </c>
      <c r="X261" s="175">
        <f ca="1">W261*0.9</f>
        <v>6.615</v>
      </c>
      <c r="Y261" s="176">
        <f ca="1">(U261-W261)/U261</f>
        <v>0.4746247319513938</v>
      </c>
      <c r="Z261" s="184" t="e">
        <f ca="1">(V261-W261)/V261</f>
        <v>#DIV/0!</v>
      </c>
      <c r="AB261" s="4"/>
      <c r="AC261" s="4"/>
      <c r="AD261" s="4"/>
      <c r="AE261" s="4"/>
      <c r="AF261" s="4"/>
      <c r="AG261" s="4"/>
      <c r="AH261" s="4"/>
      <c r="AI261" s="4"/>
      <c r="AJ261" s="4"/>
    </row>
    <row r="262" spans="2:36" s="15" customFormat="1" customHeight="1">
      <c r="B262" s="45"/>
      <c r="C262" s="67"/>
      <c r="D262" s="138"/>
      <c r="E262" s="45"/>
      <c r="F262" s="139"/>
      <c r="G262" s="46"/>
      <c r="H262" s="46"/>
      <c r="I262" s="46"/>
      <c r="J262" s="46"/>
      <c r="K262" s="105"/>
      <c r="L262" s="14"/>
      <c r="M262" s="42"/>
      <c r="N262" s="31"/>
      <c r="O262" s="31"/>
      <c r="P262" s="31"/>
      <c r="R262" s="174"/>
      <c r="S262" s="174"/>
      <c r="T262" s="4"/>
      <c r="U262" s="175"/>
      <c r="V262" s="175"/>
      <c r="W262" s="175"/>
      <c r="X262" s="175"/>
      <c r="Y262" s="176"/>
      <c r="Z262" s="184"/>
      <c r="AB262" s="4"/>
      <c r="AC262" s="4"/>
      <c r="AD262" s="4"/>
      <c r="AE262" s="4"/>
      <c r="AF262" s="4"/>
      <c r="AG262" s="4"/>
      <c r="AH262" s="4"/>
      <c r="AI262" s="4"/>
      <c r="AJ262" s="4"/>
    </row>
    <row r="263" spans="2:36" s="15" customFormat="1" customHeight="1">
      <c r="B263" s="20" t="s">
        <v>570</v>
      </c>
      <c r="C263" s="309"/>
      <c r="D263" s="140"/>
      <c r="E263" s="21"/>
      <c r="F263" s="141"/>
      <c r="G263" s="22"/>
      <c r="H263" s="22"/>
      <c r="I263" s="47"/>
      <c r="J263" s="47"/>
      <c r="K263" s="212"/>
      <c r="L263" s="14"/>
      <c r="M263" s="42"/>
      <c r="N263" s="31"/>
      <c r="O263" s="31"/>
      <c r="P263" s="31"/>
      <c r="R263" s="174"/>
      <c r="S263" s="174"/>
      <c r="T263" s="4"/>
      <c r="U263" s="175"/>
      <c r="V263" s="175"/>
      <c r="W263" s="175"/>
      <c r="X263" s="175"/>
      <c r="Y263" s="176"/>
      <c r="Z263" s="184"/>
      <c r="AB263" s="4"/>
      <c r="AC263" s="4"/>
      <c r="AD263" s="4"/>
      <c r="AE263" s="4"/>
      <c r="AF263" s="4"/>
      <c r="AG263" s="4"/>
      <c r="AH263" s="4"/>
      <c r="AI263" s="4"/>
      <c r="AJ263" s="4"/>
    </row>
    <row r="264" spans="2:36" s="15" customFormat="1" customHeight="1">
      <c r="B264" s="121" t="s">
        <v>571</v>
      </c>
      <c r="C264" s="122" t="s">
        <v>572</v>
      </c>
      <c r="D264" s="121" t="s">
        <v>573</v>
      </c>
      <c r="E264" s="68">
        <v>6</v>
      </c>
      <c r="F264" s="27">
        <v>300</v>
      </c>
      <c r="G264" s="28">
        <f ca="1">H264*0.9</f>
        <v>10.161</v>
      </c>
      <c r="H264" s="28">
        <v>11.29</v>
      </c>
      <c r="I264" s="28">
        <v>24.99</v>
      </c>
      <c r="J264" s="28">
        <v>24.99</v>
      </c>
      <c r="K264" s="118"/>
      <c r="L264" s="14"/>
      <c r="M264" s="42"/>
      <c r="N264" s="31">
        <f ca="1">M264*0.78</f>
        <v>0</v>
      </c>
      <c r="O264" s="31">
        <f ca="1">N264/0.7</f>
        <v>0</v>
      </c>
      <c r="P264" s="31">
        <f ca="1">N264*0.9</f>
        <v>0</v>
      </c>
      <c r="R264" s="174"/>
      <c r="S264" s="174"/>
      <c r="T264" s="4"/>
      <c r="U264" s="175">
        <f ca="1">I264</f>
        <v>24.99</v>
      </c>
      <c r="V264" s="175"/>
      <c r="W264" s="175">
        <f ca="1">H264*1.05</f>
        <v>11.8545</v>
      </c>
      <c r="X264" s="175">
        <f ca="1">W264*0.9</f>
        <v>10.66905</v>
      </c>
      <c r="Y264" s="176">
        <f ca="1">(U264-W264)/U264</f>
        <v>0.5256302521008404</v>
      </c>
      <c r="Z264" s="184" t="e">
        <f ca="1">(V264-W264)/V264</f>
        <v>#DIV/0!</v>
      </c>
      <c r="AB264" s="4"/>
      <c r="AC264" s="4"/>
      <c r="AD264" s="4"/>
      <c r="AE264" s="4"/>
      <c r="AF264" s="4"/>
      <c r="AG264" s="4"/>
      <c r="AH264" s="4"/>
      <c r="AI264" s="4"/>
      <c r="AJ264" s="4"/>
    </row>
    <row r="265" spans="2:36" s="15" customFormat="1" customHeight="1">
      <c r="B265" s="123" t="s">
        <v>574</v>
      </c>
      <c r="C265" s="124" t="s">
        <v>575</v>
      </c>
      <c r="D265" s="123" t="s">
        <v>576</v>
      </c>
      <c r="E265" s="37">
        <v>6</v>
      </c>
      <c r="F265" s="35">
        <v>288</v>
      </c>
      <c r="G265" s="28">
        <f ca="1">H265*0.9</f>
        <v>11.241</v>
      </c>
      <c r="H265" s="36">
        <v>12.49</v>
      </c>
      <c r="I265" s="36">
        <v>29.99</v>
      </c>
      <c r="J265" s="36">
        <v>29.99</v>
      </c>
      <c r="K265" s="118"/>
      <c r="L265" s="14"/>
      <c r="M265" s="42"/>
      <c r="N265" s="31">
        <f ca="1">M265*0.78</f>
        <v>0</v>
      </c>
      <c r="O265" s="31">
        <f ca="1">N265/0.7</f>
        <v>0</v>
      </c>
      <c r="P265" s="31">
        <f ca="1">N265*0.9</f>
        <v>0</v>
      </c>
      <c r="R265" s="174"/>
      <c r="S265" s="174"/>
      <c r="T265" s="4"/>
      <c r="U265" s="175">
        <f ca="1">I265</f>
        <v>29.99</v>
      </c>
      <c r="V265" s="175"/>
      <c r="W265" s="175">
        <f ca="1">H265*1.05</f>
        <v>13.114500000000001</v>
      </c>
      <c r="X265" s="175">
        <f ca="1">W265*0.9</f>
        <v>11.80305</v>
      </c>
      <c r="Y265" s="176">
        <f ca="1">(U265-W265)/U265</f>
        <v>0.5627042347449148</v>
      </c>
      <c r="Z265" s="184" t="e">
        <f ca="1">(V265-W265)/V265</f>
        <v>#DIV/0!</v>
      </c>
      <c r="AB265" s="4"/>
      <c r="AC265" s="4"/>
      <c r="AD265" s="4"/>
      <c r="AE265" s="4"/>
      <c r="AF265" s="4"/>
      <c r="AG265" s="4"/>
      <c r="AH265" s="4"/>
      <c r="AI265" s="4"/>
      <c r="AJ265" s="4"/>
    </row>
    <row r="266" spans="2:36" s="15" customFormat="1" customHeight="1">
      <c r="B266" s="123" t="s">
        <v>577</v>
      </c>
      <c r="C266" s="124" t="s">
        <v>578</v>
      </c>
      <c r="D266" s="123" t="s">
        <v>576</v>
      </c>
      <c r="E266" s="37">
        <v>6</v>
      </c>
      <c r="F266" s="35">
        <v>180</v>
      </c>
      <c r="G266" s="28">
        <f ca="1">H266*0.9</f>
        <v>16.191</v>
      </c>
      <c r="H266" s="36">
        <v>17.99</v>
      </c>
      <c r="I266" s="36">
        <v>29.99</v>
      </c>
      <c r="J266" s="36">
        <v>29.99</v>
      </c>
      <c r="K266" s="118"/>
      <c r="L266" s="14"/>
      <c r="M266" s="42"/>
      <c r="N266" s="31">
        <f ca="1">M266*0.78</f>
        <v>0</v>
      </c>
      <c r="O266" s="31">
        <f ca="1">N266/0.7</f>
        <v>0</v>
      </c>
      <c r="P266" s="31">
        <f ca="1">N266*0.9</f>
        <v>0</v>
      </c>
      <c r="R266" s="174"/>
      <c r="S266" s="174"/>
      <c r="T266" s="4"/>
      <c r="U266" s="175">
        <f ca="1">I266</f>
        <v>29.99</v>
      </c>
      <c r="V266" s="175"/>
      <c r="W266" s="175">
        <f ca="1">H266*1.05</f>
        <v>18.889499999999998</v>
      </c>
      <c r="X266" s="175">
        <f ca="1">W266*0.9</f>
        <v>17.00055</v>
      </c>
      <c r="Y266" s="176">
        <f ca="1">(U266-W266)/U266</f>
        <v>0.37014004668222744</v>
      </c>
      <c r="Z266" s="184" t="e">
        <f ca="1">(V266-W266)/V266</f>
        <v>#DIV/0!</v>
      </c>
      <c r="AB266" s="4"/>
      <c r="AC266" s="4"/>
      <c r="AD266" s="4"/>
      <c r="AE266" s="4"/>
      <c r="AF266" s="4"/>
      <c r="AG266" s="4"/>
      <c r="AH266" s="4"/>
      <c r="AI266" s="4"/>
      <c r="AJ266" s="4"/>
    </row>
    <row r="267" spans="2:36" s="15" customFormat="1" customHeight="1">
      <c r="B267" s="129" t="s">
        <v>579</v>
      </c>
      <c r="C267" s="130" t="s">
        <v>580</v>
      </c>
      <c r="D267" s="134" t="s">
        <v>581</v>
      </c>
      <c r="E267" s="132">
        <v>12</v>
      </c>
      <c r="F267" s="85" t="s">
        <v>266</v>
      </c>
      <c r="G267" s="28">
        <f ca="1">H267*0.9</f>
        <v>6.3</v>
      </c>
      <c r="H267" s="133">
        <v>7</v>
      </c>
      <c r="I267" s="133">
        <v>13.99</v>
      </c>
      <c r="J267" s="133">
        <v>13.99</v>
      </c>
      <c r="K267" s="218"/>
      <c r="L267" s="14"/>
      <c r="M267" s="42"/>
      <c r="N267" s="31">
        <f ca="1">M267*0.78</f>
        <v>0</v>
      </c>
      <c r="O267" s="31">
        <f ca="1">N267/0.7</f>
        <v>0</v>
      </c>
      <c r="P267" s="31">
        <f ca="1">N267*0.9</f>
        <v>0</v>
      </c>
      <c r="R267" s="174"/>
      <c r="S267" s="174"/>
      <c r="T267" s="4"/>
      <c r="U267" s="175">
        <f ca="1">I267</f>
        <v>13.99</v>
      </c>
      <c r="V267" s="175"/>
      <c r="W267" s="175">
        <f ca="1">H267*1.05</f>
        <v>7.3500000000000005</v>
      </c>
      <c r="X267" s="175">
        <f ca="1">W267*0.9</f>
        <v>6.615</v>
      </c>
      <c r="Y267" s="176">
        <f ca="1">(U267-W267)/U267</f>
        <v>0.4746247319513938</v>
      </c>
      <c r="Z267" s="184" t="e">
        <f ca="1">(V267-W267)/V267</f>
        <v>#DIV/0!</v>
      </c>
      <c r="AB267" s="4"/>
      <c r="AC267" s="4"/>
      <c r="AD267" s="4"/>
      <c r="AE267" s="4"/>
      <c r="AF267" s="4"/>
      <c r="AG267" s="4"/>
      <c r="AH267" s="4"/>
      <c r="AI267" s="4"/>
      <c r="AJ267" s="4"/>
    </row>
    <row r="268" spans="2:36" s="15" customFormat="1" customHeight="1">
      <c r="B268" s="44"/>
      <c r="C268" s="44"/>
      <c r="D268" s="138"/>
      <c r="E268" s="45"/>
      <c r="F268" s="142"/>
      <c r="G268" s="46"/>
      <c r="H268" s="46"/>
      <c r="I268" s="46"/>
      <c r="J268" s="46"/>
      <c r="K268" s="105"/>
      <c r="L268" s="14"/>
      <c r="M268" s="42"/>
      <c r="N268" s="31"/>
      <c r="O268" s="31"/>
      <c r="P268" s="31"/>
      <c r="R268" s="174"/>
      <c r="S268" s="174"/>
      <c r="T268" s="4"/>
      <c r="U268" s="175"/>
      <c r="V268" s="175"/>
      <c r="W268" s="175"/>
      <c r="X268" s="175"/>
      <c r="Y268" s="176"/>
      <c r="Z268" s="184"/>
      <c r="AB268" s="4"/>
      <c r="AC268" s="4"/>
      <c r="AD268" s="4"/>
      <c r="AE268" s="4"/>
      <c r="AF268" s="4"/>
      <c r="AG268" s="4"/>
      <c r="AH268" s="4"/>
      <c r="AI268" s="4"/>
      <c r="AJ268" s="4"/>
    </row>
    <row r="269" spans="2:36" s="15" customFormat="1" customHeight="1">
      <c r="B269" s="20" t="s">
        <v>582</v>
      </c>
      <c r="C269" s="309"/>
      <c r="D269" s="21"/>
      <c r="E269" s="21"/>
      <c r="F269" s="21"/>
      <c r="G269" s="22"/>
      <c r="H269" s="22"/>
      <c r="I269" s="47"/>
      <c r="J269" s="47"/>
      <c r="K269" s="212"/>
      <c r="L269" s="14"/>
      <c r="M269" s="42"/>
      <c r="N269" s="31"/>
      <c r="O269" s="31"/>
      <c r="P269" s="31"/>
      <c r="R269" s="174"/>
      <c r="S269" s="174"/>
      <c r="T269" s="4"/>
      <c r="U269" s="175"/>
      <c r="V269" s="175"/>
      <c r="W269" s="175"/>
      <c r="X269" s="175"/>
      <c r="Y269" s="176"/>
      <c r="Z269" s="184"/>
      <c r="AB269" s="4"/>
      <c r="AC269" s="4"/>
      <c r="AD269" s="4"/>
      <c r="AE269" s="4"/>
      <c r="AF269" s="4"/>
      <c r="AG269" s="4"/>
      <c r="AH269" s="4"/>
      <c r="AI269" s="4"/>
      <c r="AJ269" s="4"/>
    </row>
    <row r="270" spans="2:36" s="15" customFormat="1" customHeight="1">
      <c r="B270" s="121" t="s">
        <v>583</v>
      </c>
      <c r="C270" s="122" t="s">
        <v>584</v>
      </c>
      <c r="D270" s="25" t="s">
        <v>585</v>
      </c>
      <c r="E270" s="68">
        <v>1</v>
      </c>
      <c r="F270" s="68">
        <v>90</v>
      </c>
      <c r="G270" s="28">
        <f ca="1">H270*0.9</f>
        <v>29.241000000000003</v>
      </c>
      <c r="H270" s="28">
        <v>32.49</v>
      </c>
      <c r="I270" s="28">
        <v>59.99</v>
      </c>
      <c r="J270" s="28">
        <v>59.99</v>
      </c>
      <c r="K270" s="118"/>
      <c r="L270" s="14"/>
      <c r="M270" s="42"/>
      <c r="N270" s="31">
        <f ca="1">M270*0.78</f>
        <v>0</v>
      </c>
      <c r="O270" s="31">
        <f ca="1">N270/0.7</f>
        <v>0</v>
      </c>
      <c r="P270" s="31">
        <f ca="1">N270*0.9</f>
        <v>0</v>
      </c>
      <c r="R270" s="174"/>
      <c r="S270" s="174"/>
      <c r="T270" s="4"/>
      <c r="U270" s="175">
        <f ca="1">I270</f>
        <v>59.99</v>
      </c>
      <c r="V270" s="175"/>
      <c r="W270" s="175">
        <f ca="1">H270*1.05</f>
        <v>34.11450000000001</v>
      </c>
      <c r="X270" s="175">
        <f ca="1">W270*0.9</f>
        <v>30.703050000000008</v>
      </c>
      <c r="Y270" s="176">
        <f ca="1">(U270-W270)/U270</f>
        <v>0.4313302217036172</v>
      </c>
      <c r="Z270" s="184" t="e">
        <f ca="1">(V270-W270)/V270</f>
        <v>#DIV/0!</v>
      </c>
      <c r="AB270" s="4"/>
      <c r="AC270" s="4"/>
      <c r="AD270" s="4"/>
      <c r="AE270" s="4"/>
      <c r="AF270" s="4"/>
      <c r="AG270" s="4"/>
      <c r="AH270" s="4"/>
      <c r="AI270" s="4"/>
      <c r="AJ270" s="4"/>
    </row>
    <row r="271" spans="2:36" s="15" customFormat="1" customHeight="1">
      <c r="B271" s="143" t="s">
        <v>586</v>
      </c>
      <c r="C271" s="124" t="s">
        <v>587</v>
      </c>
      <c r="D271" s="33" t="s">
        <v>588</v>
      </c>
      <c r="E271" s="37">
        <v>8</v>
      </c>
      <c r="F271" s="37">
        <v>288</v>
      </c>
      <c r="G271" s="28">
        <f ca="1">H271*0.9</f>
        <v>13.041</v>
      </c>
      <c r="H271" s="36">
        <v>14.49</v>
      </c>
      <c r="I271" s="36">
        <v>29.99</v>
      </c>
      <c r="J271" s="36">
        <v>29.99</v>
      </c>
      <c r="K271" s="118"/>
      <c r="L271" s="14"/>
      <c r="M271" s="42"/>
      <c r="N271" s="31">
        <f ca="1">M271*0.78</f>
        <v>0</v>
      </c>
      <c r="O271" s="31">
        <f ca="1">N271/0.7</f>
        <v>0</v>
      </c>
      <c r="P271" s="31">
        <f ca="1">N271*0.9</f>
        <v>0</v>
      </c>
      <c r="R271" s="174"/>
      <c r="S271" s="174"/>
      <c r="T271" s="4"/>
      <c r="U271" s="175">
        <f ca="1">I271</f>
        <v>29.99</v>
      </c>
      <c r="V271" s="175"/>
      <c r="W271" s="175">
        <f ca="1">H271*1.05</f>
        <v>15.214500000000001</v>
      </c>
      <c r="X271" s="175">
        <f ca="1">W271*0.9</f>
        <v>13.693050000000001</v>
      </c>
      <c r="Y271" s="176">
        <f ca="1">(U271-W271)/U271</f>
        <v>0.49268089363121037</v>
      </c>
      <c r="Z271" s="184" t="e">
        <f ca="1">(V271-W271)/V271</f>
        <v>#DIV/0!</v>
      </c>
      <c r="AB271" s="4"/>
      <c r="AC271" s="4"/>
      <c r="AD271" s="4"/>
      <c r="AE271" s="4"/>
      <c r="AF271" s="4"/>
      <c r="AG271" s="4"/>
      <c r="AH271" s="4"/>
      <c r="AI271" s="4"/>
      <c r="AJ271" s="4"/>
    </row>
    <row r="272" spans="2:36" s="15" customFormat="1" customHeight="1">
      <c r="B272" s="33" t="s">
        <v>589</v>
      </c>
      <c r="C272" s="124" t="s">
        <v>590</v>
      </c>
      <c r="D272" s="33" t="s">
        <v>591</v>
      </c>
      <c r="E272" s="33" t="s">
        <v>537</v>
      </c>
      <c r="F272" s="37">
        <v>288</v>
      </c>
      <c r="G272" s="28">
        <f ca="1">H272*0.9</f>
        <v>5.211</v>
      </c>
      <c r="H272" s="36">
        <v>5.79</v>
      </c>
      <c r="I272" s="36">
        <v>11.99</v>
      </c>
      <c r="J272" s="36">
        <v>11.99</v>
      </c>
      <c r="K272" s="118"/>
      <c r="L272" s="14"/>
      <c r="M272" s="42"/>
      <c r="N272" s="31">
        <f ca="1">M272*0.78</f>
        <v>0</v>
      </c>
      <c r="O272" s="31">
        <f ca="1">N272/0.7</f>
        <v>0</v>
      </c>
      <c r="P272" s="31">
        <f ca="1">N272*0.9</f>
        <v>0</v>
      </c>
      <c r="R272" s="174"/>
      <c r="S272" s="174"/>
      <c r="T272" s="4"/>
      <c r="U272" s="175">
        <f ca="1">I272</f>
        <v>11.99</v>
      </c>
      <c r="V272" s="175"/>
      <c r="W272" s="175">
        <f ca="1">H272*1.05</f>
        <v>6.0795</v>
      </c>
      <c r="X272" s="175">
        <f ca="1">W272*0.9</f>
        <v>5.471550000000001</v>
      </c>
      <c r="Y272" s="176">
        <f ca="1">(U272-W272)/U272</f>
        <v>0.49295246038365303</v>
      </c>
      <c r="Z272" s="184" t="e">
        <f ca="1">(V272-W272)/V272</f>
        <v>#DIV/0!</v>
      </c>
      <c r="AB272" s="4"/>
      <c r="AC272" s="4"/>
      <c r="AD272" s="4"/>
      <c r="AE272" s="4"/>
      <c r="AF272" s="4"/>
      <c r="AG272" s="4"/>
      <c r="AH272" s="4"/>
      <c r="AI272" s="4"/>
      <c r="AJ272" s="4"/>
    </row>
    <row r="273" spans="2:36" s="15" customFormat="1" customHeight="1">
      <c r="B273" s="37" t="s">
        <v>592</v>
      </c>
      <c r="C273" s="66" t="s">
        <v>593</v>
      </c>
      <c r="D273" s="33" t="s">
        <v>594</v>
      </c>
      <c r="E273" s="37">
        <v>12</v>
      </c>
      <c r="F273" s="37">
        <v>216</v>
      </c>
      <c r="G273" s="28">
        <f ca="1">H273*0.9</f>
        <v>6.201</v>
      </c>
      <c r="H273" s="36">
        <v>6.89</v>
      </c>
      <c r="I273" s="36">
        <v>13.99</v>
      </c>
      <c r="J273" s="36">
        <v>13.99</v>
      </c>
      <c r="K273" s="118"/>
      <c r="L273" s="14"/>
      <c r="M273" s="42"/>
      <c r="N273" s="31">
        <f ca="1">M273*0.78</f>
        <v>0</v>
      </c>
      <c r="O273" s="31">
        <f ca="1">N273/0.7</f>
        <v>0</v>
      </c>
      <c r="P273" s="31">
        <f ca="1">N273*0.9</f>
        <v>0</v>
      </c>
      <c r="R273" s="174"/>
      <c r="S273" s="174"/>
      <c r="T273" s="4"/>
      <c r="U273" s="175">
        <f ca="1">I273</f>
        <v>13.99</v>
      </c>
      <c r="V273" s="175"/>
      <c r="W273" s="175">
        <f ca="1">H273*1.05</f>
        <v>7.2345</v>
      </c>
      <c r="X273" s="175">
        <f ca="1">W273*0.9</f>
        <v>6.51105</v>
      </c>
      <c r="Y273" s="176">
        <f ca="1">(U273-W273)/U273</f>
        <v>0.48288062902072915</v>
      </c>
      <c r="Z273" s="184" t="e">
        <f ca="1">(V273-W273)/V273</f>
        <v>#DIV/0!</v>
      </c>
      <c r="AB273" s="4"/>
      <c r="AC273" s="4"/>
      <c r="AD273" s="4"/>
      <c r="AE273" s="4"/>
      <c r="AF273" s="4"/>
      <c r="AG273" s="4"/>
      <c r="AH273" s="4"/>
      <c r="AI273" s="4"/>
      <c r="AJ273" s="4"/>
    </row>
    <row r="274" spans="2:36" s="15" customFormat="1" customHeight="1">
      <c r="B274" s="37" t="s">
        <v>595</v>
      </c>
      <c r="C274" s="66" t="s">
        <v>596</v>
      </c>
      <c r="D274" s="33" t="s">
        <v>597</v>
      </c>
      <c r="E274" s="37">
        <v>6</v>
      </c>
      <c r="F274" s="37">
        <v>144</v>
      </c>
      <c r="G274" s="28">
        <f ca="1">H274*0.9</f>
        <v>7.155</v>
      </c>
      <c r="H274" s="36">
        <v>7.95</v>
      </c>
      <c r="I274" s="36">
        <v>15.99</v>
      </c>
      <c r="J274" s="36">
        <v>15.99</v>
      </c>
      <c r="K274" s="118"/>
      <c r="L274" s="14"/>
      <c r="M274" s="42"/>
      <c r="N274" s="31">
        <f ca="1">M274*0.78</f>
        <v>0</v>
      </c>
      <c r="O274" s="31">
        <f ca="1">N274/0.7</f>
        <v>0</v>
      </c>
      <c r="P274" s="31">
        <f ca="1">N274*0.9</f>
        <v>0</v>
      </c>
      <c r="R274" s="174"/>
      <c r="S274" s="174"/>
      <c r="T274" s="4"/>
      <c r="U274" s="175">
        <f ca="1">I274</f>
        <v>15.99</v>
      </c>
      <c r="V274" s="175"/>
      <c r="W274" s="175">
        <f ca="1">H274*1.05</f>
        <v>8.3475</v>
      </c>
      <c r="X274" s="175">
        <f ca="1">W274*0.9</f>
        <v>7.5127500000000005</v>
      </c>
      <c r="Y274" s="176">
        <f ca="1">(U274-W274)/U274</f>
        <v>0.47795497185741087</v>
      </c>
      <c r="Z274" s="184" t="e">
        <f ca="1">(V274-W274)/V274</f>
        <v>#DIV/0!</v>
      </c>
      <c r="AB274" s="4"/>
      <c r="AC274" s="4"/>
      <c r="AD274" s="4"/>
      <c r="AE274" s="4"/>
      <c r="AF274" s="4"/>
      <c r="AG274" s="4"/>
      <c r="AH274" s="4"/>
      <c r="AI274" s="4"/>
      <c r="AJ274" s="4"/>
    </row>
    <row r="275" spans="2:36" s="15" customFormat="1" customHeight="1">
      <c r="B275" s="37" t="s">
        <v>598</v>
      </c>
      <c r="C275" s="66" t="s">
        <v>599</v>
      </c>
      <c r="D275" s="33" t="s">
        <v>600</v>
      </c>
      <c r="E275" s="37">
        <v>6</v>
      </c>
      <c r="F275" s="37">
        <v>252</v>
      </c>
      <c r="G275" s="28">
        <f ca="1">H275*0.9</f>
        <v>8.964</v>
      </c>
      <c r="H275" s="36">
        <v>9.96</v>
      </c>
      <c r="I275" s="36">
        <v>19.99</v>
      </c>
      <c r="J275" s="36">
        <v>19.99</v>
      </c>
      <c r="K275" s="118"/>
      <c r="L275" s="14"/>
      <c r="M275" s="42"/>
      <c r="N275" s="31">
        <f ca="1">M275*0.78</f>
        <v>0</v>
      </c>
      <c r="O275" s="31">
        <f ca="1">N275/0.7</f>
        <v>0</v>
      </c>
      <c r="P275" s="31">
        <f ca="1">N275*0.9</f>
        <v>0</v>
      </c>
      <c r="R275" s="174"/>
      <c r="S275" s="174"/>
      <c r="T275" s="4"/>
      <c r="U275" s="175">
        <f ca="1">I275</f>
        <v>19.99</v>
      </c>
      <c r="V275" s="175"/>
      <c r="W275" s="175">
        <f ca="1">H275*1.05</f>
        <v>10.458000000000002</v>
      </c>
      <c r="X275" s="175">
        <f ca="1">W275*0.9</f>
        <v>9.412200000000002</v>
      </c>
      <c r="Y275" s="176">
        <f ca="1">(U275-W275)/U275</f>
        <v>0.4768384192096047</v>
      </c>
      <c r="Z275" s="184" t="e">
        <f ca="1">(V275-W275)/V275</f>
        <v>#DIV/0!</v>
      </c>
      <c r="AB275" s="4"/>
      <c r="AC275" s="4"/>
      <c r="AD275" s="4"/>
      <c r="AE275" s="4"/>
      <c r="AF275" s="4"/>
      <c r="AG275" s="4"/>
      <c r="AH275" s="4"/>
      <c r="AI275" s="4"/>
      <c r="AJ275" s="4"/>
    </row>
    <row r="276" spans="2:36" s="15" customFormat="1" customHeight="1">
      <c r="B276" s="37" t="s">
        <v>601</v>
      </c>
      <c r="C276" s="66" t="s">
        <v>602</v>
      </c>
      <c r="D276" s="33" t="s">
        <v>603</v>
      </c>
      <c r="E276" s="37">
        <v>6</v>
      </c>
      <c r="F276" s="37">
        <v>180</v>
      </c>
      <c r="G276" s="28">
        <f ca="1">H276*0.9</f>
        <v>11.682</v>
      </c>
      <c r="H276" s="36">
        <v>12.98</v>
      </c>
      <c r="I276" s="36">
        <v>29.99</v>
      </c>
      <c r="J276" s="36">
        <v>29.99</v>
      </c>
      <c r="K276" s="118"/>
      <c r="L276" s="14"/>
      <c r="M276" s="42"/>
      <c r="N276" s="31">
        <f ca="1">M276*0.78</f>
        <v>0</v>
      </c>
      <c r="O276" s="31">
        <f ca="1">N276/0.7</f>
        <v>0</v>
      </c>
      <c r="P276" s="31">
        <f ca="1">N276*0.9</f>
        <v>0</v>
      </c>
      <c r="R276" s="174"/>
      <c r="S276" s="174"/>
      <c r="T276" s="4"/>
      <c r="U276" s="175">
        <f ca="1">I276</f>
        <v>29.99</v>
      </c>
      <c r="V276" s="175"/>
      <c r="W276" s="175">
        <f ca="1">H276*1.05</f>
        <v>13.629000000000001</v>
      </c>
      <c r="X276" s="175">
        <f ca="1">W276*0.9</f>
        <v>12.266100000000002</v>
      </c>
      <c r="Y276" s="176">
        <f ca="1">(U276-W276)/U276</f>
        <v>0.5455485161720572</v>
      </c>
      <c r="Z276" s="184" t="e">
        <f ca="1">(V276-W276)/V276</f>
        <v>#DIV/0!</v>
      </c>
      <c r="AB276" s="4"/>
      <c r="AC276" s="4"/>
      <c r="AD276" s="4"/>
      <c r="AE276" s="4"/>
      <c r="AF276" s="4"/>
      <c r="AG276" s="4"/>
      <c r="AH276" s="4"/>
      <c r="AI276" s="4"/>
      <c r="AJ276" s="4"/>
    </row>
    <row r="277" spans="2:36" s="15" customFormat="1" customHeight="1">
      <c r="B277" s="37" t="s">
        <v>604</v>
      </c>
      <c r="C277" s="66" t="s">
        <v>605</v>
      </c>
      <c r="D277" s="33" t="s">
        <v>606</v>
      </c>
      <c r="E277" s="37">
        <v>6</v>
      </c>
      <c r="F277" s="37">
        <v>300</v>
      </c>
      <c r="G277" s="28">
        <f ca="1">H277*0.9</f>
        <v>8.541</v>
      </c>
      <c r="H277" s="36">
        <v>9.49</v>
      </c>
      <c r="I277" s="36">
        <v>19.99</v>
      </c>
      <c r="J277" s="36">
        <v>19.99</v>
      </c>
      <c r="K277" s="118"/>
      <c r="L277" s="14"/>
      <c r="M277" s="42"/>
      <c r="N277" s="31">
        <f ca="1">M277*0.78</f>
        <v>0</v>
      </c>
      <c r="O277" s="31">
        <f ca="1">N277/0.7</f>
        <v>0</v>
      </c>
      <c r="P277" s="31">
        <f ca="1">N277*0.9</f>
        <v>0</v>
      </c>
      <c r="R277" s="174"/>
      <c r="S277" s="174"/>
      <c r="T277" s="4"/>
      <c r="U277" s="175">
        <f ca="1">I277</f>
        <v>19.99</v>
      </c>
      <c r="V277" s="175"/>
      <c r="W277" s="175">
        <f ca="1">H277*1.05</f>
        <v>9.964500000000001</v>
      </c>
      <c r="X277" s="175">
        <f ca="1">W277*0.9</f>
        <v>8.968050000000002</v>
      </c>
      <c r="Y277" s="176">
        <f ca="1">(U277-W277)/U277</f>
        <v>0.5015257628814407</v>
      </c>
      <c r="Z277" s="184" t="e">
        <f ca="1">(V277-W277)/V277</f>
        <v>#DIV/0!</v>
      </c>
      <c r="AB277" s="4"/>
      <c r="AC277" s="4"/>
      <c r="AD277" s="4"/>
      <c r="AE277" s="4"/>
      <c r="AF277" s="4"/>
      <c r="AG277" s="4"/>
      <c r="AH277" s="4"/>
      <c r="AI277" s="4"/>
      <c r="AJ277" s="4"/>
    </row>
    <row r="278" spans="2:36" s="15" customFormat="1" customHeight="1">
      <c r="B278" s="33" t="s">
        <v>607</v>
      </c>
      <c r="C278" s="124" t="s">
        <v>608</v>
      </c>
      <c r="D278" s="33" t="s">
        <v>609</v>
      </c>
      <c r="E278" s="33" t="s">
        <v>537</v>
      </c>
      <c r="F278" s="33">
        <v>216</v>
      </c>
      <c r="G278" s="28">
        <f ca="1">H278*0.9</f>
        <v>3.384</v>
      </c>
      <c r="H278" s="36">
        <v>3.76</v>
      </c>
      <c r="I278" s="36">
        <v>7.99</v>
      </c>
      <c r="J278" s="36">
        <v>7.99</v>
      </c>
      <c r="K278" s="118"/>
      <c r="L278" s="14"/>
      <c r="M278" s="42"/>
      <c r="N278" s="31">
        <f ca="1">M278*0.78</f>
        <v>0</v>
      </c>
      <c r="O278" s="31">
        <f ca="1">N278/0.7</f>
        <v>0</v>
      </c>
      <c r="P278" s="31">
        <f ca="1">N278*0.9</f>
        <v>0</v>
      </c>
      <c r="R278" s="174"/>
      <c r="S278" s="174"/>
      <c r="T278" s="4"/>
      <c r="U278" s="175">
        <f ca="1">I278</f>
        <v>7.99</v>
      </c>
      <c r="V278" s="175"/>
      <c r="W278" s="175">
        <f ca="1">H278*1.05</f>
        <v>3.948</v>
      </c>
      <c r="X278" s="175">
        <f ca="1">W278*0.9</f>
        <v>3.5532</v>
      </c>
      <c r="Y278" s="176">
        <f ca="1">(U278-W278)/U278</f>
        <v>0.5058823529411764</v>
      </c>
      <c r="Z278" s="184" t="e">
        <f ca="1">(V278-W278)/V278</f>
        <v>#DIV/0!</v>
      </c>
      <c r="AB278" s="4"/>
      <c r="AC278" s="4"/>
      <c r="AD278" s="4"/>
      <c r="AE278" s="4"/>
      <c r="AF278" s="4"/>
      <c r="AG278" s="4"/>
      <c r="AH278" s="4"/>
      <c r="AI278" s="4"/>
      <c r="AJ278" s="4"/>
    </row>
    <row r="279" spans="2:36" s="15" customFormat="1" customHeight="1">
      <c r="B279" s="123" t="s">
        <v>610</v>
      </c>
      <c r="C279" s="124" t="s">
        <v>611</v>
      </c>
      <c r="D279" s="132" t="s">
        <v>612</v>
      </c>
      <c r="E279" s="132">
        <v>12</v>
      </c>
      <c r="F279" s="132">
        <v>2160</v>
      </c>
      <c r="G279" s="28">
        <f ca="1">H279*0.9</f>
        <v>1.746</v>
      </c>
      <c r="H279" s="144">
        <v>1.94</v>
      </c>
      <c r="I279" s="144">
        <v>3.99</v>
      </c>
      <c r="J279" s="144">
        <v>3.99</v>
      </c>
      <c r="K279" s="219"/>
      <c r="L279" s="14"/>
      <c r="M279" s="42"/>
      <c r="N279" s="31">
        <f ca="1">M279*0.78</f>
        <v>0</v>
      </c>
      <c r="O279" s="31">
        <f ca="1">N279/0.7</f>
        <v>0</v>
      </c>
      <c r="P279" s="31">
        <f ca="1">N279*0.9</f>
        <v>0</v>
      </c>
      <c r="R279" s="174"/>
      <c r="S279" s="174"/>
      <c r="T279" s="4"/>
      <c r="U279" s="175">
        <f ca="1">I279</f>
        <v>3.99</v>
      </c>
      <c r="V279" s="175"/>
      <c r="W279" s="175">
        <f ca="1">H279*1.05</f>
        <v>2.037</v>
      </c>
      <c r="X279" s="175">
        <f ca="1">W279*0.9</f>
        <v>1.8333</v>
      </c>
      <c r="Y279" s="176">
        <f ca="1">(U279-W279)/U279</f>
        <v>0.48947368421052634</v>
      </c>
      <c r="Z279" s="184" t="e">
        <f ca="1">(V279-W279)/V279</f>
        <v>#DIV/0!</v>
      </c>
      <c r="AB279" s="4"/>
      <c r="AC279" s="4"/>
      <c r="AD279" s="4"/>
      <c r="AE279" s="4"/>
      <c r="AF279" s="4"/>
      <c r="AG279" s="4"/>
      <c r="AH279" s="4"/>
      <c r="AI279" s="4"/>
      <c r="AJ279" s="4"/>
    </row>
    <row r="280" spans="2:36" s="15" customFormat="1" customHeight="1">
      <c r="B280" s="123" t="s">
        <v>613</v>
      </c>
      <c r="C280" s="124" t="s">
        <v>614</v>
      </c>
      <c r="D280" s="132" t="s">
        <v>615</v>
      </c>
      <c r="E280" s="132">
        <v>12</v>
      </c>
      <c r="F280" s="132">
        <v>2160</v>
      </c>
      <c r="G280" s="28">
        <f ca="1">H280*0.9</f>
        <v>1.746</v>
      </c>
      <c r="H280" s="144">
        <v>1.94</v>
      </c>
      <c r="I280" s="144">
        <v>3.99</v>
      </c>
      <c r="J280" s="144">
        <v>3.99</v>
      </c>
      <c r="K280" s="219"/>
      <c r="L280" s="14"/>
      <c r="M280" s="42"/>
      <c r="N280" s="31">
        <f ca="1">M280*0.78</f>
        <v>0</v>
      </c>
      <c r="O280" s="31">
        <f ca="1">N280/0.7</f>
        <v>0</v>
      </c>
      <c r="P280" s="31">
        <f ca="1">N280*0.9</f>
        <v>0</v>
      </c>
      <c r="R280" s="174"/>
      <c r="S280" s="174"/>
      <c r="T280" s="4"/>
      <c r="U280" s="175">
        <f ca="1">I280</f>
        <v>3.99</v>
      </c>
      <c r="V280" s="175"/>
      <c r="W280" s="175">
        <f ca="1">H280*1.05</f>
        <v>2.037</v>
      </c>
      <c r="X280" s="175">
        <f ca="1">W280*0.9</f>
        <v>1.8333</v>
      </c>
      <c r="Y280" s="176">
        <f ca="1">(U280-W280)/U280</f>
        <v>0.48947368421052634</v>
      </c>
      <c r="Z280" s="184" t="e">
        <f ca="1">(V280-W280)/V280</f>
        <v>#DIV/0!</v>
      </c>
      <c r="AB280" s="4"/>
      <c r="AC280" s="4"/>
      <c r="AD280" s="4"/>
      <c r="AE280" s="4"/>
      <c r="AF280" s="4"/>
      <c r="AG280" s="4"/>
      <c r="AH280" s="4"/>
      <c r="AI280" s="4"/>
      <c r="AJ280" s="4"/>
    </row>
    <row r="281" spans="2:36" s="15" customFormat="1" customHeight="1">
      <c r="B281" s="123" t="s">
        <v>616</v>
      </c>
      <c r="C281" s="124" t="s">
        <v>617</v>
      </c>
      <c r="D281" s="132" t="s">
        <v>618</v>
      </c>
      <c r="E281" s="132">
        <v>12</v>
      </c>
      <c r="F281" s="132">
        <v>2160</v>
      </c>
      <c r="G281" s="28">
        <f ca="1">H281*0.9</f>
        <v>1.746</v>
      </c>
      <c r="H281" s="144">
        <v>1.94</v>
      </c>
      <c r="I281" s="144">
        <v>3.99</v>
      </c>
      <c r="J281" s="144">
        <v>3.99</v>
      </c>
      <c r="K281" s="219"/>
      <c r="L281" s="14"/>
      <c r="M281" s="42"/>
      <c r="N281" s="31">
        <f ca="1">M281*0.78</f>
        <v>0</v>
      </c>
      <c r="O281" s="31">
        <f ca="1">N281/0.7</f>
        <v>0</v>
      </c>
      <c r="P281" s="31">
        <f ca="1">N281*0.9</f>
        <v>0</v>
      </c>
      <c r="R281" s="174"/>
      <c r="S281" s="174"/>
      <c r="T281" s="4"/>
      <c r="U281" s="175">
        <f ca="1">I281</f>
        <v>3.99</v>
      </c>
      <c r="V281" s="175"/>
      <c r="W281" s="175">
        <f ca="1">H281*1.05</f>
        <v>2.037</v>
      </c>
      <c r="X281" s="175">
        <f ca="1">W281*0.9</f>
        <v>1.8333</v>
      </c>
      <c r="Y281" s="176">
        <f ca="1">(U281-W281)/U281</f>
        <v>0.48947368421052634</v>
      </c>
      <c r="Z281" s="184" t="e">
        <f ca="1">(V281-W281)/V281</f>
        <v>#DIV/0!</v>
      </c>
      <c r="AB281" s="4"/>
      <c r="AC281" s="4"/>
      <c r="AD281" s="4"/>
      <c r="AE281" s="4"/>
      <c r="AF281" s="4"/>
      <c r="AG281" s="4"/>
      <c r="AH281" s="4"/>
      <c r="AI281" s="4"/>
      <c r="AJ281" s="4"/>
    </row>
    <row r="282" spans="2:36" s="15" customFormat="1" customHeight="1">
      <c r="B282" s="129" t="s">
        <v>619</v>
      </c>
      <c r="C282" s="135" t="s">
        <v>620</v>
      </c>
      <c r="D282" s="136" t="s">
        <v>621</v>
      </c>
      <c r="E282" s="132">
        <v>20</v>
      </c>
      <c r="F282" s="85" t="s">
        <v>266</v>
      </c>
      <c r="G282" s="28">
        <f ca="1">H282*0.9</f>
        <v>4.05</v>
      </c>
      <c r="H282" s="133">
        <v>4.5</v>
      </c>
      <c r="I282" s="133">
        <v>8.99</v>
      </c>
      <c r="J282" s="133">
        <v>8.99</v>
      </c>
      <c r="K282" s="218"/>
      <c r="L282" s="14"/>
      <c r="M282" s="42"/>
      <c r="N282" s="31">
        <f ca="1">M282*0.78</f>
        <v>0</v>
      </c>
      <c r="O282" s="31">
        <f ca="1">N282/0.7</f>
        <v>0</v>
      </c>
      <c r="P282" s="31">
        <f ca="1">N282*0.9</f>
        <v>0</v>
      </c>
      <c r="R282" s="174"/>
      <c r="S282" s="174"/>
      <c r="T282" s="4"/>
      <c r="U282" s="175">
        <f ca="1">I282</f>
        <v>8.99</v>
      </c>
      <c r="V282" s="175"/>
      <c r="W282" s="175">
        <f ca="1">H282*1.05</f>
        <v>4.7250000000000005</v>
      </c>
      <c r="X282" s="175">
        <f ca="1">W282*0.9</f>
        <v>4.2525</v>
      </c>
      <c r="Y282" s="176">
        <f ca="1">(U282-W282)/U282</f>
        <v>0.47441601779755277</v>
      </c>
      <c r="Z282" s="184" t="e">
        <f ca="1">(V282-W282)/V282</f>
        <v>#DIV/0!</v>
      </c>
      <c r="AB282" s="4"/>
      <c r="AC282" s="4"/>
      <c r="AD282" s="4"/>
      <c r="AE282" s="4"/>
      <c r="AF282" s="4"/>
      <c r="AG282" s="4"/>
      <c r="AH282" s="4"/>
      <c r="AI282" s="4"/>
      <c r="AJ282" s="4"/>
    </row>
    <row r="283" spans="2:36" s="15" customFormat="1" customHeight="1">
      <c r="B283" s="129" t="s">
        <v>622</v>
      </c>
      <c r="C283" s="135" t="s">
        <v>623</v>
      </c>
      <c r="D283" s="136" t="s">
        <v>624</v>
      </c>
      <c r="E283" s="132">
        <v>12</v>
      </c>
      <c r="F283" s="85" t="s">
        <v>266</v>
      </c>
      <c r="G283" s="28">
        <f ca="1">H283*0.9</f>
        <v>9</v>
      </c>
      <c r="H283" s="133">
        <v>10</v>
      </c>
      <c r="I283" s="133">
        <v>19.99</v>
      </c>
      <c r="J283" s="133">
        <v>19.99</v>
      </c>
      <c r="K283" s="218"/>
      <c r="L283" s="14"/>
      <c r="M283" s="42"/>
      <c r="N283" s="31">
        <f ca="1">M283*0.78</f>
        <v>0</v>
      </c>
      <c r="O283" s="31">
        <f ca="1">N283/0.7</f>
        <v>0</v>
      </c>
      <c r="P283" s="31">
        <f ca="1">N283*0.9</f>
        <v>0</v>
      </c>
      <c r="R283" s="174"/>
      <c r="S283" s="174"/>
      <c r="T283" s="4"/>
      <c r="U283" s="175">
        <f ca="1">I283</f>
        <v>19.99</v>
      </c>
      <c r="V283" s="175"/>
      <c r="W283" s="175">
        <f ca="1">H283*1.05</f>
        <v>10.5</v>
      </c>
      <c r="X283" s="175">
        <f ca="1">W283*0.9</f>
        <v>9.450000000000001</v>
      </c>
      <c r="Y283" s="176">
        <f ca="1">(U283-W283)/U283</f>
        <v>0.47473736868434213</v>
      </c>
      <c r="Z283" s="184" t="e">
        <f ca="1">(V283-W283)/V283</f>
        <v>#DIV/0!</v>
      </c>
      <c r="AB283" s="4"/>
      <c r="AC283" s="4"/>
      <c r="AD283" s="4"/>
      <c r="AE283" s="4"/>
      <c r="AF283" s="4"/>
      <c r="AG283" s="4"/>
      <c r="AH283" s="4"/>
      <c r="AI283" s="4"/>
      <c r="AJ283" s="4"/>
    </row>
    <row r="284" spans="2:36" s="15" customFormat="1" customHeight="1">
      <c r="B284" s="129" t="s">
        <v>625</v>
      </c>
      <c r="C284" s="145" t="s">
        <v>626</v>
      </c>
      <c r="D284" s="136" t="s">
        <v>627</v>
      </c>
      <c r="E284" s="132">
        <v>6</v>
      </c>
      <c r="F284" s="85" t="s">
        <v>266</v>
      </c>
      <c r="G284" s="28">
        <f ca="1">H284*0.9</f>
        <v>7.2</v>
      </c>
      <c r="H284" s="133">
        <v>8</v>
      </c>
      <c r="I284" s="133">
        <v>15.99</v>
      </c>
      <c r="J284" s="133">
        <v>15.99</v>
      </c>
      <c r="K284" s="218"/>
      <c r="L284" s="14"/>
      <c r="M284" s="42"/>
      <c r="N284" s="31">
        <f ca="1">M284*0.78</f>
        <v>0</v>
      </c>
      <c r="O284" s="31">
        <f ca="1">N284/0.7</f>
        <v>0</v>
      </c>
      <c r="P284" s="31">
        <f ca="1">N284*0.9</f>
        <v>0</v>
      </c>
      <c r="R284" s="174"/>
      <c r="S284" s="174"/>
      <c r="T284" s="4"/>
      <c r="U284" s="175">
        <f ca="1">I284</f>
        <v>15.99</v>
      </c>
      <c r="V284" s="175"/>
      <c r="W284" s="175">
        <f ca="1">H284*1.05</f>
        <v>8.4</v>
      </c>
      <c r="X284" s="175">
        <f ca="1">W284*0.9</f>
        <v>7.5600000000000005</v>
      </c>
      <c r="Y284" s="176">
        <f ca="1">(U284-W284)/U284</f>
        <v>0.474671669793621</v>
      </c>
      <c r="Z284" s="184" t="e">
        <f ca="1">(V284-W284)/V284</f>
        <v>#DIV/0!</v>
      </c>
      <c r="AB284" s="4"/>
      <c r="AC284" s="4"/>
      <c r="AD284" s="4"/>
      <c r="AE284" s="4"/>
      <c r="AF284" s="4"/>
      <c r="AG284" s="4"/>
      <c r="AH284" s="4"/>
      <c r="AI284" s="4"/>
      <c r="AJ284" s="4"/>
    </row>
    <row r="285" spans="2:36" s="15" customFormat="1" customHeight="1">
      <c r="B285" s="129" t="s">
        <v>628</v>
      </c>
      <c r="C285" s="145" t="s">
        <v>629</v>
      </c>
      <c r="D285" s="136" t="s">
        <v>630</v>
      </c>
      <c r="E285" s="132">
        <v>12</v>
      </c>
      <c r="F285" s="85" t="s">
        <v>266</v>
      </c>
      <c r="G285" s="28">
        <f ca="1">H285*0.9</f>
        <v>6.3</v>
      </c>
      <c r="H285" s="133">
        <v>7</v>
      </c>
      <c r="I285" s="133">
        <v>13.99</v>
      </c>
      <c r="J285" s="133">
        <v>13.99</v>
      </c>
      <c r="K285" s="218"/>
      <c r="L285" s="14"/>
      <c r="M285" s="42"/>
      <c r="N285" s="31">
        <f ca="1">M285*0.78</f>
        <v>0</v>
      </c>
      <c r="O285" s="31">
        <f ca="1">N285/0.7</f>
        <v>0</v>
      </c>
      <c r="P285" s="31">
        <f ca="1">N285*0.9</f>
        <v>0</v>
      </c>
      <c r="R285" s="174"/>
      <c r="S285" s="174"/>
      <c r="T285" s="4"/>
      <c r="U285" s="175">
        <f ca="1">I285</f>
        <v>13.99</v>
      </c>
      <c r="V285" s="175"/>
      <c r="W285" s="175">
        <f ca="1">H285*1.05</f>
        <v>7.3500000000000005</v>
      </c>
      <c r="X285" s="175">
        <f ca="1">W285*0.9</f>
        <v>6.615</v>
      </c>
      <c r="Y285" s="176">
        <f ca="1">(U285-W285)/U285</f>
        <v>0.4746247319513938</v>
      </c>
      <c r="Z285" s="184" t="e">
        <f ca="1">(V285-W285)/V285</f>
        <v>#DIV/0!</v>
      </c>
      <c r="AB285" s="4"/>
      <c r="AC285" s="4"/>
      <c r="AD285" s="4"/>
      <c r="AE285" s="4"/>
      <c r="AF285" s="4"/>
      <c r="AG285" s="4"/>
      <c r="AH285" s="4"/>
      <c r="AI285" s="4"/>
      <c r="AJ285" s="4"/>
    </row>
    <row r="286" spans="2:36" s="15" customFormat="1" customHeight="1">
      <c r="B286" s="129" t="s">
        <v>631</v>
      </c>
      <c r="C286" s="146" t="s">
        <v>632</v>
      </c>
      <c r="D286" s="136" t="s">
        <v>633</v>
      </c>
      <c r="E286" s="132">
        <v>6</v>
      </c>
      <c r="F286" s="85" t="s">
        <v>266</v>
      </c>
      <c r="G286" s="28">
        <f ca="1">H286*0.9</f>
        <v>7.2</v>
      </c>
      <c r="H286" s="133">
        <v>8</v>
      </c>
      <c r="I286" s="133">
        <v>15.99</v>
      </c>
      <c r="J286" s="133">
        <v>15.99</v>
      </c>
      <c r="K286" s="218"/>
      <c r="L286" s="14"/>
      <c r="M286" s="42"/>
      <c r="N286" s="31">
        <f ca="1">M286*0.78</f>
        <v>0</v>
      </c>
      <c r="O286" s="31">
        <f ca="1">N286/0.7</f>
        <v>0</v>
      </c>
      <c r="P286" s="31">
        <f ca="1">N286*0.9</f>
        <v>0</v>
      </c>
      <c r="R286" s="174"/>
      <c r="S286" s="174"/>
      <c r="T286" s="4"/>
      <c r="U286" s="175">
        <f ca="1">I286</f>
        <v>15.99</v>
      </c>
      <c r="V286" s="175"/>
      <c r="W286" s="175">
        <f ca="1">H286*1.05</f>
        <v>8.4</v>
      </c>
      <c r="X286" s="175">
        <f ca="1">W286*0.9</f>
        <v>7.5600000000000005</v>
      </c>
      <c r="Y286" s="176">
        <f ca="1">(U286-W286)/U286</f>
        <v>0.474671669793621</v>
      </c>
      <c r="Z286" s="184" t="e">
        <f ca="1">(V286-W286)/V286</f>
        <v>#DIV/0!</v>
      </c>
      <c r="AB286" s="4"/>
      <c r="AC286" s="4"/>
      <c r="AD286" s="4"/>
      <c r="AE286" s="4"/>
      <c r="AF286" s="4"/>
      <c r="AG286" s="4"/>
      <c r="AH286" s="4"/>
      <c r="AI286" s="4"/>
      <c r="AJ286" s="4"/>
    </row>
    <row r="287" spans="2:36" s="15" customFormat="1" customHeight="1">
      <c r="B287" s="129" t="s">
        <v>634</v>
      </c>
      <c r="C287" s="145" t="s">
        <v>635</v>
      </c>
      <c r="D287" s="136" t="s">
        <v>636</v>
      </c>
      <c r="E287" s="132">
        <v>4</v>
      </c>
      <c r="F287" s="85" t="s">
        <v>266</v>
      </c>
      <c r="G287" s="28">
        <f ca="1">H287*0.9</f>
        <v>23.85</v>
      </c>
      <c r="H287" s="133">
        <v>26.5</v>
      </c>
      <c r="I287" s="133">
        <v>52.99</v>
      </c>
      <c r="J287" s="133">
        <v>52.99</v>
      </c>
      <c r="K287" s="218"/>
      <c r="L287" s="14"/>
      <c r="M287" s="42"/>
      <c r="N287" s="31">
        <f ca="1">M287*0.78</f>
        <v>0</v>
      </c>
      <c r="O287" s="31">
        <f ca="1">N287/0.7</f>
        <v>0</v>
      </c>
      <c r="P287" s="31">
        <f ca="1">N287*0.9</f>
        <v>0</v>
      </c>
      <c r="R287" s="174"/>
      <c r="S287" s="174"/>
      <c r="T287" s="4"/>
      <c r="U287" s="175">
        <f ca="1">I287</f>
        <v>52.99</v>
      </c>
      <c r="V287" s="175"/>
      <c r="W287" s="175">
        <f ca="1">H287*1.05</f>
        <v>27.825000000000003</v>
      </c>
      <c r="X287" s="175">
        <f ca="1">W287*0.9</f>
        <v>25.042500000000004</v>
      </c>
      <c r="Y287" s="176">
        <f ca="1">(U287-W287)/U287</f>
        <v>0.47490092470277406</v>
      </c>
      <c r="Z287" s="184" t="e">
        <f ca="1">(V287-W287)/V287</f>
        <v>#DIV/0!</v>
      </c>
      <c r="AB287" s="4"/>
      <c r="AC287" s="4"/>
      <c r="AD287" s="4"/>
      <c r="AE287" s="4"/>
      <c r="AF287" s="4"/>
      <c r="AG287" s="4"/>
      <c r="AH287" s="4"/>
      <c r="AI287" s="4"/>
      <c r="AJ287" s="4"/>
    </row>
    <row r="288" spans="2:36" s="15" customFormat="1" customHeight="1">
      <c r="B288" s="129" t="s">
        <v>637</v>
      </c>
      <c r="C288" s="145" t="s">
        <v>638</v>
      </c>
      <c r="D288" s="136" t="s">
        <v>639</v>
      </c>
      <c r="E288" s="132">
        <v>6</v>
      </c>
      <c r="F288" s="85" t="s">
        <v>266</v>
      </c>
      <c r="G288" s="28">
        <f ca="1">H288*0.9</f>
        <v>9</v>
      </c>
      <c r="H288" s="133">
        <v>10</v>
      </c>
      <c r="I288" s="133">
        <v>19.99</v>
      </c>
      <c r="J288" s="133">
        <v>19.99</v>
      </c>
      <c r="K288" s="218"/>
      <c r="L288" s="14"/>
      <c r="M288" s="42"/>
      <c r="N288" s="31">
        <f ca="1">M288*0.78</f>
        <v>0</v>
      </c>
      <c r="O288" s="31">
        <f ca="1">N288/0.7</f>
        <v>0</v>
      </c>
      <c r="P288" s="31">
        <f ca="1">N288*0.9</f>
        <v>0</v>
      </c>
      <c r="R288" s="174"/>
      <c r="S288" s="174"/>
      <c r="T288" s="4"/>
      <c r="U288" s="175">
        <f ca="1">I288</f>
        <v>19.99</v>
      </c>
      <c r="V288" s="175"/>
      <c r="W288" s="175">
        <f ca="1">H288*1.05</f>
        <v>10.5</v>
      </c>
      <c r="X288" s="175">
        <f ca="1">W288*0.9</f>
        <v>9.450000000000001</v>
      </c>
      <c r="Y288" s="176">
        <f ca="1">(U288-W288)/U288</f>
        <v>0.47473736868434213</v>
      </c>
      <c r="Z288" s="184" t="e">
        <f ca="1">(V288-W288)/V288</f>
        <v>#DIV/0!</v>
      </c>
      <c r="AB288" s="4"/>
      <c r="AC288" s="4"/>
      <c r="AD288" s="4"/>
      <c r="AE288" s="4"/>
      <c r="AF288" s="4"/>
      <c r="AG288" s="4"/>
      <c r="AH288" s="4"/>
      <c r="AI288" s="4"/>
      <c r="AJ288" s="4"/>
    </row>
    <row r="289" spans="2:36" s="15" customFormat="1" customHeight="1">
      <c r="B289" s="136" t="s">
        <v>640</v>
      </c>
      <c r="C289" s="145" t="s">
        <v>641</v>
      </c>
      <c r="D289" s="136" t="s">
        <v>642</v>
      </c>
      <c r="E289" s="132">
        <v>6</v>
      </c>
      <c r="F289" s="85" t="s">
        <v>266</v>
      </c>
      <c r="G289" s="28">
        <f ca="1">H289*0.9</f>
        <v>9.9</v>
      </c>
      <c r="H289" s="133">
        <v>11</v>
      </c>
      <c r="I289" s="133">
        <v>21.99</v>
      </c>
      <c r="J289" s="133">
        <v>21.99</v>
      </c>
      <c r="K289" s="218"/>
      <c r="L289" s="14"/>
      <c r="M289" s="42"/>
      <c r="N289" s="31">
        <f ca="1">M289*0.78</f>
        <v>0</v>
      </c>
      <c r="O289" s="31">
        <f ca="1">N289/0.7</f>
        <v>0</v>
      </c>
      <c r="P289" s="31">
        <f ca="1">N289*0.9</f>
        <v>0</v>
      </c>
      <c r="R289" s="174"/>
      <c r="S289" s="174"/>
      <c r="T289" s="4"/>
      <c r="U289" s="175">
        <f ca="1">I289</f>
        <v>21.99</v>
      </c>
      <c r="V289" s="175"/>
      <c r="W289" s="175">
        <f ca="1">H289*1.05</f>
        <v>11.55</v>
      </c>
      <c r="X289" s="175">
        <f ca="1">W289*0.9</f>
        <v>10.395000000000001</v>
      </c>
      <c r="Y289" s="176">
        <f ca="1">(U289-W289)/U289</f>
        <v>0.47476125511596173</v>
      </c>
      <c r="Z289" s="184" t="e">
        <f ca="1">(V289-W289)/V289</f>
        <v>#DIV/0!</v>
      </c>
      <c r="AB289" s="4"/>
      <c r="AC289" s="4"/>
      <c r="AD289" s="4"/>
      <c r="AE289" s="4"/>
      <c r="AF289" s="4"/>
      <c r="AG289" s="4"/>
      <c r="AH289" s="4"/>
      <c r="AI289" s="4"/>
      <c r="AJ289" s="4"/>
    </row>
    <row r="290" spans="2:36" s="15" customFormat="1" customHeight="1">
      <c r="B290" s="126"/>
      <c r="C290" s="67"/>
      <c r="D290" s="138"/>
      <c r="E290" s="45"/>
      <c r="F290" s="45"/>
      <c r="G290" s="46"/>
      <c r="H290" s="46"/>
      <c r="I290" s="46"/>
      <c r="J290" s="46"/>
      <c r="K290" s="105"/>
      <c r="L290" s="14"/>
      <c r="M290" s="42"/>
      <c r="N290" s="31"/>
      <c r="O290" s="31"/>
      <c r="P290" s="31"/>
      <c r="R290" s="174"/>
      <c r="S290" s="174"/>
      <c r="T290" s="4"/>
      <c r="U290" s="175"/>
      <c r="V290" s="175"/>
      <c r="W290" s="175"/>
      <c r="X290" s="175"/>
      <c r="Y290" s="176"/>
      <c r="Z290" s="184"/>
      <c r="AB290" s="4"/>
      <c r="AC290" s="4"/>
      <c r="AD290" s="4"/>
      <c r="AE290" s="4"/>
      <c r="AF290" s="4"/>
      <c r="AG290" s="4"/>
      <c r="AH290" s="4"/>
      <c r="AI290" s="4"/>
      <c r="AJ290" s="4"/>
    </row>
    <row r="291" spans="2:36" s="15" customFormat="1" customHeight="1">
      <c r="B291" s="20" t="s">
        <v>643</v>
      </c>
      <c r="C291" s="309"/>
      <c r="D291" s="140"/>
      <c r="E291" s="21"/>
      <c r="F291" s="21"/>
      <c r="G291" s="22"/>
      <c r="H291" s="22"/>
      <c r="I291" s="47"/>
      <c r="J291" s="47"/>
      <c r="K291" s="212"/>
      <c r="L291" s="14"/>
      <c r="M291" s="42"/>
      <c r="N291" s="31"/>
      <c r="O291" s="31"/>
      <c r="P291" s="31"/>
      <c r="R291" s="174"/>
      <c r="S291" s="174"/>
      <c r="T291" s="4"/>
      <c r="U291" s="175"/>
      <c r="V291" s="175"/>
      <c r="W291" s="175"/>
      <c r="X291" s="175"/>
      <c r="Y291" s="176"/>
      <c r="Z291" s="184"/>
      <c r="AB291" s="4"/>
      <c r="AC291" s="4"/>
      <c r="AD291" s="4"/>
      <c r="AE291" s="4"/>
      <c r="AF291" s="4"/>
      <c r="AG291" s="4"/>
      <c r="AH291" s="4"/>
      <c r="AI291" s="4"/>
      <c r="AJ291" s="4"/>
    </row>
    <row r="292" spans="2:36" s="15" customFormat="1" customHeight="1">
      <c r="B292" s="147" t="s">
        <v>644</v>
      </c>
      <c r="C292" s="26" t="s">
        <v>645</v>
      </c>
      <c r="D292" s="148" t="s">
        <v>646</v>
      </c>
      <c r="E292" s="79" t="s">
        <v>266</v>
      </c>
      <c r="F292" s="68">
        <v>20</v>
      </c>
      <c r="G292" s="28">
        <f ca="1">H292*0.9</f>
        <v>4.428</v>
      </c>
      <c r="H292" s="28">
        <v>4.92</v>
      </c>
      <c r="I292" s="149">
        <v>9.99</v>
      </c>
      <c r="J292" s="149">
        <v>9.99</v>
      </c>
      <c r="K292" s="220"/>
      <c r="L292" s="14"/>
      <c r="M292" s="42"/>
      <c r="N292" s="31">
        <f ca="1">M292*0.78</f>
        <v>0</v>
      </c>
      <c r="O292" s="31">
        <f ca="1">N292/0.7</f>
        <v>0</v>
      </c>
      <c r="P292" s="31">
        <f ca="1">N292*0.9</f>
        <v>0</v>
      </c>
      <c r="R292" s="174"/>
      <c r="S292" s="174"/>
      <c r="T292" s="4"/>
      <c r="U292" s="175">
        <f ca="1">I292</f>
        <v>9.99</v>
      </c>
      <c r="V292" s="175"/>
      <c r="W292" s="175">
        <f ca="1">H292*1.05</f>
        <v>5.166</v>
      </c>
      <c r="X292" s="175">
        <f ca="1">W292*0.9</f>
        <v>4.649400000000001</v>
      </c>
      <c r="Y292" s="176">
        <f ca="1">(U292-W292)/U292</f>
        <v>0.48288288288288284</v>
      </c>
      <c r="Z292" s="184" t="e">
        <f ca="1">(V292-W292)/V292</f>
        <v>#DIV/0!</v>
      </c>
      <c r="AB292" s="4"/>
      <c r="AC292" s="4"/>
      <c r="AD292" s="4"/>
      <c r="AE292" s="4"/>
      <c r="AF292" s="4"/>
      <c r="AG292" s="4"/>
      <c r="AH292" s="4"/>
      <c r="AI292" s="4"/>
      <c r="AJ292" s="4"/>
    </row>
    <row r="293" spans="2:36" s="15" customFormat="1" customHeight="1">
      <c r="B293" s="150" t="s">
        <v>647</v>
      </c>
      <c r="C293" s="34" t="s">
        <v>648</v>
      </c>
      <c r="D293" s="143" t="s">
        <v>649</v>
      </c>
      <c r="E293" s="85" t="s">
        <v>266</v>
      </c>
      <c r="F293" s="37">
        <v>20</v>
      </c>
      <c r="G293" s="28">
        <f ca="1">H293*0.9</f>
        <v>4.293</v>
      </c>
      <c r="H293" s="36">
        <v>4.77</v>
      </c>
      <c r="I293" s="151">
        <v>9.99</v>
      </c>
      <c r="J293" s="151">
        <v>9.99</v>
      </c>
      <c r="K293" s="220"/>
      <c r="L293" s="14"/>
      <c r="M293" s="42"/>
      <c r="N293" s="31">
        <f ca="1">M293*0.78</f>
        <v>0</v>
      </c>
      <c r="O293" s="31">
        <f ca="1">N293/0.7</f>
        <v>0</v>
      </c>
      <c r="P293" s="31">
        <f ca="1">N293*0.9</f>
        <v>0</v>
      </c>
      <c r="R293" s="174"/>
      <c r="S293" s="174"/>
      <c r="T293" s="4"/>
      <c r="U293" s="175">
        <f ca="1">I293</f>
        <v>9.99</v>
      </c>
      <c r="V293" s="175"/>
      <c r="W293" s="175">
        <f ca="1">H293*1.05</f>
        <v>5.0085</v>
      </c>
      <c r="X293" s="175">
        <f ca="1">W293*0.9</f>
        <v>4.50765</v>
      </c>
      <c r="Y293" s="176">
        <f ca="1">(U293-W293)/U293</f>
        <v>0.49864864864864866</v>
      </c>
      <c r="Z293" s="184" t="e">
        <f ca="1">(V293-W293)/V293</f>
        <v>#DIV/0!</v>
      </c>
      <c r="AB293" s="4"/>
      <c r="AC293" s="4"/>
      <c r="AD293" s="4"/>
      <c r="AE293" s="4"/>
      <c r="AF293" s="4"/>
      <c r="AG293" s="4"/>
      <c r="AH293" s="4"/>
      <c r="AI293" s="4"/>
      <c r="AJ293" s="4"/>
    </row>
    <row r="294" spans="2:36" s="15" customFormat="1" customHeight="1">
      <c r="B294" s="150" t="s">
        <v>650</v>
      </c>
      <c r="C294" s="34" t="s">
        <v>651</v>
      </c>
      <c r="D294" s="143" t="s">
        <v>652</v>
      </c>
      <c r="E294" s="85" t="s">
        <v>266</v>
      </c>
      <c r="F294" s="37">
        <v>20</v>
      </c>
      <c r="G294" s="28">
        <f ca="1">H294*0.9</f>
        <v>1.818</v>
      </c>
      <c r="H294" s="36">
        <v>2.02</v>
      </c>
      <c r="I294" s="151">
        <v>3.99</v>
      </c>
      <c r="J294" s="151">
        <v>3.99</v>
      </c>
      <c r="K294" s="220"/>
      <c r="L294" s="14"/>
      <c r="M294" s="42"/>
      <c r="N294" s="31">
        <f ca="1">M294*0.78</f>
        <v>0</v>
      </c>
      <c r="O294" s="31">
        <f ca="1">N294/0.7</f>
        <v>0</v>
      </c>
      <c r="P294" s="31">
        <f ca="1">N294*0.9</f>
        <v>0</v>
      </c>
      <c r="R294" s="174"/>
      <c r="S294" s="174"/>
      <c r="T294" s="4"/>
      <c r="U294" s="175">
        <f ca="1">I294</f>
        <v>3.99</v>
      </c>
      <c r="V294" s="175"/>
      <c r="W294" s="175">
        <f ca="1">H294*1.05</f>
        <v>2.121</v>
      </c>
      <c r="X294" s="175">
        <f ca="1">W294*0.9</f>
        <v>1.9089</v>
      </c>
      <c r="Y294" s="176">
        <f ca="1">(U294-W294)/U294</f>
        <v>0.46842105263157896</v>
      </c>
      <c r="Z294" s="184" t="e">
        <f ca="1">(V294-W294)/V294</f>
        <v>#DIV/0!</v>
      </c>
      <c r="AB294" s="4"/>
      <c r="AC294" s="4"/>
      <c r="AD294" s="4"/>
      <c r="AE294" s="4"/>
      <c r="AF294" s="4"/>
      <c r="AG294" s="4"/>
      <c r="AH294" s="4"/>
      <c r="AI294" s="4"/>
      <c r="AJ294" s="4"/>
    </row>
    <row r="295" spans="2:36" s="15" customFormat="1" customHeight="1">
      <c r="B295" s="150" t="s">
        <v>653</v>
      </c>
      <c r="C295" s="34" t="s">
        <v>654</v>
      </c>
      <c r="D295" s="143" t="s">
        <v>655</v>
      </c>
      <c r="E295" s="85" t="s">
        <v>266</v>
      </c>
      <c r="F295" s="37">
        <v>20</v>
      </c>
      <c r="G295" s="28">
        <f ca="1">H295*0.9</f>
        <v>1.215</v>
      </c>
      <c r="H295" s="36">
        <v>1.35</v>
      </c>
      <c r="I295" s="151">
        <v>2.99</v>
      </c>
      <c r="J295" s="151">
        <v>2.99</v>
      </c>
      <c r="K295" s="220"/>
      <c r="L295" s="14"/>
      <c r="M295" s="42"/>
      <c r="N295" s="31">
        <f ca="1">M295*0.78</f>
        <v>0</v>
      </c>
      <c r="O295" s="31">
        <f ca="1">N295/0.7</f>
        <v>0</v>
      </c>
      <c r="P295" s="31">
        <f ca="1">N295*0.9</f>
        <v>0</v>
      </c>
      <c r="R295" s="174"/>
      <c r="S295" s="174"/>
      <c r="T295" s="4"/>
      <c r="U295" s="175">
        <f ca="1">I295</f>
        <v>2.99</v>
      </c>
      <c r="V295" s="175"/>
      <c r="W295" s="175">
        <f ca="1">H295*1.05</f>
        <v>1.4175000000000002</v>
      </c>
      <c r="X295" s="175">
        <f ca="1">W295*0.9</f>
        <v>1.2757500000000002</v>
      </c>
      <c r="Y295" s="176">
        <f ca="1">(U295-W295)/U295</f>
        <v>0.5259197324414715</v>
      </c>
      <c r="Z295" s="184" t="e">
        <f ca="1">(V295-W295)/V295</f>
        <v>#DIV/0!</v>
      </c>
      <c r="AB295" s="4"/>
      <c r="AC295" s="4"/>
      <c r="AD295" s="4"/>
      <c r="AE295" s="4"/>
      <c r="AF295" s="4"/>
      <c r="AG295" s="4"/>
      <c r="AH295" s="4"/>
      <c r="AI295" s="4"/>
      <c r="AJ295" s="4"/>
    </row>
    <row r="296" spans="2:36" s="15" customFormat="1" customHeight="1">
      <c r="B296" s="150" t="s">
        <v>656</v>
      </c>
      <c r="C296" s="34" t="s">
        <v>657</v>
      </c>
      <c r="D296" s="143" t="s">
        <v>658</v>
      </c>
      <c r="E296" s="85" t="s">
        <v>266</v>
      </c>
      <c r="F296" s="37">
        <v>20</v>
      </c>
      <c r="G296" s="28">
        <f ca="1">H296*0.9</f>
        <v>2.907</v>
      </c>
      <c r="H296" s="36">
        <v>3.23</v>
      </c>
      <c r="I296" s="151">
        <v>6.99</v>
      </c>
      <c r="J296" s="151">
        <v>6.99</v>
      </c>
      <c r="K296" s="220"/>
      <c r="L296" s="14"/>
      <c r="M296" s="42"/>
      <c r="N296" s="31">
        <f ca="1">M296*0.78</f>
        <v>0</v>
      </c>
      <c r="O296" s="31">
        <f ca="1">N296/0.7</f>
        <v>0</v>
      </c>
      <c r="P296" s="31">
        <f ca="1">N296*0.9</f>
        <v>0</v>
      </c>
      <c r="R296" s="174"/>
      <c r="S296" s="174"/>
      <c r="T296" s="4"/>
      <c r="U296" s="175">
        <f ca="1">I296</f>
        <v>6.99</v>
      </c>
      <c r="V296" s="175"/>
      <c r="W296" s="175">
        <f ca="1">H296*1.05</f>
        <v>3.3915</v>
      </c>
      <c r="X296" s="175">
        <f ca="1">W296*0.9</f>
        <v>3.05235</v>
      </c>
      <c r="Y296" s="176">
        <f ca="1">(U296-W296)/U296</f>
        <v>0.5148068669527897</v>
      </c>
      <c r="Z296" s="184" t="e">
        <f ca="1">(V296-W296)/V296</f>
        <v>#DIV/0!</v>
      </c>
      <c r="AB296" s="4"/>
      <c r="AC296" s="4"/>
      <c r="AD296" s="4"/>
      <c r="AE296" s="4"/>
      <c r="AF296" s="4"/>
      <c r="AG296" s="4"/>
      <c r="AH296" s="4"/>
      <c r="AI296" s="4"/>
      <c r="AJ296" s="4"/>
    </row>
    <row r="297" spans="2:36" s="15" customFormat="1" customHeight="1">
      <c r="B297" s="150" t="s">
        <v>659</v>
      </c>
      <c r="C297" s="34" t="s">
        <v>660</v>
      </c>
      <c r="D297" s="143" t="s">
        <v>661</v>
      </c>
      <c r="E297" s="85" t="s">
        <v>266</v>
      </c>
      <c r="F297" s="37">
        <v>20</v>
      </c>
      <c r="G297" s="28">
        <f ca="1">H297*0.9</f>
        <v>3.636</v>
      </c>
      <c r="H297" s="36">
        <v>4.04</v>
      </c>
      <c r="I297" s="151">
        <v>7.99</v>
      </c>
      <c r="J297" s="151">
        <v>7.99</v>
      </c>
      <c r="K297" s="220"/>
      <c r="L297" s="14"/>
      <c r="M297" s="42"/>
      <c r="N297" s="31">
        <f ca="1">M297*0.78</f>
        <v>0</v>
      </c>
      <c r="O297" s="31">
        <f ca="1">N297/0.7</f>
        <v>0</v>
      </c>
      <c r="P297" s="31">
        <f ca="1">N297*0.9</f>
        <v>0</v>
      </c>
      <c r="R297" s="174"/>
      <c r="S297" s="174"/>
      <c r="T297" s="4"/>
      <c r="U297" s="175">
        <f ca="1">I297</f>
        <v>7.99</v>
      </c>
      <c r="V297" s="175"/>
      <c r="W297" s="175">
        <f ca="1">H297*1.05</f>
        <v>4.242</v>
      </c>
      <c r="X297" s="175">
        <f ca="1">W297*0.9</f>
        <v>3.8178</v>
      </c>
      <c r="Y297" s="176">
        <f ca="1">(U297-W297)/U297</f>
        <v>0.4690863579474343</v>
      </c>
      <c r="Z297" s="184" t="e">
        <f ca="1">(V297-W297)/V297</f>
        <v>#DIV/0!</v>
      </c>
      <c r="AB297" s="4"/>
      <c r="AC297" s="4"/>
      <c r="AD297" s="4"/>
      <c r="AE297" s="4"/>
      <c r="AF297" s="4"/>
      <c r="AG297" s="4"/>
      <c r="AH297" s="4"/>
      <c r="AI297" s="4"/>
      <c r="AJ297" s="4"/>
    </row>
    <row r="298" spans="2:36" s="15" customFormat="1" customHeight="1">
      <c r="B298" s="150" t="s">
        <v>662</v>
      </c>
      <c r="C298" s="34" t="s">
        <v>663</v>
      </c>
      <c r="D298" s="143" t="s">
        <v>664</v>
      </c>
      <c r="E298" s="85" t="s">
        <v>266</v>
      </c>
      <c r="F298" s="37">
        <v>20</v>
      </c>
      <c r="G298" s="28">
        <f ca="1">H298*0.9</f>
        <v>3.6630000000000003</v>
      </c>
      <c r="H298" s="36">
        <v>4.07</v>
      </c>
      <c r="I298" s="151">
        <v>7.99</v>
      </c>
      <c r="J298" s="151">
        <v>7.99</v>
      </c>
      <c r="K298" s="220"/>
      <c r="L298" s="14"/>
      <c r="M298" s="42"/>
      <c r="N298" s="31">
        <f ca="1">M298*0.78</f>
        <v>0</v>
      </c>
      <c r="O298" s="31">
        <f ca="1">N298/0.7</f>
        <v>0</v>
      </c>
      <c r="P298" s="31">
        <f ca="1">N298*0.9</f>
        <v>0</v>
      </c>
      <c r="R298" s="174"/>
      <c r="S298" s="174"/>
      <c r="T298" s="4"/>
      <c r="U298" s="175">
        <f ca="1">I298</f>
        <v>7.99</v>
      </c>
      <c r="V298" s="175"/>
      <c r="W298" s="175">
        <f ca="1">H298*1.05</f>
        <v>4.2735</v>
      </c>
      <c r="X298" s="175">
        <f ca="1">W298*0.9</f>
        <v>3.84615</v>
      </c>
      <c r="Y298" s="176">
        <f ca="1">(U298-W298)/U298</f>
        <v>0.46514392991239045</v>
      </c>
      <c r="Z298" s="184" t="e">
        <f ca="1">(V298-W298)/V298</f>
        <v>#DIV/0!</v>
      </c>
      <c r="AB298" s="4"/>
      <c r="AC298" s="4"/>
      <c r="AD298" s="4"/>
      <c r="AE298" s="4"/>
      <c r="AF298" s="4"/>
      <c r="AG298" s="4"/>
      <c r="AH298" s="4"/>
      <c r="AI298" s="4"/>
      <c r="AJ298" s="4"/>
    </row>
    <row r="299" spans="2:36" s="15" customFormat="1" customHeight="1">
      <c r="B299" s="150" t="s">
        <v>665</v>
      </c>
      <c r="C299" s="34" t="s">
        <v>663</v>
      </c>
      <c r="D299" s="143" t="s">
        <v>666</v>
      </c>
      <c r="E299" s="85" t="s">
        <v>266</v>
      </c>
      <c r="F299" s="37">
        <v>20</v>
      </c>
      <c r="G299" s="28">
        <f ca="1">H299*0.9</f>
        <v>4.742999999999999</v>
      </c>
      <c r="H299" s="36">
        <v>5.27</v>
      </c>
      <c r="I299" s="151">
        <v>9.99</v>
      </c>
      <c r="J299" s="151">
        <v>9.99</v>
      </c>
      <c r="K299" s="220"/>
      <c r="L299" s="14"/>
      <c r="M299" s="42"/>
      <c r="N299" s="31">
        <f ca="1">M299*0.78</f>
        <v>0</v>
      </c>
      <c r="O299" s="31">
        <f ca="1">N299/0.7</f>
        <v>0</v>
      </c>
      <c r="P299" s="31">
        <f ca="1">N299*0.9</f>
        <v>0</v>
      </c>
      <c r="R299" s="174"/>
      <c r="S299" s="174"/>
      <c r="T299" s="4"/>
      <c r="U299" s="175">
        <f ca="1">I299</f>
        <v>9.99</v>
      </c>
      <c r="V299" s="175"/>
      <c r="W299" s="175">
        <f ca="1">H299*1.05</f>
        <v>5.5335</v>
      </c>
      <c r="X299" s="175">
        <f ca="1">W299*0.9</f>
        <v>4.98015</v>
      </c>
      <c r="Y299" s="176">
        <f ca="1">(U299-W299)/U299</f>
        <v>0.4460960960960961</v>
      </c>
      <c r="Z299" s="184" t="e">
        <f ca="1">(V299-W299)/V299</f>
        <v>#DIV/0!</v>
      </c>
      <c r="AB299" s="4"/>
      <c r="AC299" s="4"/>
      <c r="AD299" s="4"/>
      <c r="AE299" s="4"/>
      <c r="AF299" s="4"/>
      <c r="AG299" s="4"/>
      <c r="AH299" s="4"/>
      <c r="AI299" s="4"/>
      <c r="AJ299" s="4"/>
    </row>
    <row r="300" spans="2:36" s="15" customFormat="1" customHeight="1">
      <c r="B300" s="150" t="s">
        <v>667</v>
      </c>
      <c r="C300" s="34" t="s">
        <v>668</v>
      </c>
      <c r="D300" s="143" t="s">
        <v>669</v>
      </c>
      <c r="E300" s="85" t="s">
        <v>266</v>
      </c>
      <c r="F300" s="37">
        <v>20</v>
      </c>
      <c r="G300" s="28">
        <f ca="1">H300*0.9</f>
        <v>1.953</v>
      </c>
      <c r="H300" s="36">
        <v>2.17</v>
      </c>
      <c r="I300" s="151">
        <v>3.99</v>
      </c>
      <c r="J300" s="151">
        <v>3.99</v>
      </c>
      <c r="K300" s="220"/>
      <c r="L300" s="14"/>
      <c r="M300" s="42"/>
      <c r="N300" s="31">
        <f ca="1">M300*0.78</f>
        <v>0</v>
      </c>
      <c r="O300" s="31">
        <f ca="1">N300/0.7</f>
        <v>0</v>
      </c>
      <c r="P300" s="31">
        <f ca="1">N300*0.9</f>
        <v>0</v>
      </c>
      <c r="R300" s="174"/>
      <c r="S300" s="174"/>
      <c r="T300" s="4"/>
      <c r="U300" s="175">
        <f ca="1">I300</f>
        <v>3.99</v>
      </c>
      <c r="V300" s="175"/>
      <c r="W300" s="175">
        <f ca="1">H300*1.05</f>
        <v>2.2785</v>
      </c>
      <c r="X300" s="175">
        <f ca="1">W300*0.9</f>
        <v>2.05065</v>
      </c>
      <c r="Y300" s="176">
        <f ca="1">(U300-W300)/U300</f>
        <v>0.42894736842105263</v>
      </c>
      <c r="Z300" s="184" t="e">
        <f ca="1">(V300-W300)/V300</f>
        <v>#DIV/0!</v>
      </c>
      <c r="AB300" s="4"/>
      <c r="AC300" s="4"/>
      <c r="AD300" s="4"/>
      <c r="AE300" s="4"/>
      <c r="AF300" s="4"/>
      <c r="AG300" s="4"/>
      <c r="AH300" s="4"/>
      <c r="AI300" s="4"/>
      <c r="AJ300" s="4"/>
    </row>
    <row r="301" spans="2:36" s="15" customFormat="1" customHeight="1">
      <c r="B301" s="150" t="s">
        <v>670</v>
      </c>
      <c r="C301" s="34" t="s">
        <v>671</v>
      </c>
      <c r="D301" s="143" t="s">
        <v>672</v>
      </c>
      <c r="E301" s="85" t="s">
        <v>266</v>
      </c>
      <c r="F301" s="37">
        <v>20</v>
      </c>
      <c r="G301" s="28">
        <f ca="1">H301*0.9</f>
        <v>1.953</v>
      </c>
      <c r="H301" s="36">
        <v>2.17</v>
      </c>
      <c r="I301" s="151">
        <v>3.99</v>
      </c>
      <c r="J301" s="151">
        <v>3.99</v>
      </c>
      <c r="K301" s="220"/>
      <c r="L301" s="14"/>
      <c r="M301" s="42"/>
      <c r="N301" s="31">
        <f ca="1">M301*0.78</f>
        <v>0</v>
      </c>
      <c r="O301" s="31">
        <f ca="1">N301/0.7</f>
        <v>0</v>
      </c>
      <c r="P301" s="31">
        <f ca="1">N301*0.9</f>
        <v>0</v>
      </c>
      <c r="R301" s="174"/>
      <c r="S301" s="174"/>
      <c r="T301" s="4"/>
      <c r="U301" s="175">
        <f ca="1">I301</f>
        <v>3.99</v>
      </c>
      <c r="V301" s="175"/>
      <c r="W301" s="175">
        <f ca="1">H301*1.05</f>
        <v>2.2785</v>
      </c>
      <c r="X301" s="175">
        <f ca="1">W301*0.9</f>
        <v>2.05065</v>
      </c>
      <c r="Y301" s="176">
        <f ca="1">(U301-W301)/U301</f>
        <v>0.42894736842105263</v>
      </c>
      <c r="Z301" s="184" t="e">
        <f ca="1">(V301-W301)/V301</f>
        <v>#DIV/0!</v>
      </c>
      <c r="AB301" s="4"/>
      <c r="AC301" s="4"/>
      <c r="AD301" s="4"/>
      <c r="AE301" s="4"/>
      <c r="AF301" s="4"/>
      <c r="AG301" s="4"/>
      <c r="AH301" s="4"/>
      <c r="AI301" s="4"/>
      <c r="AJ301" s="4"/>
    </row>
    <row r="302" spans="2:36" s="15" customFormat="1" customHeight="1">
      <c r="B302" s="150" t="s">
        <v>673</v>
      </c>
      <c r="C302" s="34" t="s">
        <v>674</v>
      </c>
      <c r="D302" s="143" t="s">
        <v>675</v>
      </c>
      <c r="E302" s="85" t="s">
        <v>266</v>
      </c>
      <c r="F302" s="37">
        <v>80</v>
      </c>
      <c r="G302" s="28">
        <f ca="1">H302*0.9</f>
        <v>0.441</v>
      </c>
      <c r="H302" s="36">
        <v>0.49</v>
      </c>
      <c r="I302" s="151">
        <v>0.99</v>
      </c>
      <c r="J302" s="151">
        <v>0.99</v>
      </c>
      <c r="K302" s="220"/>
      <c r="L302" s="14"/>
      <c r="M302" s="42"/>
      <c r="N302" s="31">
        <f ca="1">M302*0.78</f>
        <v>0</v>
      </c>
      <c r="O302" s="31">
        <f ca="1">N302/0.7</f>
        <v>0</v>
      </c>
      <c r="P302" s="31">
        <f ca="1">N302*0.9</f>
        <v>0</v>
      </c>
      <c r="R302" s="174"/>
      <c r="S302" s="174"/>
      <c r="T302" s="4"/>
      <c r="U302" s="175">
        <f ca="1">I302</f>
        <v>0.99</v>
      </c>
      <c r="V302" s="175"/>
      <c r="W302" s="175">
        <f ca="1">H302*1.05</f>
        <v>0.5145</v>
      </c>
      <c r="X302" s="175">
        <f ca="1">W302*0.9</f>
        <v>0.46304999999999996</v>
      </c>
      <c r="Y302" s="176">
        <f ca="1">(U302-W302)/U302</f>
        <v>0.48030303030303034</v>
      </c>
      <c r="Z302" s="184" t="e">
        <f ca="1">(V302-W302)/V302</f>
        <v>#DIV/0!</v>
      </c>
      <c r="AB302" s="4"/>
      <c r="AC302" s="4"/>
      <c r="AD302" s="4"/>
      <c r="AE302" s="4"/>
      <c r="AF302" s="4"/>
      <c r="AG302" s="4"/>
      <c r="AH302" s="4"/>
      <c r="AI302" s="4"/>
      <c r="AJ302" s="4"/>
    </row>
    <row r="303" spans="2:36" s="15" customFormat="1" customHeight="1">
      <c r="B303" s="150" t="s">
        <v>676</v>
      </c>
      <c r="C303" s="34" t="s">
        <v>677</v>
      </c>
      <c r="D303" s="143" t="s">
        <v>678</v>
      </c>
      <c r="E303" s="85" t="s">
        <v>266</v>
      </c>
      <c r="F303" s="37">
        <v>20</v>
      </c>
      <c r="G303" s="28">
        <f ca="1">H303*0.9</f>
        <v>3.5730000000000004</v>
      </c>
      <c r="H303" s="151">
        <v>3.97</v>
      </c>
      <c r="I303" s="151">
        <v>7.99</v>
      </c>
      <c r="J303" s="151">
        <v>7.99</v>
      </c>
      <c r="K303" s="220"/>
      <c r="L303" s="14"/>
      <c r="M303" s="42"/>
      <c r="N303" s="31">
        <f ca="1">M303*0.78</f>
        <v>0</v>
      </c>
      <c r="O303" s="31">
        <f ca="1">N303/0.7</f>
        <v>0</v>
      </c>
      <c r="P303" s="31">
        <f ca="1">N303*0.9</f>
        <v>0</v>
      </c>
      <c r="R303" s="174"/>
      <c r="S303" s="174"/>
      <c r="T303" s="4"/>
      <c r="U303" s="175">
        <f ca="1">I303</f>
        <v>7.99</v>
      </c>
      <c r="V303" s="175"/>
      <c r="W303" s="175">
        <f ca="1">H303*1.05</f>
        <v>4.168500000000001</v>
      </c>
      <c r="X303" s="175">
        <f ca="1">W303*0.9</f>
        <v>3.7516500000000006</v>
      </c>
      <c r="Y303" s="176">
        <f ca="1">(U303-W303)/U303</f>
        <v>0.47828535669586975</v>
      </c>
      <c r="Z303" s="184" t="e">
        <f ca="1">(V303-W303)/V303</f>
        <v>#DIV/0!</v>
      </c>
      <c r="AB303" s="4"/>
      <c r="AC303" s="4"/>
      <c r="AD303" s="4"/>
      <c r="AE303" s="4"/>
      <c r="AF303" s="4"/>
      <c r="AG303" s="4"/>
      <c r="AH303" s="4"/>
      <c r="AI303" s="4"/>
      <c r="AJ303" s="4"/>
    </row>
    <row r="304" spans="2:36" s="15" customFormat="1" customHeight="1">
      <c r="B304" s="150" t="s">
        <v>679</v>
      </c>
      <c r="C304" s="34" t="s">
        <v>680</v>
      </c>
      <c r="D304" s="143" t="s">
        <v>681</v>
      </c>
      <c r="E304" s="85" t="s">
        <v>266</v>
      </c>
      <c r="F304" s="37">
        <v>6</v>
      </c>
      <c r="G304" s="28">
        <f ca="1">H304*0.9</f>
        <v>17.793</v>
      </c>
      <c r="H304" s="151">
        <v>19.77</v>
      </c>
      <c r="I304" s="151">
        <v>39.99</v>
      </c>
      <c r="J304" s="151">
        <v>39.99</v>
      </c>
      <c r="K304" s="220"/>
      <c r="L304" s="14"/>
      <c r="M304" s="42"/>
      <c r="N304" s="31">
        <f ca="1">M304*0.78</f>
        <v>0</v>
      </c>
      <c r="O304" s="31">
        <f ca="1">N304/0.7</f>
        <v>0</v>
      </c>
      <c r="P304" s="31">
        <f ca="1">N304*0.9</f>
        <v>0</v>
      </c>
      <c r="R304" s="174"/>
      <c r="S304" s="174"/>
      <c r="T304" s="4"/>
      <c r="U304" s="175">
        <f ca="1">I304</f>
        <v>39.99</v>
      </c>
      <c r="V304" s="175"/>
      <c r="W304" s="175">
        <f ca="1">H304*1.05</f>
        <v>20.7585</v>
      </c>
      <c r="X304" s="175">
        <f ca="1">W304*0.9</f>
        <v>18.682650000000002</v>
      </c>
      <c r="Y304" s="176">
        <f ca="1">(U304-W304)/U304</f>
        <v>0.48090772693173295</v>
      </c>
      <c r="Z304" s="184" t="e">
        <f ca="1">(V304-W304)/V304</f>
        <v>#DIV/0!</v>
      </c>
      <c r="AB304" s="4"/>
      <c r="AC304" s="4"/>
      <c r="AD304" s="4"/>
      <c r="AE304" s="4"/>
      <c r="AF304" s="4"/>
      <c r="AG304" s="4"/>
      <c r="AH304" s="4"/>
      <c r="AI304" s="4"/>
      <c r="AJ304" s="4"/>
    </row>
    <row r="305" spans="2:36" s="15" customFormat="1" customHeight="1">
      <c r="B305" s="150" t="s">
        <v>682</v>
      </c>
      <c r="C305" s="34" t="s">
        <v>683</v>
      </c>
      <c r="D305" s="143" t="s">
        <v>684</v>
      </c>
      <c r="E305" s="85" t="s">
        <v>266</v>
      </c>
      <c r="F305" s="37">
        <v>20</v>
      </c>
      <c r="G305" s="28">
        <f ca="1">H305*0.9</f>
        <v>7.173</v>
      </c>
      <c r="H305" s="151">
        <v>7.97</v>
      </c>
      <c r="I305" s="151">
        <v>15.99</v>
      </c>
      <c r="J305" s="151">
        <v>15.99</v>
      </c>
      <c r="K305" s="220"/>
      <c r="L305" s="14"/>
      <c r="M305" s="42"/>
      <c r="N305" s="31">
        <f ca="1">M305*0.78</f>
        <v>0</v>
      </c>
      <c r="O305" s="31">
        <f ca="1">N305/0.7</f>
        <v>0</v>
      </c>
      <c r="P305" s="31">
        <f ca="1">N305*0.9</f>
        <v>0</v>
      </c>
      <c r="R305" s="174"/>
      <c r="S305" s="174"/>
      <c r="T305" s="4"/>
      <c r="U305" s="175">
        <f ca="1">I305</f>
        <v>15.99</v>
      </c>
      <c r="V305" s="175"/>
      <c r="W305" s="175">
        <f ca="1">H305*1.05</f>
        <v>8.368500000000001</v>
      </c>
      <c r="X305" s="175">
        <f ca="1">W305*0.9</f>
        <v>7.531650000000001</v>
      </c>
      <c r="Y305" s="176">
        <f ca="1">(U305-W305)/U305</f>
        <v>0.4766416510318949</v>
      </c>
      <c r="Z305" s="184" t="e">
        <f ca="1">(V305-W305)/V305</f>
        <v>#DIV/0!</v>
      </c>
      <c r="AB305" s="4"/>
      <c r="AC305" s="4"/>
      <c r="AD305" s="4"/>
      <c r="AE305" s="4"/>
      <c r="AF305" s="4"/>
      <c r="AG305" s="4"/>
      <c r="AH305" s="4"/>
      <c r="AI305" s="4"/>
      <c r="AJ305" s="4"/>
    </row>
    <row r="306" spans="2:36" s="15" customFormat="1" customHeight="1">
      <c r="B306" s="150" t="s">
        <v>685</v>
      </c>
      <c r="C306" s="34" t="s">
        <v>686</v>
      </c>
      <c r="D306" s="143" t="s">
        <v>687</v>
      </c>
      <c r="E306" s="85" t="s">
        <v>266</v>
      </c>
      <c r="F306" s="37">
        <v>20</v>
      </c>
      <c r="G306" s="28">
        <f ca="1">H306*0.9</f>
        <v>4.032000000000001</v>
      </c>
      <c r="H306" s="151">
        <v>4.48</v>
      </c>
      <c r="I306" s="151">
        <v>8.99</v>
      </c>
      <c r="J306" s="151">
        <v>8.99</v>
      </c>
      <c r="K306" s="220"/>
      <c r="L306" s="14"/>
      <c r="M306" s="42"/>
      <c r="N306" s="31">
        <f ca="1">M306*0.78</f>
        <v>0</v>
      </c>
      <c r="O306" s="31">
        <f ca="1">N306/0.7</f>
        <v>0</v>
      </c>
      <c r="P306" s="31">
        <f ca="1">N306*0.9</f>
        <v>0</v>
      </c>
      <c r="R306" s="174"/>
      <c r="S306" s="174"/>
      <c r="T306" s="4"/>
      <c r="U306" s="175">
        <f ca="1">I306</f>
        <v>8.99</v>
      </c>
      <c r="V306" s="175"/>
      <c r="W306" s="175">
        <f ca="1">H306*1.05</f>
        <v>4.704000000000001</v>
      </c>
      <c r="X306" s="175">
        <f ca="1">W306*0.9</f>
        <v>4.233600000000001</v>
      </c>
      <c r="Y306" s="176">
        <f ca="1">(U306-W306)/U306</f>
        <v>0.47675194660734144</v>
      </c>
      <c r="Z306" s="184" t="e">
        <f ca="1">(V306-W306)/V306</f>
        <v>#DIV/0!</v>
      </c>
      <c r="AB306" s="4"/>
      <c r="AC306" s="4"/>
      <c r="AD306" s="4"/>
      <c r="AE306" s="4"/>
      <c r="AF306" s="4"/>
      <c r="AG306" s="4"/>
      <c r="AH306" s="4"/>
      <c r="AI306" s="4"/>
      <c r="AJ306" s="4"/>
    </row>
    <row r="307" spans="2:36" s="15" customFormat="1" customHeight="1">
      <c r="B307" s="143" t="s">
        <v>688</v>
      </c>
      <c r="C307" s="152" t="s">
        <v>689</v>
      </c>
      <c r="D307" s="143" t="s">
        <v>690</v>
      </c>
      <c r="E307" s="85" t="s">
        <v>266</v>
      </c>
      <c r="F307" s="143" t="s">
        <v>691</v>
      </c>
      <c r="G307" s="28">
        <f ca="1">H307*0.9</f>
        <v>3.1410000000000005</v>
      </c>
      <c r="H307" s="151">
        <v>3.49</v>
      </c>
      <c r="I307" s="151">
        <v>6.99</v>
      </c>
      <c r="J307" s="151">
        <v>6.99</v>
      </c>
      <c r="K307" s="220"/>
      <c r="L307" s="14"/>
      <c r="M307" s="42"/>
      <c r="N307" s="31">
        <f ca="1">M307*0.78</f>
        <v>0</v>
      </c>
      <c r="O307" s="31">
        <f ca="1">N307/0.7</f>
        <v>0</v>
      </c>
      <c r="P307" s="31">
        <f ca="1">N307*0.9</f>
        <v>0</v>
      </c>
      <c r="R307" s="174"/>
      <c r="S307" s="174"/>
      <c r="T307" s="4"/>
      <c r="U307" s="175">
        <f ca="1">I307</f>
        <v>6.99</v>
      </c>
      <c r="V307" s="175"/>
      <c r="W307" s="175">
        <f ca="1">H307*1.05</f>
        <v>3.6645000000000003</v>
      </c>
      <c r="X307" s="175">
        <f ca="1">W307*0.9</f>
        <v>3.2980500000000004</v>
      </c>
      <c r="Y307" s="176">
        <f ca="1">(U307-W307)/U307</f>
        <v>0.47575107296137337</v>
      </c>
      <c r="Z307" s="184" t="e">
        <f ca="1">(V307-W307)/V307</f>
        <v>#DIV/0!</v>
      </c>
      <c r="AB307" s="4"/>
      <c r="AC307" s="4"/>
      <c r="AD307" s="4"/>
      <c r="AE307" s="4"/>
      <c r="AF307" s="4"/>
      <c r="AG307" s="4"/>
      <c r="AH307" s="4"/>
      <c r="AI307" s="4"/>
      <c r="AJ307" s="4"/>
    </row>
    <row r="308" spans="2:36" s="15" customFormat="1" customHeight="1">
      <c r="B308" s="143" t="s">
        <v>692</v>
      </c>
      <c r="C308" s="152" t="s">
        <v>693</v>
      </c>
      <c r="D308" s="143" t="s">
        <v>694</v>
      </c>
      <c r="E308" s="85" t="s">
        <v>266</v>
      </c>
      <c r="F308" s="143" t="s">
        <v>695</v>
      </c>
      <c r="G308" s="28">
        <f ca="1">H308*0.9</f>
        <v>4.221</v>
      </c>
      <c r="H308" s="151">
        <v>4.69</v>
      </c>
      <c r="I308" s="151">
        <v>9.49</v>
      </c>
      <c r="J308" s="151">
        <v>9.49</v>
      </c>
      <c r="K308" s="220"/>
      <c r="L308" s="14"/>
      <c r="M308" s="42"/>
      <c r="N308" s="31">
        <f ca="1">M308*0.78</f>
        <v>0</v>
      </c>
      <c r="O308" s="31">
        <f ca="1">N308/0.7</f>
        <v>0</v>
      </c>
      <c r="P308" s="31">
        <f ca="1">N308*0.9</f>
        <v>0</v>
      </c>
      <c r="R308" s="174"/>
      <c r="S308" s="174"/>
      <c r="T308" s="4"/>
      <c r="U308" s="175">
        <f ca="1">I308</f>
        <v>9.49</v>
      </c>
      <c r="V308" s="175"/>
      <c r="W308" s="175">
        <f ca="1">H308*1.05</f>
        <v>4.924500000000001</v>
      </c>
      <c r="X308" s="175">
        <f ca="1">W308*0.9</f>
        <v>4.432050000000001</v>
      </c>
      <c r="Y308" s="176">
        <f ca="1">(U308-W308)/U308</f>
        <v>0.48108535300316113</v>
      </c>
      <c r="Z308" s="184" t="e">
        <f ca="1">(V308-W308)/V308</f>
        <v>#DIV/0!</v>
      </c>
      <c r="AB308" s="4"/>
      <c r="AC308" s="4"/>
      <c r="AD308" s="4"/>
      <c r="AE308" s="4"/>
      <c r="AF308" s="4"/>
      <c r="AG308" s="4"/>
      <c r="AH308" s="4"/>
      <c r="AI308" s="4"/>
      <c r="AJ308" s="4"/>
    </row>
    <row r="309" spans="2:36" s="15" customFormat="1" customHeight="1">
      <c r="B309" s="143" t="s">
        <v>696</v>
      </c>
      <c r="C309" s="152" t="s">
        <v>697</v>
      </c>
      <c r="D309" s="143" t="s">
        <v>698</v>
      </c>
      <c r="E309" s="85" t="s">
        <v>266</v>
      </c>
      <c r="F309" s="143" t="s">
        <v>699</v>
      </c>
      <c r="G309" s="28">
        <f ca="1">H309*0.9</f>
        <v>6.561</v>
      </c>
      <c r="H309" s="151">
        <v>7.29</v>
      </c>
      <c r="I309" s="151">
        <v>14.99</v>
      </c>
      <c r="J309" s="151">
        <v>14.99</v>
      </c>
      <c r="K309" s="220"/>
      <c r="L309" s="14"/>
      <c r="M309" s="42"/>
      <c r="N309" s="31">
        <f ca="1">M309*0.78</f>
        <v>0</v>
      </c>
      <c r="O309" s="31">
        <f ca="1">N309/0.7</f>
        <v>0</v>
      </c>
      <c r="P309" s="31">
        <f ca="1">N309*0.9</f>
        <v>0</v>
      </c>
      <c r="R309" s="174"/>
      <c r="S309" s="174"/>
      <c r="T309" s="4"/>
      <c r="U309" s="175">
        <f ca="1">I309</f>
        <v>14.99</v>
      </c>
      <c r="V309" s="175"/>
      <c r="W309" s="175">
        <f ca="1">H309*1.05</f>
        <v>7.6545000000000005</v>
      </c>
      <c r="X309" s="175">
        <f ca="1">W309*0.9</f>
        <v>6.889050000000001</v>
      </c>
      <c r="Y309" s="176">
        <f ca="1">(U309-W309)/U309</f>
        <v>0.4893595730486991</v>
      </c>
      <c r="Z309" s="184" t="e">
        <f ca="1">(V309-W309)/V309</f>
        <v>#DIV/0!</v>
      </c>
      <c r="AB309" s="4"/>
      <c r="AC309" s="4"/>
      <c r="AD309" s="4"/>
      <c r="AE309" s="4"/>
      <c r="AF309" s="4"/>
      <c r="AG309" s="4"/>
      <c r="AH309" s="4"/>
      <c r="AI309" s="4"/>
      <c r="AJ309" s="4"/>
    </row>
    <row r="310" spans="2:36" s="15" customFormat="1" customHeight="1">
      <c r="B310" s="143" t="s">
        <v>700</v>
      </c>
      <c r="C310" s="152" t="s">
        <v>701</v>
      </c>
      <c r="D310" s="143" t="s">
        <v>702</v>
      </c>
      <c r="E310" s="85" t="s">
        <v>266</v>
      </c>
      <c r="F310" s="143" t="s">
        <v>703</v>
      </c>
      <c r="G310" s="28">
        <f ca="1">H310*0.9</f>
        <v>9.891</v>
      </c>
      <c r="H310" s="151">
        <v>10.99</v>
      </c>
      <c r="I310" s="151">
        <v>21.99</v>
      </c>
      <c r="J310" s="151">
        <v>21.99</v>
      </c>
      <c r="K310" s="220"/>
      <c r="L310" s="14"/>
      <c r="M310" s="42"/>
      <c r="N310" s="31">
        <f ca="1">M310*0.78</f>
        <v>0</v>
      </c>
      <c r="O310" s="31">
        <f ca="1">N310/0.7</f>
        <v>0</v>
      </c>
      <c r="P310" s="31">
        <f ca="1">N310*0.9</f>
        <v>0</v>
      </c>
      <c r="R310" s="174"/>
      <c r="S310" s="174"/>
      <c r="T310" s="4"/>
      <c r="U310" s="175">
        <f ca="1">I310</f>
        <v>21.99</v>
      </c>
      <c r="V310" s="175"/>
      <c r="W310" s="175">
        <f ca="1">H310*1.05</f>
        <v>11.5395</v>
      </c>
      <c r="X310" s="175">
        <f ca="1">W310*0.9</f>
        <v>10.38555</v>
      </c>
      <c r="Y310" s="176">
        <f ca="1">(U310-W310)/U310</f>
        <v>0.47523874488403817</v>
      </c>
      <c r="Z310" s="184" t="e">
        <f ca="1">(V310-W310)/V310</f>
        <v>#DIV/0!</v>
      </c>
      <c r="AB310" s="4"/>
      <c r="AC310" s="4"/>
      <c r="AD310" s="4"/>
      <c r="AE310" s="4"/>
      <c r="AF310" s="4"/>
      <c r="AG310" s="4"/>
      <c r="AH310" s="4"/>
      <c r="AI310" s="4"/>
      <c r="AJ310" s="4"/>
    </row>
    <row r="311" spans="2:36" s="15" customFormat="1" customHeight="1">
      <c r="B311" s="143" t="s">
        <v>704</v>
      </c>
      <c r="C311" s="152" t="s">
        <v>705</v>
      </c>
      <c r="D311" s="143" t="s">
        <v>706</v>
      </c>
      <c r="E311" s="85" t="s">
        <v>266</v>
      </c>
      <c r="F311" s="143" t="s">
        <v>703</v>
      </c>
      <c r="G311" s="28">
        <f ca="1">H311*0.9</f>
        <v>8.901000000000002</v>
      </c>
      <c r="H311" s="151">
        <v>9.89</v>
      </c>
      <c r="I311" s="151">
        <v>19.99</v>
      </c>
      <c r="J311" s="151">
        <v>19.99</v>
      </c>
      <c r="K311" s="220"/>
      <c r="L311" s="14"/>
      <c r="M311" s="42"/>
      <c r="N311" s="31">
        <f ca="1">M311*0.78</f>
        <v>0</v>
      </c>
      <c r="O311" s="31">
        <f ca="1">N311/0.7</f>
        <v>0</v>
      </c>
      <c r="P311" s="31">
        <f ca="1">N311*0.9</f>
        <v>0</v>
      </c>
      <c r="R311" s="174"/>
      <c r="S311" s="174"/>
      <c r="T311" s="4"/>
      <c r="U311" s="175">
        <f ca="1">I311</f>
        <v>19.99</v>
      </c>
      <c r="V311" s="175"/>
      <c r="W311" s="175">
        <f ca="1">H311*1.05</f>
        <v>10.384500000000001</v>
      </c>
      <c r="X311" s="175">
        <f ca="1">W311*0.9</f>
        <v>9.346050000000002</v>
      </c>
      <c r="Y311" s="176">
        <f ca="1">(U311-W311)/U311</f>
        <v>0.4805152576288143</v>
      </c>
      <c r="Z311" s="184" t="e">
        <f ca="1">(V311-W311)/V311</f>
        <v>#DIV/0!</v>
      </c>
      <c r="AB311" s="4"/>
      <c r="AC311" s="4"/>
      <c r="AD311" s="4"/>
      <c r="AE311" s="4"/>
      <c r="AF311" s="4"/>
      <c r="AG311" s="4"/>
      <c r="AH311" s="4"/>
      <c r="AI311" s="4"/>
      <c r="AJ311" s="4"/>
    </row>
    <row r="312" spans="2:36" s="15" customFormat="1" customHeight="1">
      <c r="B312" s="143" t="s">
        <v>707</v>
      </c>
      <c r="C312" s="152" t="s">
        <v>708</v>
      </c>
      <c r="D312" s="143" t="s">
        <v>709</v>
      </c>
      <c r="E312" s="85" t="s">
        <v>266</v>
      </c>
      <c r="F312" s="143" t="s">
        <v>710</v>
      </c>
      <c r="G312" s="28">
        <f ca="1">H312*0.9</f>
        <v>2.1510000000000002</v>
      </c>
      <c r="H312" s="151">
        <v>2.39</v>
      </c>
      <c r="I312" s="151">
        <v>4.99</v>
      </c>
      <c r="J312" s="151">
        <v>4.99</v>
      </c>
      <c r="K312" s="220"/>
      <c r="L312" s="14"/>
      <c r="M312" s="42"/>
      <c r="N312" s="31">
        <f ca="1">M312*0.78</f>
        <v>0</v>
      </c>
      <c r="O312" s="31">
        <f ca="1">N312/0.7</f>
        <v>0</v>
      </c>
      <c r="P312" s="31">
        <f ca="1">N312*0.9</f>
        <v>0</v>
      </c>
      <c r="R312" s="174"/>
      <c r="S312" s="174"/>
      <c r="T312" s="4"/>
      <c r="U312" s="175">
        <f ca="1">I312</f>
        <v>4.99</v>
      </c>
      <c r="V312" s="175"/>
      <c r="W312" s="175">
        <f ca="1">H312*1.05</f>
        <v>2.5095</v>
      </c>
      <c r="X312" s="175">
        <f ca="1">W312*0.9</f>
        <v>2.25855</v>
      </c>
      <c r="Y312" s="176">
        <f ca="1">(U312-W312)/U312</f>
        <v>0.4970941883767535</v>
      </c>
      <c r="Z312" s="184" t="e">
        <f ca="1">(V312-W312)/V312</f>
        <v>#DIV/0!</v>
      </c>
      <c r="AB312" s="4"/>
      <c r="AC312" s="4"/>
      <c r="AD312" s="4"/>
      <c r="AE312" s="4"/>
      <c r="AF312" s="4"/>
      <c r="AG312" s="4"/>
      <c r="AH312" s="4"/>
      <c r="AI312" s="4"/>
      <c r="AJ312" s="4"/>
    </row>
    <row r="313" spans="2:36" s="15" customFormat="1" customHeight="1">
      <c r="B313" s="143" t="s">
        <v>711</v>
      </c>
      <c r="C313" s="152" t="s">
        <v>712</v>
      </c>
      <c r="D313" s="143" t="s">
        <v>713</v>
      </c>
      <c r="E313" s="85" t="s">
        <v>266</v>
      </c>
      <c r="F313" s="143" t="s">
        <v>710</v>
      </c>
      <c r="G313" s="28">
        <f ca="1">H313*0.9</f>
        <v>2.421</v>
      </c>
      <c r="H313" s="151">
        <v>2.69</v>
      </c>
      <c r="I313" s="151">
        <v>5.69</v>
      </c>
      <c r="J313" s="151">
        <v>5.69</v>
      </c>
      <c r="K313" s="220"/>
      <c r="L313" s="14"/>
      <c r="M313" s="42"/>
      <c r="N313" s="31">
        <f ca="1">M313*0.78</f>
        <v>0</v>
      </c>
      <c r="O313" s="31">
        <f ca="1">N313/0.7</f>
        <v>0</v>
      </c>
      <c r="P313" s="31">
        <f ca="1">N313*0.9</f>
        <v>0</v>
      </c>
      <c r="R313" s="174"/>
      <c r="S313" s="174"/>
      <c r="T313" s="4"/>
      <c r="U313" s="175">
        <f ca="1">I313</f>
        <v>5.69</v>
      </c>
      <c r="V313" s="175"/>
      <c r="W313" s="175">
        <f ca="1">H313*1.05</f>
        <v>2.8245</v>
      </c>
      <c r="X313" s="175">
        <f ca="1">W313*0.9</f>
        <v>2.54205</v>
      </c>
      <c r="Y313" s="176">
        <f ca="1">(U313-W313)/U313</f>
        <v>0.5036028119507909</v>
      </c>
      <c r="Z313" s="184" t="e">
        <f ca="1">(V313-W313)/V313</f>
        <v>#DIV/0!</v>
      </c>
      <c r="AB313" s="4"/>
      <c r="AC313" s="4"/>
      <c r="AD313" s="4"/>
      <c r="AE313" s="4"/>
      <c r="AF313" s="4"/>
      <c r="AG313" s="4"/>
      <c r="AH313" s="4"/>
      <c r="AI313" s="4"/>
      <c r="AJ313" s="4"/>
    </row>
    <row r="314" spans="2:36" s="15" customFormat="1" customHeight="1">
      <c r="B314" s="143" t="s">
        <v>714</v>
      </c>
      <c r="C314" s="152" t="s">
        <v>715</v>
      </c>
      <c r="D314" s="143" t="s">
        <v>716</v>
      </c>
      <c r="E314" s="85" t="s">
        <v>266</v>
      </c>
      <c r="F314" s="143" t="s">
        <v>691</v>
      </c>
      <c r="G314" s="28">
        <f ca="1">H314*0.9</f>
        <v>3.1410000000000005</v>
      </c>
      <c r="H314" s="151">
        <v>3.49</v>
      </c>
      <c r="I314" s="151">
        <v>6.99</v>
      </c>
      <c r="J314" s="151">
        <v>6.99</v>
      </c>
      <c r="K314" s="220"/>
      <c r="L314" s="14"/>
      <c r="M314" s="42"/>
      <c r="N314" s="31">
        <f ca="1">M314*0.78</f>
        <v>0</v>
      </c>
      <c r="O314" s="31">
        <f ca="1">N314/0.7</f>
        <v>0</v>
      </c>
      <c r="P314" s="31">
        <f ca="1">N314*0.9</f>
        <v>0</v>
      </c>
      <c r="R314" s="174"/>
      <c r="S314" s="174"/>
      <c r="T314" s="4"/>
      <c r="U314" s="175">
        <f ca="1">I314</f>
        <v>6.99</v>
      </c>
      <c r="V314" s="175"/>
      <c r="W314" s="175">
        <f ca="1">H314*1.05</f>
        <v>3.6645000000000003</v>
      </c>
      <c r="X314" s="175">
        <f ca="1">W314*0.9</f>
        <v>3.2980500000000004</v>
      </c>
      <c r="Y314" s="176">
        <f ca="1">(U314-W314)/U314</f>
        <v>0.47575107296137337</v>
      </c>
      <c r="Z314" s="184" t="e">
        <f ca="1">(V314-W314)/V314</f>
        <v>#DIV/0!</v>
      </c>
      <c r="AB314" s="4"/>
      <c r="AC314" s="4"/>
      <c r="AD314" s="4"/>
      <c r="AE314" s="4"/>
      <c r="AF314" s="4"/>
      <c r="AG314" s="4"/>
      <c r="AH314" s="4"/>
      <c r="AI314" s="4"/>
      <c r="AJ314" s="4"/>
    </row>
    <row r="315" spans="2:36" s="15" customFormat="1" customHeight="1">
      <c r="B315" s="143" t="s">
        <v>717</v>
      </c>
      <c r="C315" s="152" t="s">
        <v>718</v>
      </c>
      <c r="D315" s="143" t="s">
        <v>719</v>
      </c>
      <c r="E315" s="85" t="s">
        <v>266</v>
      </c>
      <c r="F315" s="143" t="s">
        <v>710</v>
      </c>
      <c r="G315" s="28">
        <f ca="1">H315*0.9</f>
        <v>2.6910000000000003</v>
      </c>
      <c r="H315" s="151">
        <v>2.99</v>
      </c>
      <c r="I315" s="151">
        <v>5.99</v>
      </c>
      <c r="J315" s="151">
        <v>5.99</v>
      </c>
      <c r="K315" s="220"/>
      <c r="L315" s="14"/>
      <c r="M315" s="42"/>
      <c r="N315" s="31">
        <f ca="1">M315*0.78</f>
        <v>0</v>
      </c>
      <c r="O315" s="31">
        <f ca="1">N315/0.7</f>
        <v>0</v>
      </c>
      <c r="P315" s="31">
        <f ca="1">N315*0.9</f>
        <v>0</v>
      </c>
      <c r="R315" s="174"/>
      <c r="S315" s="174"/>
      <c r="T315" s="4"/>
      <c r="U315" s="175">
        <f ca="1">I315</f>
        <v>5.99</v>
      </c>
      <c r="V315" s="175"/>
      <c r="W315" s="175">
        <f ca="1">H315*1.05</f>
        <v>3.1395000000000004</v>
      </c>
      <c r="X315" s="175">
        <f ca="1">W315*0.9</f>
        <v>2.8255500000000002</v>
      </c>
      <c r="Y315" s="176">
        <f ca="1">(U315-W315)/U315</f>
        <v>0.47587646076794654</v>
      </c>
      <c r="Z315" s="184" t="e">
        <f ca="1">(V315-W315)/V315</f>
        <v>#DIV/0!</v>
      </c>
      <c r="AB315" s="4"/>
      <c r="AC315" s="4"/>
      <c r="AD315" s="4"/>
      <c r="AE315" s="4"/>
      <c r="AF315" s="4"/>
      <c r="AG315" s="4"/>
      <c r="AH315" s="4"/>
      <c r="AI315" s="4"/>
      <c r="AJ315" s="4"/>
    </row>
    <row r="316" spans="2:36" s="15" customFormat="1" customHeight="1">
      <c r="B316" s="129" t="s">
        <v>720</v>
      </c>
      <c r="C316" s="145" t="s">
        <v>721</v>
      </c>
      <c r="D316" s="136" t="s">
        <v>722</v>
      </c>
      <c r="E316" s="85" t="s">
        <v>266</v>
      </c>
      <c r="F316" s="132">
        <v>15</v>
      </c>
      <c r="G316" s="28">
        <f ca="1">H316*0.9</f>
        <v>3.375</v>
      </c>
      <c r="H316" s="133">
        <v>3.75</v>
      </c>
      <c r="I316" s="133">
        <v>7.49</v>
      </c>
      <c r="J316" s="133">
        <v>7.49</v>
      </c>
      <c r="K316" s="218"/>
      <c r="L316" s="14"/>
      <c r="M316" s="42"/>
      <c r="N316" s="31">
        <f ca="1">M316*0.78</f>
        <v>0</v>
      </c>
      <c r="O316" s="31">
        <f ca="1">N316/0.7</f>
        <v>0</v>
      </c>
      <c r="P316" s="31">
        <f ca="1">N316*0.9</f>
        <v>0</v>
      </c>
      <c r="R316" s="174"/>
      <c r="S316" s="174"/>
      <c r="T316" s="4"/>
      <c r="U316" s="175">
        <f ca="1">I316</f>
        <v>7.49</v>
      </c>
      <c r="V316" s="175"/>
      <c r="W316" s="175">
        <f ca="1">H316*1.05</f>
        <v>3.9375</v>
      </c>
      <c r="X316" s="175">
        <f ca="1">W316*0.9</f>
        <v>3.54375</v>
      </c>
      <c r="Y316" s="176">
        <f ca="1">(U316-W316)/U316</f>
        <v>0.4742990654205608</v>
      </c>
      <c r="Z316" s="184" t="e">
        <f ca="1">(V316-W316)/V316</f>
        <v>#DIV/0!</v>
      </c>
      <c r="AB316" s="4"/>
      <c r="AC316" s="4"/>
      <c r="AD316" s="4"/>
      <c r="AE316" s="4"/>
      <c r="AF316" s="4"/>
      <c r="AG316" s="4"/>
      <c r="AH316" s="4"/>
      <c r="AI316" s="4"/>
      <c r="AJ316" s="4"/>
    </row>
    <row r="317" spans="2:36" s="15" customFormat="1" customHeight="1">
      <c r="B317" s="129" t="s">
        <v>723</v>
      </c>
      <c r="C317" s="145" t="s">
        <v>724</v>
      </c>
      <c r="D317" s="136" t="s">
        <v>725</v>
      </c>
      <c r="E317" s="85" t="s">
        <v>266</v>
      </c>
      <c r="F317" s="132">
        <v>8</v>
      </c>
      <c r="G317" s="28">
        <f ca="1">H317*0.9</f>
        <v>4.95</v>
      </c>
      <c r="H317" s="133">
        <v>5.5</v>
      </c>
      <c r="I317" s="133">
        <v>10.99</v>
      </c>
      <c r="J317" s="133">
        <v>10.99</v>
      </c>
      <c r="K317" s="218"/>
      <c r="L317" s="14"/>
      <c r="M317" s="42"/>
      <c r="N317" s="31">
        <f ca="1">M317*0.78</f>
        <v>0</v>
      </c>
      <c r="O317" s="31">
        <f ca="1">N317/0.7</f>
        <v>0</v>
      </c>
      <c r="P317" s="31">
        <f ca="1">N317*0.9</f>
        <v>0</v>
      </c>
      <c r="R317" s="174"/>
      <c r="S317" s="174"/>
      <c r="T317" s="4"/>
      <c r="U317" s="175">
        <f ca="1">I317</f>
        <v>10.99</v>
      </c>
      <c r="V317" s="175"/>
      <c r="W317" s="175">
        <f ca="1">H317*1.05</f>
        <v>5.775</v>
      </c>
      <c r="X317" s="175">
        <f ca="1">W317*0.9</f>
        <v>5.197500000000001</v>
      </c>
      <c r="Y317" s="176">
        <f ca="1">(U317-W317)/U317</f>
        <v>0.4745222929936305</v>
      </c>
      <c r="Z317" s="184" t="e">
        <f ca="1">(V317-W317)/V317</f>
        <v>#DIV/0!</v>
      </c>
      <c r="AB317" s="4"/>
      <c r="AC317" s="4"/>
      <c r="AD317" s="4"/>
      <c r="AE317" s="4"/>
      <c r="AF317" s="4"/>
      <c r="AG317" s="4"/>
      <c r="AH317" s="4"/>
      <c r="AI317" s="4"/>
      <c r="AJ317" s="4"/>
    </row>
    <row r="318" spans="2:36" s="15" customFormat="1" customHeight="1">
      <c r="B318" s="129" t="s">
        <v>726</v>
      </c>
      <c r="C318" s="145" t="s">
        <v>727</v>
      </c>
      <c r="D318" s="136" t="s">
        <v>728</v>
      </c>
      <c r="E318" s="85" t="s">
        <v>266</v>
      </c>
      <c r="F318" s="132">
        <v>6</v>
      </c>
      <c r="G318" s="28">
        <f ca="1">H318*0.9</f>
        <v>7.65</v>
      </c>
      <c r="H318" s="133">
        <v>8.5</v>
      </c>
      <c r="I318" s="133">
        <v>16.99</v>
      </c>
      <c r="J318" s="133">
        <v>16.99</v>
      </c>
      <c r="K318" s="218"/>
      <c r="L318" s="14"/>
      <c r="M318" s="42"/>
      <c r="N318" s="31">
        <f ca="1">M318*0.78</f>
        <v>0</v>
      </c>
      <c r="O318" s="31">
        <f ca="1">N318/0.7</f>
        <v>0</v>
      </c>
      <c r="P318" s="31">
        <f ca="1">N318*0.9</f>
        <v>0</v>
      </c>
      <c r="R318" s="174"/>
      <c r="S318" s="174"/>
      <c r="T318" s="4"/>
      <c r="U318" s="175">
        <f ca="1">I318</f>
        <v>16.99</v>
      </c>
      <c r="V318" s="175"/>
      <c r="W318" s="175">
        <f ca="1">H318*1.05</f>
        <v>8.925</v>
      </c>
      <c r="X318" s="175">
        <f ca="1">W318*0.9</f>
        <v>8.0325</v>
      </c>
      <c r="Y318" s="176">
        <f ca="1">(U318-W318)/U318</f>
        <v>0.47469099470276627</v>
      </c>
      <c r="Z318" s="184" t="e">
        <f ca="1">(V318-W318)/V318</f>
        <v>#DIV/0!</v>
      </c>
      <c r="AB318" s="4"/>
      <c r="AC318" s="4"/>
      <c r="AD318" s="4"/>
      <c r="AE318" s="4"/>
      <c r="AF318" s="4"/>
      <c r="AG318" s="4"/>
      <c r="AH318" s="4"/>
      <c r="AI318" s="4"/>
      <c r="AJ318" s="4"/>
    </row>
    <row r="319" spans="2:36" s="15" customFormat="1" customHeight="1">
      <c r="B319" s="129" t="s">
        <v>729</v>
      </c>
      <c r="C319" s="130" t="s">
        <v>730</v>
      </c>
      <c r="D319" s="134" t="s">
        <v>731</v>
      </c>
      <c r="E319" s="85" t="s">
        <v>266</v>
      </c>
      <c r="F319" s="132">
        <v>12</v>
      </c>
      <c r="G319" s="28">
        <f ca="1">H319*0.9</f>
        <v>2.475</v>
      </c>
      <c r="H319" s="133">
        <v>2.75</v>
      </c>
      <c r="I319" s="133">
        <v>5.49</v>
      </c>
      <c r="J319" s="133">
        <v>5.49</v>
      </c>
      <c r="K319" s="218"/>
      <c r="L319" s="14"/>
      <c r="M319" s="42"/>
      <c r="N319" s="31">
        <f ca="1">M319*0.78</f>
        <v>0</v>
      </c>
      <c r="O319" s="31">
        <f ca="1">N319/0.7</f>
        <v>0</v>
      </c>
      <c r="P319" s="31">
        <f ca="1">N319*0.9</f>
        <v>0</v>
      </c>
      <c r="R319" s="174"/>
      <c r="S319" s="174"/>
      <c r="T319" s="4"/>
      <c r="U319" s="175">
        <f ca="1">I319</f>
        <v>5.49</v>
      </c>
      <c r="V319" s="175"/>
      <c r="W319" s="175">
        <f ca="1">H319*1.05</f>
        <v>2.8875</v>
      </c>
      <c r="X319" s="175">
        <f ca="1">W319*0.9</f>
        <v>2.5987500000000003</v>
      </c>
      <c r="Y319" s="176">
        <f ca="1">(U319-W319)/U319</f>
        <v>0.4740437158469945</v>
      </c>
      <c r="Z319" s="184" t="e">
        <f ca="1">(V319-W319)/V319</f>
        <v>#DIV/0!</v>
      </c>
      <c r="AB319" s="4"/>
      <c r="AC319" s="4"/>
      <c r="AD319" s="4"/>
      <c r="AE319" s="4"/>
      <c r="AF319" s="4"/>
      <c r="AG319" s="4"/>
      <c r="AH319" s="4"/>
      <c r="AI319" s="4"/>
      <c r="AJ319" s="4"/>
    </row>
    <row r="320" spans="2:36" s="15" customFormat="1" customHeight="1">
      <c r="B320" s="129" t="s">
        <v>732</v>
      </c>
      <c r="C320" s="130" t="s">
        <v>733</v>
      </c>
      <c r="D320" s="134" t="s">
        <v>734</v>
      </c>
      <c r="E320" s="85" t="s">
        <v>266</v>
      </c>
      <c r="F320" s="132">
        <v>12</v>
      </c>
      <c r="G320" s="28">
        <f ca="1">H320*0.9</f>
        <v>2.25</v>
      </c>
      <c r="H320" s="133">
        <v>2.5</v>
      </c>
      <c r="I320" s="133">
        <v>4.99</v>
      </c>
      <c r="J320" s="133">
        <v>4.99</v>
      </c>
      <c r="K320" s="218"/>
      <c r="L320" s="14"/>
      <c r="M320" s="42"/>
      <c r="N320" s="31">
        <f ca="1">M320*0.78</f>
        <v>0</v>
      </c>
      <c r="O320" s="31">
        <f ca="1">N320/0.7</f>
        <v>0</v>
      </c>
      <c r="P320" s="31">
        <f ca="1">N320*0.9</f>
        <v>0</v>
      </c>
      <c r="R320" s="174"/>
      <c r="S320" s="174"/>
      <c r="T320" s="4"/>
      <c r="U320" s="175">
        <f ca="1">I320</f>
        <v>4.99</v>
      </c>
      <c r="V320" s="175"/>
      <c r="W320" s="175">
        <f ca="1">H320*1.05</f>
        <v>2.625</v>
      </c>
      <c r="X320" s="175">
        <f ca="1">W320*0.9</f>
        <v>2.3625000000000003</v>
      </c>
      <c r="Y320" s="176">
        <f ca="1">(U320-W320)/U320</f>
        <v>0.4739478957915832</v>
      </c>
      <c r="Z320" s="184" t="e">
        <f ca="1">(V320-W320)/V320</f>
        <v>#DIV/0!</v>
      </c>
      <c r="AB320" s="4"/>
      <c r="AC320" s="4"/>
      <c r="AD320" s="4"/>
      <c r="AE320" s="4"/>
      <c r="AF320" s="4"/>
      <c r="AG320" s="4"/>
      <c r="AH320" s="4"/>
      <c r="AI320" s="4"/>
      <c r="AJ320" s="4"/>
    </row>
    <row r="321" spans="2:36" s="15" customFormat="1" customHeight="1">
      <c r="B321" s="129" t="s">
        <v>735</v>
      </c>
      <c r="C321" s="130" t="s">
        <v>736</v>
      </c>
      <c r="D321" s="134" t="s">
        <v>737</v>
      </c>
      <c r="E321" s="85" t="s">
        <v>266</v>
      </c>
      <c r="F321" s="132">
        <v>12</v>
      </c>
      <c r="G321" s="28">
        <f ca="1">H321*0.9</f>
        <v>3.375</v>
      </c>
      <c r="H321" s="133">
        <v>3.75</v>
      </c>
      <c r="I321" s="133">
        <v>7.49</v>
      </c>
      <c r="J321" s="133">
        <v>7.49</v>
      </c>
      <c r="K321" s="218"/>
      <c r="L321" s="14"/>
      <c r="M321" s="42"/>
      <c r="N321" s="31">
        <f ca="1">M321*0.78</f>
        <v>0</v>
      </c>
      <c r="O321" s="31">
        <f ca="1">N321/0.7</f>
        <v>0</v>
      </c>
      <c r="P321" s="31">
        <f ca="1">N321*0.9</f>
        <v>0</v>
      </c>
      <c r="R321" s="174"/>
      <c r="S321" s="174"/>
      <c r="T321" s="4"/>
      <c r="U321" s="175">
        <f ca="1">I321</f>
        <v>7.49</v>
      </c>
      <c r="V321" s="175"/>
      <c r="W321" s="175">
        <f ca="1">H321*1.05</f>
        <v>3.9375</v>
      </c>
      <c r="X321" s="175">
        <f ca="1">W321*0.9</f>
        <v>3.54375</v>
      </c>
      <c r="Y321" s="176">
        <f ca="1">(U321-W321)/U321</f>
        <v>0.4742990654205608</v>
      </c>
      <c r="Z321" s="184" t="e">
        <f ca="1">(V321-W321)/V321</f>
        <v>#DIV/0!</v>
      </c>
      <c r="AB321" s="4"/>
      <c r="AC321" s="4"/>
      <c r="AD321" s="4"/>
      <c r="AE321" s="4"/>
      <c r="AF321" s="4"/>
      <c r="AG321" s="4"/>
      <c r="AH321" s="4"/>
      <c r="AI321" s="4"/>
      <c r="AJ321" s="4"/>
    </row>
    <row r="322" spans="2:36" s="15" customFormat="1" customHeight="1">
      <c r="B322" s="129" t="s">
        <v>738</v>
      </c>
      <c r="C322" s="130" t="s">
        <v>739</v>
      </c>
      <c r="D322" s="134" t="s">
        <v>740</v>
      </c>
      <c r="E322" s="85" t="s">
        <v>266</v>
      </c>
      <c r="F322" s="132">
        <v>12</v>
      </c>
      <c r="G322" s="28">
        <f ca="1">H322*0.9</f>
        <v>4.5</v>
      </c>
      <c r="H322" s="133">
        <v>5</v>
      </c>
      <c r="I322" s="133">
        <v>9.99</v>
      </c>
      <c r="J322" s="133">
        <v>9.99</v>
      </c>
      <c r="K322" s="218"/>
      <c r="L322" s="14"/>
      <c r="M322" s="42"/>
      <c r="N322" s="31">
        <f ca="1">M322*0.78</f>
        <v>0</v>
      </c>
      <c r="O322" s="31">
        <f ca="1">N322/0.7</f>
        <v>0</v>
      </c>
      <c r="P322" s="31">
        <f ca="1">N322*0.9</f>
        <v>0</v>
      </c>
      <c r="R322" s="174"/>
      <c r="S322" s="174"/>
      <c r="T322" s="4"/>
      <c r="U322" s="175">
        <f ca="1">I322</f>
        <v>9.99</v>
      </c>
      <c r="V322" s="175"/>
      <c r="W322" s="175">
        <f ca="1">H322*1.05</f>
        <v>5.25</v>
      </c>
      <c r="X322" s="175">
        <f ca="1">W322*0.9</f>
        <v>4.7250000000000005</v>
      </c>
      <c r="Y322" s="176">
        <f ca="1">(U322-W322)/U322</f>
        <v>0.4744744744744745</v>
      </c>
      <c r="Z322" s="184" t="e">
        <f ca="1">(V322-W322)/V322</f>
        <v>#DIV/0!</v>
      </c>
      <c r="AB322" s="4"/>
      <c r="AC322" s="4"/>
      <c r="AD322" s="4"/>
      <c r="AE322" s="4"/>
      <c r="AF322" s="4"/>
      <c r="AG322" s="4"/>
      <c r="AH322" s="4"/>
      <c r="AI322" s="4"/>
      <c r="AJ322" s="4"/>
    </row>
    <row r="323" spans="2:36" s="15" customFormat="1" customHeight="1">
      <c r="B323" s="129" t="s">
        <v>741</v>
      </c>
      <c r="C323" s="135" t="s">
        <v>742</v>
      </c>
      <c r="D323" s="137" t="s">
        <v>743</v>
      </c>
      <c r="E323" s="85" t="s">
        <v>266</v>
      </c>
      <c r="F323" s="132">
        <v>12</v>
      </c>
      <c r="G323" s="28">
        <f ca="1">H323*0.9</f>
        <v>1.935</v>
      </c>
      <c r="H323" s="133">
        <v>2.15</v>
      </c>
      <c r="I323" s="133">
        <v>4.29</v>
      </c>
      <c r="J323" s="133">
        <v>4.29</v>
      </c>
      <c r="K323" s="218"/>
      <c r="L323" s="14"/>
      <c r="M323" s="42"/>
      <c r="N323" s="31">
        <f ca="1">M323*0.78</f>
        <v>0</v>
      </c>
      <c r="O323" s="31">
        <f ca="1">N323/0.7</f>
        <v>0</v>
      </c>
      <c r="P323" s="31">
        <f ca="1">N323*0.9</f>
        <v>0</v>
      </c>
      <c r="R323" s="174"/>
      <c r="S323" s="174"/>
      <c r="T323" s="4"/>
      <c r="U323" s="175">
        <f ca="1">I323</f>
        <v>4.29</v>
      </c>
      <c r="V323" s="175"/>
      <c r="W323" s="175">
        <f ca="1">H323*1.05</f>
        <v>2.2575</v>
      </c>
      <c r="X323" s="175">
        <f ca="1">W323*0.9</f>
        <v>2.0317499999999997</v>
      </c>
      <c r="Y323" s="176">
        <f ca="1">(U323-W323)/U323</f>
        <v>0.4737762237762238</v>
      </c>
      <c r="Z323" s="184" t="e">
        <f ca="1">(V323-W323)/V323</f>
        <v>#DIV/0!</v>
      </c>
      <c r="AB323" s="4"/>
      <c r="AC323" s="4"/>
      <c r="AD323" s="4"/>
      <c r="AE323" s="4"/>
      <c r="AF323" s="4"/>
      <c r="AG323" s="4"/>
      <c r="AH323" s="4"/>
      <c r="AI323" s="4"/>
      <c r="AJ323" s="4"/>
    </row>
    <row r="324" spans="2:36" s="15" customFormat="1" customHeight="1">
      <c r="B324" s="129" t="s">
        <v>744</v>
      </c>
      <c r="C324" s="135" t="s">
        <v>745</v>
      </c>
      <c r="D324" s="137" t="s">
        <v>746</v>
      </c>
      <c r="E324" s="85" t="s">
        <v>266</v>
      </c>
      <c r="F324" s="132">
        <v>20</v>
      </c>
      <c r="G324" s="28">
        <f ca="1">H324*0.9</f>
        <v>1.26</v>
      </c>
      <c r="H324" s="133">
        <v>1.4</v>
      </c>
      <c r="I324" s="133">
        <v>2.79</v>
      </c>
      <c r="J324" s="133">
        <v>2.79</v>
      </c>
      <c r="K324" s="218"/>
      <c r="L324" s="14"/>
      <c r="M324" s="42"/>
      <c r="N324" s="31">
        <f ca="1">M324*0.78</f>
        <v>0</v>
      </c>
      <c r="O324" s="31">
        <f ca="1">N324/0.7</f>
        <v>0</v>
      </c>
      <c r="P324" s="31">
        <f ca="1">N324*0.9</f>
        <v>0</v>
      </c>
      <c r="R324" s="174"/>
      <c r="S324" s="174"/>
      <c r="T324" s="4"/>
      <c r="U324" s="175">
        <f ca="1">I324</f>
        <v>2.79</v>
      </c>
      <c r="V324" s="175"/>
      <c r="W324" s="175">
        <f ca="1">H324*1.05</f>
        <v>1.47</v>
      </c>
      <c r="X324" s="175">
        <f ca="1">W324*0.9</f>
        <v>1.323</v>
      </c>
      <c r="Y324" s="176">
        <f ca="1">(U324-W324)/U324</f>
        <v>0.4731182795698925</v>
      </c>
      <c r="Z324" s="184" t="e">
        <f ca="1">(V324-W324)/V324</f>
        <v>#DIV/0!</v>
      </c>
      <c r="AB324" s="4"/>
      <c r="AC324" s="4"/>
      <c r="AD324" s="4"/>
      <c r="AE324" s="4"/>
      <c r="AF324" s="4"/>
      <c r="AG324" s="4"/>
      <c r="AH324" s="4"/>
      <c r="AI324" s="4"/>
      <c r="AJ324" s="4"/>
    </row>
    <row r="325" spans="2:36" s="15" customFormat="1" customHeight="1">
      <c r="B325" s="129" t="s">
        <v>747</v>
      </c>
      <c r="C325" s="135" t="s">
        <v>748</v>
      </c>
      <c r="D325" s="137" t="s">
        <v>749</v>
      </c>
      <c r="E325" s="85" t="s">
        <v>266</v>
      </c>
      <c r="F325" s="132">
        <v>20</v>
      </c>
      <c r="G325" s="28">
        <f ca="1">H325*0.9</f>
        <v>1.26</v>
      </c>
      <c r="H325" s="133">
        <v>1.4</v>
      </c>
      <c r="I325" s="133">
        <v>2.79</v>
      </c>
      <c r="J325" s="133">
        <v>2.79</v>
      </c>
      <c r="K325" s="218"/>
      <c r="L325" s="14"/>
      <c r="M325" s="42"/>
      <c r="N325" s="31">
        <f ca="1">M325*0.78</f>
        <v>0</v>
      </c>
      <c r="O325" s="31">
        <f ca="1">N325/0.7</f>
        <v>0</v>
      </c>
      <c r="P325" s="31">
        <f ca="1">N325*0.9</f>
        <v>0</v>
      </c>
      <c r="R325" s="174"/>
      <c r="S325" s="174"/>
      <c r="T325" s="4"/>
      <c r="U325" s="175">
        <f ca="1">I325</f>
        <v>2.79</v>
      </c>
      <c r="V325" s="175"/>
      <c r="W325" s="175">
        <f ca="1">H325*1.05</f>
        <v>1.47</v>
      </c>
      <c r="X325" s="175">
        <f ca="1">W325*0.9</f>
        <v>1.323</v>
      </c>
      <c r="Y325" s="176">
        <f ca="1">(U325-W325)/U325</f>
        <v>0.4731182795698925</v>
      </c>
      <c r="Z325" s="184" t="e">
        <f ca="1">(V325-W325)/V325</f>
        <v>#DIV/0!</v>
      </c>
      <c r="AB325" s="4"/>
      <c r="AC325" s="4"/>
      <c r="AD325" s="4"/>
      <c r="AE325" s="4"/>
      <c r="AF325" s="4"/>
      <c r="AG325" s="4"/>
      <c r="AH325" s="4"/>
      <c r="AI325" s="4"/>
      <c r="AJ325" s="4"/>
    </row>
    <row r="326" spans="2:36" s="15" customFormat="1" customHeight="1">
      <c r="B326" s="129" t="s">
        <v>750</v>
      </c>
      <c r="C326" s="135" t="s">
        <v>751</v>
      </c>
      <c r="D326" s="137" t="s">
        <v>752</v>
      </c>
      <c r="E326" s="85" t="s">
        <v>266</v>
      </c>
      <c r="F326" s="132">
        <v>20</v>
      </c>
      <c r="G326" s="28">
        <f ca="1">H326*0.9</f>
        <v>1.26</v>
      </c>
      <c r="H326" s="133">
        <v>1.4</v>
      </c>
      <c r="I326" s="133">
        <v>2.79</v>
      </c>
      <c r="J326" s="133">
        <v>2.79</v>
      </c>
      <c r="K326" s="218"/>
      <c r="L326" s="14"/>
      <c r="M326" s="42"/>
      <c r="N326" s="31">
        <f ca="1">M326*0.78</f>
        <v>0</v>
      </c>
      <c r="O326" s="31">
        <f ca="1">N326/0.7</f>
        <v>0</v>
      </c>
      <c r="P326" s="31">
        <f ca="1">N326*0.9</f>
        <v>0</v>
      </c>
      <c r="R326" s="174"/>
      <c r="S326" s="174"/>
      <c r="T326" s="4"/>
      <c r="U326" s="175">
        <f ca="1">I326</f>
        <v>2.79</v>
      </c>
      <c r="V326" s="175"/>
      <c r="W326" s="175">
        <f ca="1">H326*1.05</f>
        <v>1.47</v>
      </c>
      <c r="X326" s="175">
        <f ca="1">W326*0.9</f>
        <v>1.323</v>
      </c>
      <c r="Y326" s="176">
        <f ca="1">(U326-W326)/U326</f>
        <v>0.4731182795698925</v>
      </c>
      <c r="Z326" s="184" t="e">
        <f ca="1">(V326-W326)/V326</f>
        <v>#DIV/0!</v>
      </c>
      <c r="AB326" s="4"/>
      <c r="AC326" s="4"/>
      <c r="AD326" s="4"/>
      <c r="AE326" s="4"/>
      <c r="AF326" s="4"/>
      <c r="AG326" s="4"/>
      <c r="AH326" s="4"/>
      <c r="AI326" s="4"/>
      <c r="AJ326" s="4"/>
    </row>
    <row r="327" spans="2:36" s="15" customFormat="1" customHeight="1">
      <c r="B327" s="129" t="s">
        <v>753</v>
      </c>
      <c r="C327" s="135" t="s">
        <v>754</v>
      </c>
      <c r="D327" s="137" t="s">
        <v>755</v>
      </c>
      <c r="E327" s="85" t="s">
        <v>266</v>
      </c>
      <c r="F327" s="132">
        <v>20</v>
      </c>
      <c r="G327" s="28">
        <f ca="1">H327*0.9</f>
        <v>1.71</v>
      </c>
      <c r="H327" s="133">
        <v>1.9</v>
      </c>
      <c r="I327" s="133">
        <v>3.79</v>
      </c>
      <c r="J327" s="133">
        <v>3.79</v>
      </c>
      <c r="K327" s="218"/>
      <c r="L327" s="14"/>
      <c r="M327" s="42"/>
      <c r="N327" s="31">
        <f ca="1">M327*0.78</f>
        <v>0</v>
      </c>
      <c r="O327" s="31">
        <f ca="1">N327/0.7</f>
        <v>0</v>
      </c>
      <c r="P327" s="31">
        <f ca="1">N327*0.9</f>
        <v>0</v>
      </c>
      <c r="R327" s="174"/>
      <c r="S327" s="174"/>
      <c r="T327" s="4"/>
      <c r="U327" s="175">
        <f ca="1">I327</f>
        <v>3.79</v>
      </c>
      <c r="V327" s="175"/>
      <c r="W327" s="175">
        <f ca="1">H327*1.05</f>
        <v>1.9949999999999999</v>
      </c>
      <c r="X327" s="175">
        <f ca="1">W327*0.9</f>
        <v>1.7954999999999999</v>
      </c>
      <c r="Y327" s="176">
        <f ca="1">(U327-W327)/U327</f>
        <v>0.4736147757255937</v>
      </c>
      <c r="Z327" s="184" t="e">
        <f ca="1">(V327-W327)/V327</f>
        <v>#DIV/0!</v>
      </c>
      <c r="AB327" s="4"/>
      <c r="AC327" s="4"/>
      <c r="AD327" s="4"/>
      <c r="AE327" s="4"/>
      <c r="AF327" s="4"/>
      <c r="AG327" s="4"/>
      <c r="AH327" s="4"/>
      <c r="AI327" s="4"/>
      <c r="AJ327" s="4"/>
    </row>
    <row r="328" spans="2:36" s="15" customFormat="1" customHeight="1">
      <c r="B328" s="129" t="s">
        <v>756</v>
      </c>
      <c r="C328" s="135" t="s">
        <v>757</v>
      </c>
      <c r="D328" s="137" t="s">
        <v>758</v>
      </c>
      <c r="E328" s="85" t="s">
        <v>266</v>
      </c>
      <c r="F328" s="132">
        <v>20</v>
      </c>
      <c r="G328" s="28">
        <f ca="1">H328*0.9</f>
        <v>1.71</v>
      </c>
      <c r="H328" s="133">
        <v>1.9</v>
      </c>
      <c r="I328" s="133">
        <v>3.79</v>
      </c>
      <c r="J328" s="133">
        <v>3.79</v>
      </c>
      <c r="K328" s="218"/>
      <c r="L328" s="14"/>
      <c r="M328" s="42"/>
      <c r="N328" s="31">
        <f ca="1">M328*0.78</f>
        <v>0</v>
      </c>
      <c r="O328" s="31">
        <f ca="1">N328/0.7</f>
        <v>0</v>
      </c>
      <c r="P328" s="31">
        <f ca="1">N328*0.9</f>
        <v>0</v>
      </c>
      <c r="R328" s="174"/>
      <c r="S328" s="174"/>
      <c r="T328" s="4"/>
      <c r="U328" s="175">
        <f ca="1">I328</f>
        <v>3.79</v>
      </c>
      <c r="V328" s="175"/>
      <c r="W328" s="175">
        <f ca="1">H328*1.05</f>
        <v>1.9949999999999999</v>
      </c>
      <c r="X328" s="175">
        <f ca="1">W328*0.9</f>
        <v>1.7954999999999999</v>
      </c>
      <c r="Y328" s="176">
        <f ca="1">(U328-W328)/U328</f>
        <v>0.4736147757255937</v>
      </c>
      <c r="Z328" s="184" t="e">
        <f ca="1">(V328-W328)/V328</f>
        <v>#DIV/0!</v>
      </c>
      <c r="AB328" s="4"/>
      <c r="AC328" s="4"/>
      <c r="AD328" s="4"/>
      <c r="AE328" s="4"/>
      <c r="AF328" s="4"/>
      <c r="AG328" s="4"/>
      <c r="AH328" s="4"/>
      <c r="AI328" s="4"/>
      <c r="AJ328" s="4"/>
    </row>
    <row r="329" spans="2:36" s="15" customFormat="1" customHeight="1">
      <c r="B329" s="129" t="s">
        <v>759</v>
      </c>
      <c r="C329" s="135" t="s">
        <v>760</v>
      </c>
      <c r="D329" s="137" t="s">
        <v>761</v>
      </c>
      <c r="E329" s="85" t="s">
        <v>266</v>
      </c>
      <c r="F329" s="132">
        <v>20</v>
      </c>
      <c r="G329" s="28">
        <f ca="1">H329*0.9</f>
        <v>1.26</v>
      </c>
      <c r="H329" s="133">
        <v>1.4</v>
      </c>
      <c r="I329" s="133">
        <v>2.79</v>
      </c>
      <c r="J329" s="133">
        <v>2.79</v>
      </c>
      <c r="K329" s="218"/>
      <c r="L329" s="14"/>
      <c r="M329" s="42"/>
      <c r="N329" s="31">
        <f ca="1">M329*0.78</f>
        <v>0</v>
      </c>
      <c r="O329" s="31">
        <f ca="1">N329/0.7</f>
        <v>0</v>
      </c>
      <c r="P329" s="31">
        <f ca="1">N329*0.9</f>
        <v>0</v>
      </c>
      <c r="R329" s="174"/>
      <c r="S329" s="174"/>
      <c r="T329" s="4"/>
      <c r="U329" s="175">
        <f ca="1">I329</f>
        <v>2.79</v>
      </c>
      <c r="V329" s="175"/>
      <c r="W329" s="175">
        <f ca="1">H329*1.05</f>
        <v>1.47</v>
      </c>
      <c r="X329" s="175">
        <f ca="1">W329*0.9</f>
        <v>1.323</v>
      </c>
      <c r="Y329" s="176">
        <f ca="1">(U329-W329)/U329</f>
        <v>0.4731182795698925</v>
      </c>
      <c r="Z329" s="184" t="e">
        <f ca="1">(V329-W329)/V329</f>
        <v>#DIV/0!</v>
      </c>
      <c r="AB329" s="4"/>
      <c r="AC329" s="4"/>
      <c r="AD329" s="4"/>
      <c r="AE329" s="4"/>
      <c r="AF329" s="4"/>
      <c r="AG329" s="4"/>
      <c r="AH329" s="4"/>
      <c r="AI329" s="4"/>
      <c r="AJ329" s="4"/>
    </row>
    <row r="330" spans="2:36" s="15" customFormat="1" customHeight="1">
      <c r="B330" s="129" t="s">
        <v>762</v>
      </c>
      <c r="C330" s="135" t="s">
        <v>763</v>
      </c>
      <c r="D330" s="137" t="s">
        <v>764</v>
      </c>
      <c r="E330" s="85" t="s">
        <v>266</v>
      </c>
      <c r="F330" s="132">
        <v>20</v>
      </c>
      <c r="G330" s="28">
        <f ca="1">H330*0.9</f>
        <v>1.26</v>
      </c>
      <c r="H330" s="133">
        <v>1.4</v>
      </c>
      <c r="I330" s="133">
        <v>2.79</v>
      </c>
      <c r="J330" s="133">
        <v>2.79</v>
      </c>
      <c r="K330" s="218"/>
      <c r="L330" s="14"/>
      <c r="M330" s="42"/>
      <c r="N330" s="31">
        <f ca="1">M330*0.78</f>
        <v>0</v>
      </c>
      <c r="O330" s="31">
        <f ca="1">N330/0.7</f>
        <v>0</v>
      </c>
      <c r="P330" s="31">
        <f ca="1">N330*0.9</f>
        <v>0</v>
      </c>
      <c r="R330" s="174"/>
      <c r="S330" s="174"/>
      <c r="T330" s="4"/>
      <c r="U330" s="175">
        <f ca="1">I330</f>
        <v>2.79</v>
      </c>
      <c r="V330" s="175"/>
      <c r="W330" s="175">
        <f ca="1">H330*1.05</f>
        <v>1.47</v>
      </c>
      <c r="X330" s="175">
        <f ca="1">W330*0.9</f>
        <v>1.323</v>
      </c>
      <c r="Y330" s="176">
        <f ca="1">(U330-W330)/U330</f>
        <v>0.4731182795698925</v>
      </c>
      <c r="Z330" s="184" t="e">
        <f ca="1">(V330-W330)/V330</f>
        <v>#DIV/0!</v>
      </c>
      <c r="AB330" s="4"/>
      <c r="AC330" s="4"/>
      <c r="AD330" s="4"/>
      <c r="AE330" s="4"/>
      <c r="AF330" s="4"/>
      <c r="AG330" s="4"/>
      <c r="AH330" s="4"/>
      <c r="AI330" s="4"/>
      <c r="AJ330" s="4"/>
    </row>
    <row r="331" spans="2:36" s="15" customFormat="1" customHeight="1">
      <c r="B331" s="129" t="s">
        <v>765</v>
      </c>
      <c r="C331" s="135" t="s">
        <v>766</v>
      </c>
      <c r="D331" s="136" t="s">
        <v>767</v>
      </c>
      <c r="E331" s="85" t="s">
        <v>266</v>
      </c>
      <c r="F331" s="132">
        <v>12</v>
      </c>
      <c r="G331" s="28">
        <f ca="1">H331*0.9</f>
        <v>1.935</v>
      </c>
      <c r="H331" s="133">
        <v>2.15</v>
      </c>
      <c r="I331" s="133">
        <v>4.29</v>
      </c>
      <c r="J331" s="133">
        <v>4.29</v>
      </c>
      <c r="K331" s="218"/>
      <c r="L331" s="14"/>
      <c r="M331" s="42"/>
      <c r="N331" s="31">
        <f ca="1">M331*0.78</f>
        <v>0</v>
      </c>
      <c r="O331" s="31">
        <f ca="1">N331/0.7</f>
        <v>0</v>
      </c>
      <c r="P331" s="31">
        <f ca="1">N331*0.9</f>
        <v>0</v>
      </c>
      <c r="R331" s="174"/>
      <c r="S331" s="174"/>
      <c r="T331" s="4"/>
      <c r="U331" s="175">
        <f ca="1">I331</f>
        <v>4.29</v>
      </c>
      <c r="V331" s="175"/>
      <c r="W331" s="175">
        <f ca="1">H331*1.05</f>
        <v>2.2575</v>
      </c>
      <c r="X331" s="175">
        <f ca="1">W331*0.9</f>
        <v>2.0317499999999997</v>
      </c>
      <c r="Y331" s="176">
        <f ca="1">(U331-W331)/U331</f>
        <v>0.4737762237762238</v>
      </c>
      <c r="Z331" s="184" t="e">
        <f ca="1">(V331-W331)/V331</f>
        <v>#DIV/0!</v>
      </c>
      <c r="AB331" s="4"/>
      <c r="AC331" s="4"/>
      <c r="AD331" s="4"/>
      <c r="AE331" s="4"/>
      <c r="AF331" s="4"/>
      <c r="AG331" s="4"/>
      <c r="AH331" s="4"/>
      <c r="AI331" s="4"/>
      <c r="AJ331" s="4"/>
    </row>
    <row r="332" spans="2:36" s="15" customFormat="1" customHeight="1">
      <c r="B332" s="129" t="s">
        <v>768</v>
      </c>
      <c r="C332" s="135" t="s">
        <v>769</v>
      </c>
      <c r="D332" s="136" t="s">
        <v>770</v>
      </c>
      <c r="E332" s="85" t="s">
        <v>266</v>
      </c>
      <c r="F332" s="132">
        <v>20</v>
      </c>
      <c r="G332" s="28">
        <f ca="1">H332*0.9</f>
        <v>1.71</v>
      </c>
      <c r="H332" s="133">
        <v>1.9</v>
      </c>
      <c r="I332" s="133">
        <v>3.79</v>
      </c>
      <c r="J332" s="133">
        <v>3.79</v>
      </c>
      <c r="K332" s="218"/>
      <c r="L332" s="14"/>
      <c r="M332" s="42"/>
      <c r="N332" s="31">
        <f ca="1">M332*0.78</f>
        <v>0</v>
      </c>
      <c r="O332" s="31">
        <f ca="1">N332/0.7</f>
        <v>0</v>
      </c>
      <c r="P332" s="31">
        <f ca="1">N332*0.9</f>
        <v>0</v>
      </c>
      <c r="R332" s="174"/>
      <c r="S332" s="174"/>
      <c r="T332" s="4"/>
      <c r="U332" s="175">
        <f ca="1">I332</f>
        <v>3.79</v>
      </c>
      <c r="V332" s="175"/>
      <c r="W332" s="175">
        <f ca="1">H332*1.05</f>
        <v>1.9949999999999999</v>
      </c>
      <c r="X332" s="175">
        <f ca="1">W332*0.9</f>
        <v>1.7954999999999999</v>
      </c>
      <c r="Y332" s="176">
        <f ca="1">(U332-W332)/U332</f>
        <v>0.4736147757255937</v>
      </c>
      <c r="Z332" s="184" t="e">
        <f ca="1">(V332-W332)/V332</f>
        <v>#DIV/0!</v>
      </c>
      <c r="AB332" s="4"/>
      <c r="AC332" s="4"/>
      <c r="AD332" s="4"/>
      <c r="AE332" s="4"/>
      <c r="AF332" s="4"/>
      <c r="AG332" s="4"/>
      <c r="AH332" s="4"/>
      <c r="AI332" s="4"/>
      <c r="AJ332" s="4"/>
    </row>
    <row r="333" spans="2:36" s="15" customFormat="1" customHeight="1">
      <c r="B333" s="129" t="s">
        <v>771</v>
      </c>
      <c r="C333" s="135" t="s">
        <v>772</v>
      </c>
      <c r="D333" s="136" t="s">
        <v>773</v>
      </c>
      <c r="E333" s="85" t="s">
        <v>266</v>
      </c>
      <c r="F333" s="132">
        <v>20</v>
      </c>
      <c r="G333" s="28">
        <f ca="1">H333*0.9</f>
        <v>3.15</v>
      </c>
      <c r="H333" s="133">
        <v>3.5</v>
      </c>
      <c r="I333" s="133">
        <v>6.99</v>
      </c>
      <c r="J333" s="133">
        <v>6.99</v>
      </c>
      <c r="K333" s="218"/>
      <c r="L333" s="14"/>
      <c r="M333" s="42"/>
      <c r="N333" s="31">
        <f ca="1">M333*0.78</f>
        <v>0</v>
      </c>
      <c r="O333" s="31">
        <f ca="1">N333/0.7</f>
        <v>0</v>
      </c>
      <c r="P333" s="31">
        <f ca="1">N333*0.9</f>
        <v>0</v>
      </c>
      <c r="R333" s="174"/>
      <c r="S333" s="174"/>
      <c r="T333" s="4"/>
      <c r="U333" s="175">
        <f ca="1">I333</f>
        <v>6.99</v>
      </c>
      <c r="V333" s="175"/>
      <c r="W333" s="175">
        <f ca="1">H333*1.05</f>
        <v>3.6750000000000003</v>
      </c>
      <c r="X333" s="175">
        <f ca="1">W333*0.9</f>
        <v>3.3075</v>
      </c>
      <c r="Y333" s="176">
        <f ca="1">(U333-W333)/U333</f>
        <v>0.4742489270386266</v>
      </c>
      <c r="Z333" s="184" t="e">
        <f ca="1">(V333-W333)/V333</f>
        <v>#DIV/0!</v>
      </c>
      <c r="AB333" s="4"/>
      <c r="AC333" s="4"/>
      <c r="AD333" s="4"/>
      <c r="AE333" s="4"/>
      <c r="AF333" s="4"/>
      <c r="AG333" s="4"/>
      <c r="AH333" s="4"/>
      <c r="AI333" s="4"/>
      <c r="AJ333" s="4"/>
    </row>
    <row r="334" spans="2:36" s="15" customFormat="1" customHeight="1">
      <c r="B334" s="129" t="s">
        <v>774</v>
      </c>
      <c r="C334" s="135" t="s">
        <v>775</v>
      </c>
      <c r="D334" s="136" t="s">
        <v>776</v>
      </c>
      <c r="E334" s="85" t="s">
        <v>266</v>
      </c>
      <c r="F334" s="132">
        <v>12</v>
      </c>
      <c r="G334" s="28">
        <f ca="1">H334*0.9</f>
        <v>1.35</v>
      </c>
      <c r="H334" s="133">
        <v>1.5</v>
      </c>
      <c r="I334" s="133">
        <v>2.99</v>
      </c>
      <c r="J334" s="133">
        <v>2.99</v>
      </c>
      <c r="K334" s="218"/>
      <c r="L334" s="14"/>
      <c r="M334" s="42"/>
      <c r="N334" s="31">
        <f ca="1">M334*0.78</f>
        <v>0</v>
      </c>
      <c r="O334" s="31">
        <f ca="1">N334/0.7</f>
        <v>0</v>
      </c>
      <c r="P334" s="31">
        <f ca="1">N334*0.9</f>
        <v>0</v>
      </c>
      <c r="R334" s="174"/>
      <c r="S334" s="174"/>
      <c r="T334" s="4"/>
      <c r="U334" s="175">
        <f ca="1">I334</f>
        <v>2.99</v>
      </c>
      <c r="V334" s="175"/>
      <c r="W334" s="175">
        <f ca="1">H334*1.05</f>
        <v>1.5750000000000002</v>
      </c>
      <c r="X334" s="175">
        <f ca="1">W334*0.9</f>
        <v>1.4175000000000002</v>
      </c>
      <c r="Y334" s="176">
        <f ca="1">(U334-W334)/U334</f>
        <v>0.4732441471571906</v>
      </c>
      <c r="Z334" s="184" t="e">
        <f ca="1">(V334-W334)/V334</f>
        <v>#DIV/0!</v>
      </c>
      <c r="AB334" s="4"/>
      <c r="AC334" s="4"/>
      <c r="AD334" s="4"/>
      <c r="AE334" s="4"/>
      <c r="AF334" s="4"/>
      <c r="AG334" s="4"/>
      <c r="AH334" s="4"/>
      <c r="AI334" s="4"/>
      <c r="AJ334" s="4"/>
    </row>
    <row r="335" spans="2:36" s="15" customFormat="1" customHeight="1">
      <c r="B335" s="129" t="s">
        <v>777</v>
      </c>
      <c r="C335" s="135" t="s">
        <v>778</v>
      </c>
      <c r="D335" s="136" t="s">
        <v>779</v>
      </c>
      <c r="E335" s="85" t="s">
        <v>266</v>
      </c>
      <c r="F335" s="132">
        <v>6</v>
      </c>
      <c r="G335" s="28">
        <f ca="1">H335*0.9</f>
        <v>4.95</v>
      </c>
      <c r="H335" s="133">
        <v>5.5</v>
      </c>
      <c r="I335" s="133">
        <v>10.99</v>
      </c>
      <c r="J335" s="133">
        <v>10.99</v>
      </c>
      <c r="K335" s="218"/>
      <c r="L335" s="14"/>
      <c r="M335" s="42"/>
      <c r="N335" s="31">
        <f ca="1">M335*0.78</f>
        <v>0</v>
      </c>
      <c r="O335" s="31">
        <f ca="1">N335/0.7</f>
        <v>0</v>
      </c>
      <c r="P335" s="31">
        <f ca="1">N335*0.9</f>
        <v>0</v>
      </c>
      <c r="R335" s="174"/>
      <c r="S335" s="174"/>
      <c r="T335" s="4"/>
      <c r="U335" s="175">
        <f ca="1">I335</f>
        <v>10.99</v>
      </c>
      <c r="V335" s="175"/>
      <c r="W335" s="175">
        <f ca="1">H335*1.05</f>
        <v>5.775</v>
      </c>
      <c r="X335" s="175">
        <f ca="1">W335*0.9</f>
        <v>5.197500000000001</v>
      </c>
      <c r="Y335" s="176">
        <f ca="1">(U335-W335)/U335</f>
        <v>0.4745222929936305</v>
      </c>
      <c r="Z335" s="184" t="e">
        <f ca="1">(V335-W335)/V335</f>
        <v>#DIV/0!</v>
      </c>
      <c r="AB335" s="4"/>
      <c r="AC335" s="4"/>
      <c r="AD335" s="4"/>
      <c r="AE335" s="4"/>
      <c r="AF335" s="4"/>
      <c r="AG335" s="4"/>
      <c r="AH335" s="4"/>
      <c r="AI335" s="4"/>
      <c r="AJ335" s="4"/>
    </row>
    <row r="336" spans="2:36" s="15" customFormat="1" customHeight="1">
      <c r="B336" s="153" t="s">
        <v>780</v>
      </c>
      <c r="C336" s="135" t="s">
        <v>781</v>
      </c>
      <c r="D336" s="136" t="s">
        <v>782</v>
      </c>
      <c r="E336" s="85" t="s">
        <v>266</v>
      </c>
      <c r="F336" s="132">
        <v>12</v>
      </c>
      <c r="G336" s="28">
        <f ca="1">H336*0.9</f>
        <v>3.6</v>
      </c>
      <c r="H336" s="133">
        <v>4</v>
      </c>
      <c r="I336" s="133">
        <v>7.99</v>
      </c>
      <c r="J336" s="133">
        <v>7.99</v>
      </c>
      <c r="K336" s="218"/>
      <c r="L336" s="14"/>
      <c r="M336" s="42"/>
      <c r="N336" s="31">
        <f ca="1">M336*0.78</f>
        <v>0</v>
      </c>
      <c r="O336" s="31">
        <f ca="1">N336/0.7</f>
        <v>0</v>
      </c>
      <c r="P336" s="31">
        <f ca="1">N336*0.9</f>
        <v>0</v>
      </c>
      <c r="R336" s="174"/>
      <c r="S336" s="174"/>
      <c r="T336" s="4"/>
      <c r="U336" s="175">
        <f ca="1">I336</f>
        <v>7.99</v>
      </c>
      <c r="V336" s="175"/>
      <c r="W336" s="175">
        <f ca="1">H336*1.05</f>
        <v>4.2</v>
      </c>
      <c r="X336" s="175">
        <f ca="1">W336*0.9</f>
        <v>3.7800000000000002</v>
      </c>
      <c r="Y336" s="176">
        <f ca="1">(U336-W336)/U336</f>
        <v>0.474342928660826</v>
      </c>
      <c r="Z336" s="184" t="e">
        <f ca="1">(V336-W336)/V336</f>
        <v>#DIV/0!</v>
      </c>
      <c r="AB336" s="4"/>
      <c r="AC336" s="4"/>
      <c r="AD336" s="4"/>
      <c r="AE336" s="4"/>
      <c r="AF336" s="4"/>
      <c r="AG336" s="4"/>
      <c r="AH336" s="4"/>
      <c r="AI336" s="4"/>
      <c r="AJ336" s="4"/>
    </row>
    <row r="337" spans="2:36" s="15" customFormat="1" customHeight="1">
      <c r="B337" s="153" t="s">
        <v>783</v>
      </c>
      <c r="C337" s="135" t="s">
        <v>784</v>
      </c>
      <c r="D337" s="136" t="s">
        <v>785</v>
      </c>
      <c r="E337" s="85" t="s">
        <v>266</v>
      </c>
      <c r="F337" s="132">
        <v>12</v>
      </c>
      <c r="G337" s="28">
        <f ca="1">H337*0.9</f>
        <v>3.6</v>
      </c>
      <c r="H337" s="133">
        <v>4</v>
      </c>
      <c r="I337" s="133">
        <v>7.99</v>
      </c>
      <c r="J337" s="133">
        <v>7.99</v>
      </c>
      <c r="K337" s="218"/>
      <c r="L337" s="14"/>
      <c r="M337" s="42"/>
      <c r="N337" s="31">
        <f ca="1">M337*0.78</f>
        <v>0</v>
      </c>
      <c r="O337" s="31">
        <f ca="1">N337/0.7</f>
        <v>0</v>
      </c>
      <c r="P337" s="31">
        <f ca="1">N337*0.9</f>
        <v>0</v>
      </c>
      <c r="R337" s="174"/>
      <c r="S337" s="174"/>
      <c r="T337" s="4"/>
      <c r="U337" s="175">
        <f ca="1">I337</f>
        <v>7.99</v>
      </c>
      <c r="V337" s="175"/>
      <c r="W337" s="175">
        <f ca="1">H337*1.05</f>
        <v>4.2</v>
      </c>
      <c r="X337" s="175">
        <f ca="1">W337*0.9</f>
        <v>3.7800000000000002</v>
      </c>
      <c r="Y337" s="176">
        <f ca="1">(U337-W337)/U337</f>
        <v>0.474342928660826</v>
      </c>
      <c r="Z337" s="184" t="e">
        <f ca="1">(V337-W337)/V337</f>
        <v>#DIV/0!</v>
      </c>
      <c r="AB337" s="4"/>
      <c r="AC337" s="4"/>
      <c r="AD337" s="4"/>
      <c r="AE337" s="4"/>
      <c r="AF337" s="4"/>
      <c r="AG337" s="4"/>
      <c r="AH337" s="4"/>
      <c r="AI337" s="4"/>
      <c r="AJ337" s="4"/>
    </row>
    <row r="338" spans="2:36" s="15" customFormat="1" customHeight="1">
      <c r="B338" s="129" t="s">
        <v>786</v>
      </c>
      <c r="C338" s="135" t="s">
        <v>787</v>
      </c>
      <c r="D338" s="136" t="s">
        <v>788</v>
      </c>
      <c r="E338" s="85" t="s">
        <v>266</v>
      </c>
      <c r="F338" s="132">
        <v>12</v>
      </c>
      <c r="G338" s="28">
        <f ca="1">H338*0.9</f>
        <v>3.375</v>
      </c>
      <c r="H338" s="133">
        <v>3.75</v>
      </c>
      <c r="I338" s="133">
        <v>7.49</v>
      </c>
      <c r="J338" s="133">
        <v>7.49</v>
      </c>
      <c r="K338" s="218"/>
      <c r="L338" s="14"/>
      <c r="M338" s="42"/>
      <c r="N338" s="31">
        <f ca="1">M338*0.78</f>
        <v>0</v>
      </c>
      <c r="O338" s="31">
        <f ca="1">N338/0.7</f>
        <v>0</v>
      </c>
      <c r="P338" s="31">
        <f ca="1">N338*0.9</f>
        <v>0</v>
      </c>
      <c r="R338" s="174"/>
      <c r="S338" s="174"/>
      <c r="T338" s="4"/>
      <c r="U338" s="175">
        <f ca="1">I338</f>
        <v>7.49</v>
      </c>
      <c r="V338" s="175"/>
      <c r="W338" s="175">
        <f ca="1">H338*1.05</f>
        <v>3.9375</v>
      </c>
      <c r="X338" s="175">
        <f ca="1">W338*0.9</f>
        <v>3.54375</v>
      </c>
      <c r="Y338" s="176">
        <f ca="1">(U338-W338)/U338</f>
        <v>0.4742990654205608</v>
      </c>
      <c r="Z338" s="184" t="e">
        <f ca="1">(V338-W338)/V338</f>
        <v>#DIV/0!</v>
      </c>
      <c r="AB338" s="4"/>
      <c r="AC338" s="4"/>
      <c r="AD338" s="4"/>
      <c r="AE338" s="4"/>
      <c r="AF338" s="4"/>
      <c r="AG338" s="4"/>
      <c r="AH338" s="4"/>
      <c r="AI338" s="4"/>
      <c r="AJ338" s="4"/>
    </row>
    <row r="339" spans="2:36" s="15" customFormat="1" customHeight="1">
      <c r="B339" s="129" t="s">
        <v>789</v>
      </c>
      <c r="C339" s="135" t="s">
        <v>790</v>
      </c>
      <c r="D339" s="136" t="s">
        <v>791</v>
      </c>
      <c r="E339" s="85" t="s">
        <v>266</v>
      </c>
      <c r="F339" s="132">
        <v>20</v>
      </c>
      <c r="G339" s="28">
        <f ca="1">H339*0.9</f>
        <v>2.7</v>
      </c>
      <c r="H339" s="133">
        <v>3</v>
      </c>
      <c r="I339" s="133">
        <v>5.99</v>
      </c>
      <c r="J339" s="133">
        <v>5.99</v>
      </c>
      <c r="K339" s="218"/>
      <c r="L339" s="14"/>
      <c r="M339" s="42"/>
      <c r="N339" s="31">
        <f ca="1">M339*0.78</f>
        <v>0</v>
      </c>
      <c r="O339" s="31">
        <f ca="1">N339/0.7</f>
        <v>0</v>
      </c>
      <c r="P339" s="31">
        <f ca="1">N339*0.9</f>
        <v>0</v>
      </c>
      <c r="R339" s="174"/>
      <c r="S339" s="174"/>
      <c r="T339" s="4"/>
      <c r="U339" s="175">
        <f ca="1">I339</f>
        <v>5.99</v>
      </c>
      <c r="V339" s="175"/>
      <c r="W339" s="175">
        <f ca="1">H339*1.05</f>
        <v>3.1500000000000004</v>
      </c>
      <c r="X339" s="175">
        <f ca="1">W339*0.9</f>
        <v>2.8350000000000004</v>
      </c>
      <c r="Y339" s="176">
        <f ca="1">(U339-W339)/U339</f>
        <v>0.47412353923205336</v>
      </c>
      <c r="Z339" s="184" t="e">
        <f ca="1">(V339-W339)/V339</f>
        <v>#DIV/0!</v>
      </c>
      <c r="AB339" s="4"/>
      <c r="AC339" s="4"/>
      <c r="AD339" s="4"/>
      <c r="AE339" s="4"/>
      <c r="AF339" s="4"/>
      <c r="AG339" s="4"/>
      <c r="AH339" s="4"/>
      <c r="AI339" s="4"/>
      <c r="AJ339" s="4"/>
    </row>
    <row r="340" spans="2:36" s="15" customFormat="1" customHeight="1">
      <c r="B340" s="129" t="s">
        <v>792</v>
      </c>
      <c r="C340" s="135" t="s">
        <v>793</v>
      </c>
      <c r="D340" s="136" t="s">
        <v>794</v>
      </c>
      <c r="E340" s="85" t="s">
        <v>266</v>
      </c>
      <c r="F340" s="132">
        <v>20</v>
      </c>
      <c r="G340" s="28">
        <f ca="1">H340*0.9</f>
        <v>2.7</v>
      </c>
      <c r="H340" s="133">
        <v>3</v>
      </c>
      <c r="I340" s="133">
        <v>5.99</v>
      </c>
      <c r="J340" s="133">
        <v>5.99</v>
      </c>
      <c r="K340" s="218"/>
      <c r="L340" s="14"/>
      <c r="M340" s="42"/>
      <c r="N340" s="31">
        <f ca="1">M340*0.78</f>
        <v>0</v>
      </c>
      <c r="O340" s="31">
        <f ca="1">N340/0.7</f>
        <v>0</v>
      </c>
      <c r="P340" s="31">
        <f ca="1">N340*0.9</f>
        <v>0</v>
      </c>
      <c r="R340" s="174"/>
      <c r="S340" s="174"/>
      <c r="T340" s="4"/>
      <c r="U340" s="175">
        <f ca="1">I340</f>
        <v>5.99</v>
      </c>
      <c r="V340" s="175"/>
      <c r="W340" s="175">
        <f ca="1">H340*1.05</f>
        <v>3.1500000000000004</v>
      </c>
      <c r="X340" s="175">
        <f ca="1">W340*0.9</f>
        <v>2.8350000000000004</v>
      </c>
      <c r="Y340" s="176">
        <f ca="1">(U340-W340)/U340</f>
        <v>0.47412353923205336</v>
      </c>
      <c r="Z340" s="184" t="e">
        <f ca="1">(V340-W340)/V340</f>
        <v>#DIV/0!</v>
      </c>
      <c r="AB340" s="4"/>
      <c r="AC340" s="4"/>
      <c r="AD340" s="4"/>
      <c r="AE340" s="4"/>
      <c r="AF340" s="4"/>
      <c r="AG340" s="4"/>
      <c r="AH340" s="4"/>
      <c r="AI340" s="4"/>
      <c r="AJ340" s="4"/>
    </row>
    <row r="341" spans="2:36" s="15" customFormat="1" customHeight="1">
      <c r="B341" s="129" t="s">
        <v>795</v>
      </c>
      <c r="C341" s="135" t="s">
        <v>796</v>
      </c>
      <c r="D341" s="136" t="s">
        <v>797</v>
      </c>
      <c r="E341" s="85" t="s">
        <v>266</v>
      </c>
      <c r="F341" s="132">
        <v>20</v>
      </c>
      <c r="G341" s="28">
        <f ca="1">H341*0.9</f>
        <v>2.475</v>
      </c>
      <c r="H341" s="133">
        <v>2.75</v>
      </c>
      <c r="I341" s="133">
        <v>5.49</v>
      </c>
      <c r="J341" s="133">
        <v>5.49</v>
      </c>
      <c r="K341" s="218"/>
      <c r="L341" s="14"/>
      <c r="M341" s="42"/>
      <c r="N341" s="31">
        <f ca="1">M341*0.78</f>
        <v>0</v>
      </c>
      <c r="O341" s="31">
        <f ca="1">N341/0.7</f>
        <v>0</v>
      </c>
      <c r="P341" s="31">
        <f ca="1">N341*0.9</f>
        <v>0</v>
      </c>
      <c r="R341" s="174"/>
      <c r="S341" s="174"/>
      <c r="T341" s="4"/>
      <c r="U341" s="175">
        <f ca="1">I341</f>
        <v>5.49</v>
      </c>
      <c r="V341" s="175"/>
      <c r="W341" s="175">
        <f ca="1">H341*1.05</f>
        <v>2.8875</v>
      </c>
      <c r="X341" s="175">
        <f ca="1">W341*0.9</f>
        <v>2.5987500000000003</v>
      </c>
      <c r="Y341" s="176">
        <f ca="1">(U341-W341)/U341</f>
        <v>0.4740437158469945</v>
      </c>
      <c r="Z341" s="184" t="e">
        <f ca="1">(V341-W341)/V341</f>
        <v>#DIV/0!</v>
      </c>
      <c r="AB341" s="4"/>
      <c r="AC341" s="4"/>
      <c r="AD341" s="4"/>
      <c r="AE341" s="4"/>
      <c r="AF341" s="4"/>
      <c r="AG341" s="4"/>
      <c r="AH341" s="4"/>
      <c r="AI341" s="4"/>
      <c r="AJ341" s="4"/>
    </row>
    <row r="342" spans="2:36" s="15" customFormat="1" customHeight="1">
      <c r="B342" s="129" t="s">
        <v>798</v>
      </c>
      <c r="C342" s="135" t="s">
        <v>799</v>
      </c>
      <c r="D342" s="136" t="s">
        <v>800</v>
      </c>
      <c r="E342" s="85" t="s">
        <v>266</v>
      </c>
      <c r="F342" s="132">
        <v>20</v>
      </c>
      <c r="G342" s="28">
        <f ca="1">H342*0.9</f>
        <v>2.475</v>
      </c>
      <c r="H342" s="133">
        <v>2.75</v>
      </c>
      <c r="I342" s="133">
        <v>5.49</v>
      </c>
      <c r="J342" s="133">
        <v>5.49</v>
      </c>
      <c r="K342" s="218"/>
      <c r="L342" s="14"/>
      <c r="M342" s="42"/>
      <c r="N342" s="31">
        <f ca="1">M342*0.78</f>
        <v>0</v>
      </c>
      <c r="O342" s="31">
        <f ca="1">N342/0.7</f>
        <v>0</v>
      </c>
      <c r="P342" s="31">
        <f ca="1">N342*0.9</f>
        <v>0</v>
      </c>
      <c r="R342" s="174"/>
      <c r="S342" s="174"/>
      <c r="T342" s="4"/>
      <c r="U342" s="175">
        <f ca="1">I342</f>
        <v>5.49</v>
      </c>
      <c r="V342" s="175"/>
      <c r="W342" s="175">
        <f ca="1">H342*1.05</f>
        <v>2.8875</v>
      </c>
      <c r="X342" s="175">
        <f ca="1">W342*0.9</f>
        <v>2.5987500000000003</v>
      </c>
      <c r="Y342" s="176">
        <f ca="1">(U342-W342)/U342</f>
        <v>0.4740437158469945</v>
      </c>
      <c r="Z342" s="184" t="e">
        <f ca="1">(V342-W342)/V342</f>
        <v>#DIV/0!</v>
      </c>
      <c r="AB342" s="4"/>
      <c r="AC342" s="4"/>
      <c r="AD342" s="4"/>
      <c r="AE342" s="4"/>
      <c r="AF342" s="4"/>
      <c r="AG342" s="4"/>
      <c r="AH342" s="4"/>
      <c r="AI342" s="4"/>
      <c r="AJ342" s="4"/>
    </row>
    <row r="343" spans="2:36" s="15" customFormat="1" customHeight="1">
      <c r="B343" s="129" t="s">
        <v>801</v>
      </c>
      <c r="C343" s="135" t="s">
        <v>802</v>
      </c>
      <c r="D343" s="136" t="s">
        <v>803</v>
      </c>
      <c r="E343" s="85" t="s">
        <v>266</v>
      </c>
      <c r="F343" s="132">
        <v>20</v>
      </c>
      <c r="G343" s="28">
        <f ca="1">H343*0.9</f>
        <v>2.9250000000000003</v>
      </c>
      <c r="H343" s="133">
        <v>3.25</v>
      </c>
      <c r="I343" s="133">
        <v>6.49</v>
      </c>
      <c r="J343" s="133">
        <v>6.49</v>
      </c>
      <c r="K343" s="218"/>
      <c r="L343" s="14"/>
      <c r="M343" s="42"/>
      <c r="N343" s="31">
        <f ca="1">M343*0.78</f>
        <v>0</v>
      </c>
      <c r="O343" s="31">
        <f ca="1">N343/0.7</f>
        <v>0</v>
      </c>
      <c r="P343" s="31">
        <f ca="1">N343*0.9</f>
        <v>0</v>
      </c>
      <c r="R343" s="174"/>
      <c r="S343" s="174"/>
      <c r="T343" s="4"/>
      <c r="U343" s="175">
        <f ca="1">I343</f>
        <v>6.49</v>
      </c>
      <c r="V343" s="175"/>
      <c r="W343" s="175">
        <f ca="1">H343*1.05</f>
        <v>3.4125</v>
      </c>
      <c r="X343" s="175">
        <f ca="1">W343*0.9</f>
        <v>3.07125</v>
      </c>
      <c r="Y343" s="176">
        <f ca="1">(U343-W343)/U343</f>
        <v>0.474191063174114</v>
      </c>
      <c r="Z343" s="184" t="e">
        <f ca="1">(V343-W343)/V343</f>
        <v>#DIV/0!</v>
      </c>
      <c r="AB343" s="4"/>
      <c r="AC343" s="4"/>
      <c r="AD343" s="4"/>
      <c r="AE343" s="4"/>
      <c r="AF343" s="4"/>
      <c r="AG343" s="4"/>
      <c r="AH343" s="4"/>
      <c r="AI343" s="4"/>
      <c r="AJ343" s="4"/>
    </row>
    <row r="344" spans="2:36" s="15" customFormat="1" customHeight="1">
      <c r="B344" s="153" t="s">
        <v>804</v>
      </c>
      <c r="C344" s="135" t="s">
        <v>805</v>
      </c>
      <c r="D344" s="137" t="s">
        <v>806</v>
      </c>
      <c r="E344" s="85" t="s">
        <v>266</v>
      </c>
      <c r="F344" s="132">
        <v>12</v>
      </c>
      <c r="G344" s="28">
        <f ca="1">H344*0.9</f>
        <v>3.6</v>
      </c>
      <c r="H344" s="133">
        <v>4</v>
      </c>
      <c r="I344" s="133">
        <v>7.99</v>
      </c>
      <c r="J344" s="133">
        <v>7.99</v>
      </c>
      <c r="K344" s="218"/>
      <c r="L344" s="14"/>
      <c r="M344" s="42"/>
      <c r="N344" s="31">
        <f ca="1">M344*0.78</f>
        <v>0</v>
      </c>
      <c r="O344" s="31">
        <f ca="1">N344/0.7</f>
        <v>0</v>
      </c>
      <c r="P344" s="31">
        <f ca="1">N344*0.9</f>
        <v>0</v>
      </c>
      <c r="R344" s="174"/>
      <c r="S344" s="174"/>
      <c r="T344" s="4"/>
      <c r="U344" s="175">
        <f ca="1">I344</f>
        <v>7.99</v>
      </c>
      <c r="V344" s="175"/>
      <c r="W344" s="175">
        <f ca="1">H344*1.05</f>
        <v>4.2</v>
      </c>
      <c r="X344" s="175">
        <f ca="1">W344*0.9</f>
        <v>3.7800000000000002</v>
      </c>
      <c r="Y344" s="176">
        <f ca="1">(U344-W344)/U344</f>
        <v>0.474342928660826</v>
      </c>
      <c r="Z344" s="184" t="e">
        <f ca="1">(V344-W344)/V344</f>
        <v>#DIV/0!</v>
      </c>
      <c r="AB344" s="4"/>
      <c r="AC344" s="4"/>
      <c r="AD344" s="4"/>
      <c r="AE344" s="4"/>
      <c r="AF344" s="4"/>
      <c r="AG344" s="4"/>
      <c r="AH344" s="4"/>
      <c r="AI344" s="4"/>
      <c r="AJ344" s="4"/>
    </row>
    <row r="345" spans="2:36" s="15" customFormat="1" customHeight="1">
      <c r="B345" s="153" t="s">
        <v>807</v>
      </c>
      <c r="C345" s="135" t="s">
        <v>808</v>
      </c>
      <c r="D345" s="137" t="s">
        <v>809</v>
      </c>
      <c r="E345" s="85" t="s">
        <v>266</v>
      </c>
      <c r="F345" s="132">
        <v>12</v>
      </c>
      <c r="G345" s="28">
        <f ca="1">H345*0.9</f>
        <v>3.6</v>
      </c>
      <c r="H345" s="133">
        <v>4</v>
      </c>
      <c r="I345" s="133">
        <v>7.99</v>
      </c>
      <c r="J345" s="133">
        <v>7.99</v>
      </c>
      <c r="K345" s="218"/>
      <c r="L345" s="14"/>
      <c r="M345" s="42"/>
      <c r="N345" s="31">
        <f ca="1">M345*0.78</f>
        <v>0</v>
      </c>
      <c r="O345" s="31">
        <f ca="1">N345/0.7</f>
        <v>0</v>
      </c>
      <c r="P345" s="31">
        <f ca="1">N345*0.9</f>
        <v>0</v>
      </c>
      <c r="R345" s="174"/>
      <c r="S345" s="174"/>
      <c r="T345" s="4"/>
      <c r="U345" s="175">
        <f ca="1">I345</f>
        <v>7.99</v>
      </c>
      <c r="V345" s="175"/>
      <c r="W345" s="175">
        <f ca="1">H345*1.05</f>
        <v>4.2</v>
      </c>
      <c r="X345" s="175">
        <f ca="1">W345*0.9</f>
        <v>3.7800000000000002</v>
      </c>
      <c r="Y345" s="176">
        <f ca="1">(U345-W345)/U345</f>
        <v>0.474342928660826</v>
      </c>
      <c r="Z345" s="184" t="e">
        <f ca="1">(V345-W345)/V345</f>
        <v>#DIV/0!</v>
      </c>
      <c r="AB345" s="4"/>
      <c r="AC345" s="4"/>
      <c r="AD345" s="4"/>
      <c r="AE345" s="4"/>
      <c r="AF345" s="4"/>
      <c r="AG345" s="4"/>
      <c r="AH345" s="4"/>
      <c r="AI345" s="4"/>
      <c r="AJ345" s="4"/>
    </row>
    <row r="346" spans="2:36" s="15" customFormat="1" customHeight="1">
      <c r="B346" s="153" t="s">
        <v>810</v>
      </c>
      <c r="C346" s="135" t="s">
        <v>811</v>
      </c>
      <c r="D346" s="137" t="s">
        <v>812</v>
      </c>
      <c r="E346" s="85" t="s">
        <v>266</v>
      </c>
      <c r="F346" s="132">
        <v>12</v>
      </c>
      <c r="G346" s="28">
        <f ca="1">H346*0.9</f>
        <v>3.6</v>
      </c>
      <c r="H346" s="133">
        <v>4</v>
      </c>
      <c r="I346" s="133">
        <v>7.99</v>
      </c>
      <c r="J346" s="133">
        <v>7.99</v>
      </c>
      <c r="K346" s="218"/>
      <c r="L346" s="14"/>
      <c r="M346" s="42"/>
      <c r="N346" s="31">
        <f ca="1">M346*0.78</f>
        <v>0</v>
      </c>
      <c r="O346" s="31">
        <f ca="1">N346/0.7</f>
        <v>0</v>
      </c>
      <c r="P346" s="31">
        <f ca="1">N346*0.9</f>
        <v>0</v>
      </c>
      <c r="R346" s="174"/>
      <c r="S346" s="174"/>
      <c r="T346" s="4"/>
      <c r="U346" s="175">
        <f ca="1">I346</f>
        <v>7.99</v>
      </c>
      <c r="V346" s="175"/>
      <c r="W346" s="175">
        <f ca="1">H346*1.05</f>
        <v>4.2</v>
      </c>
      <c r="X346" s="175">
        <f ca="1">W346*0.9</f>
        <v>3.7800000000000002</v>
      </c>
      <c r="Y346" s="176">
        <f ca="1">(U346-W346)/U346</f>
        <v>0.474342928660826</v>
      </c>
      <c r="Z346" s="184" t="e">
        <f ca="1">(V346-W346)/V346</f>
        <v>#DIV/0!</v>
      </c>
      <c r="AB346" s="4"/>
      <c r="AC346" s="4"/>
      <c r="AD346" s="4"/>
      <c r="AE346" s="4"/>
      <c r="AF346" s="4"/>
      <c r="AG346" s="4"/>
      <c r="AH346" s="4"/>
      <c r="AI346" s="4"/>
      <c r="AJ346" s="4"/>
    </row>
    <row r="347" spans="2:36" s="15" customFormat="1" customHeight="1">
      <c r="B347" s="153" t="s">
        <v>813</v>
      </c>
      <c r="C347" s="135" t="s">
        <v>814</v>
      </c>
      <c r="D347" s="137" t="s">
        <v>815</v>
      </c>
      <c r="E347" s="85" t="s">
        <v>266</v>
      </c>
      <c r="F347" s="132">
        <v>12</v>
      </c>
      <c r="G347" s="28">
        <f ca="1">H347*0.9</f>
        <v>3.6</v>
      </c>
      <c r="H347" s="133">
        <v>4</v>
      </c>
      <c r="I347" s="133">
        <v>7.99</v>
      </c>
      <c r="J347" s="133">
        <v>7.99</v>
      </c>
      <c r="K347" s="218"/>
      <c r="L347" s="14"/>
      <c r="M347" s="42"/>
      <c r="N347" s="31">
        <f ca="1">M347*0.78</f>
        <v>0</v>
      </c>
      <c r="O347" s="31">
        <f ca="1">N347/0.7</f>
        <v>0</v>
      </c>
      <c r="P347" s="31">
        <f ca="1">N347*0.9</f>
        <v>0</v>
      </c>
      <c r="R347" s="174"/>
      <c r="S347" s="174"/>
      <c r="T347" s="4"/>
      <c r="U347" s="175">
        <f ca="1">I347</f>
        <v>7.99</v>
      </c>
      <c r="V347" s="175"/>
      <c r="W347" s="175">
        <f ca="1">H347*1.05</f>
        <v>4.2</v>
      </c>
      <c r="X347" s="175">
        <f ca="1">W347*0.9</f>
        <v>3.7800000000000002</v>
      </c>
      <c r="Y347" s="176">
        <f ca="1">(U347-W347)/U347</f>
        <v>0.474342928660826</v>
      </c>
      <c r="Z347" s="184" t="e">
        <f ca="1">(V347-W347)/V347</f>
        <v>#DIV/0!</v>
      </c>
      <c r="AB347" s="4"/>
      <c r="AC347" s="4"/>
      <c r="AD347" s="4"/>
      <c r="AE347" s="4"/>
      <c r="AF347" s="4"/>
      <c r="AG347" s="4"/>
      <c r="AH347" s="4"/>
      <c r="AI347" s="4"/>
      <c r="AJ347" s="4"/>
    </row>
    <row r="348" spans="2:36" s="15" customFormat="1" customHeight="1">
      <c r="B348" s="153" t="s">
        <v>816</v>
      </c>
      <c r="C348" s="135" t="s">
        <v>817</v>
      </c>
      <c r="D348" s="137" t="s">
        <v>818</v>
      </c>
      <c r="E348" s="85" t="s">
        <v>266</v>
      </c>
      <c r="F348" s="132">
        <v>12</v>
      </c>
      <c r="G348" s="28">
        <f ca="1">H348*0.9</f>
        <v>3.6</v>
      </c>
      <c r="H348" s="133">
        <v>4</v>
      </c>
      <c r="I348" s="133">
        <v>7.99</v>
      </c>
      <c r="J348" s="133">
        <v>7.99</v>
      </c>
      <c r="K348" s="218"/>
      <c r="L348" s="14"/>
      <c r="M348" s="42"/>
      <c r="N348" s="31">
        <f ca="1">M348*0.78</f>
        <v>0</v>
      </c>
      <c r="O348" s="31">
        <f ca="1">N348/0.7</f>
        <v>0</v>
      </c>
      <c r="P348" s="31">
        <f ca="1">N348*0.9</f>
        <v>0</v>
      </c>
      <c r="R348" s="174"/>
      <c r="S348" s="174"/>
      <c r="T348" s="4"/>
      <c r="U348" s="175">
        <f ca="1">I348</f>
        <v>7.99</v>
      </c>
      <c r="V348" s="175"/>
      <c r="W348" s="175">
        <f ca="1">H348*1.05</f>
        <v>4.2</v>
      </c>
      <c r="X348" s="175">
        <f ca="1">W348*0.9</f>
        <v>3.7800000000000002</v>
      </c>
      <c r="Y348" s="176">
        <f ca="1">(U348-W348)/U348</f>
        <v>0.474342928660826</v>
      </c>
      <c r="Z348" s="184" t="e">
        <f ca="1">(V348-W348)/V348</f>
        <v>#DIV/0!</v>
      </c>
      <c r="AB348" s="4"/>
      <c r="AC348" s="4"/>
      <c r="AD348" s="4"/>
      <c r="AE348" s="4"/>
      <c r="AF348" s="4"/>
      <c r="AG348" s="4"/>
      <c r="AH348" s="4"/>
      <c r="AI348" s="4"/>
      <c r="AJ348" s="4"/>
    </row>
    <row r="349" spans="2:36" s="15" customFormat="1" customHeight="1">
      <c r="B349" s="153" t="s">
        <v>819</v>
      </c>
      <c r="C349" s="135" t="s">
        <v>820</v>
      </c>
      <c r="D349" s="137" t="s">
        <v>821</v>
      </c>
      <c r="E349" s="85" t="s">
        <v>266</v>
      </c>
      <c r="F349" s="132">
        <v>12</v>
      </c>
      <c r="G349" s="28">
        <f ca="1">H349*0.9</f>
        <v>3.6</v>
      </c>
      <c r="H349" s="133">
        <v>4</v>
      </c>
      <c r="I349" s="133">
        <v>7.99</v>
      </c>
      <c r="J349" s="133">
        <v>7.99</v>
      </c>
      <c r="K349" s="218"/>
      <c r="L349" s="14"/>
      <c r="M349" s="42"/>
      <c r="N349" s="31">
        <f ca="1">M349*0.78</f>
        <v>0</v>
      </c>
      <c r="O349" s="31">
        <f ca="1">N349/0.7</f>
        <v>0</v>
      </c>
      <c r="P349" s="31">
        <f ca="1">N349*0.9</f>
        <v>0</v>
      </c>
      <c r="R349" s="174"/>
      <c r="S349" s="174"/>
      <c r="T349" s="4"/>
      <c r="U349" s="175">
        <f ca="1">I349</f>
        <v>7.99</v>
      </c>
      <c r="V349" s="175"/>
      <c r="W349" s="175">
        <f ca="1">H349*1.05</f>
        <v>4.2</v>
      </c>
      <c r="X349" s="175">
        <f ca="1">W349*0.9</f>
        <v>3.7800000000000002</v>
      </c>
      <c r="Y349" s="176">
        <f ca="1">(U349-W349)/U349</f>
        <v>0.474342928660826</v>
      </c>
      <c r="Z349" s="184" t="e">
        <f ca="1">(V349-W349)/V349</f>
        <v>#DIV/0!</v>
      </c>
      <c r="AB349" s="4"/>
      <c r="AC349" s="4"/>
      <c r="AD349" s="4"/>
      <c r="AE349" s="4"/>
      <c r="AF349" s="4"/>
      <c r="AG349" s="4"/>
      <c r="AH349" s="4"/>
      <c r="AI349" s="4"/>
      <c r="AJ349" s="4"/>
    </row>
    <row r="350" spans="2:36" s="15" customFormat="1" customHeight="1">
      <c r="B350" s="153" t="s">
        <v>822</v>
      </c>
      <c r="C350" s="135" t="s">
        <v>823</v>
      </c>
      <c r="D350" s="137" t="s">
        <v>824</v>
      </c>
      <c r="E350" s="85" t="s">
        <v>266</v>
      </c>
      <c r="F350" s="132">
        <v>12</v>
      </c>
      <c r="G350" s="28">
        <f ca="1">H350*0.9</f>
        <v>3.6</v>
      </c>
      <c r="H350" s="133">
        <v>4</v>
      </c>
      <c r="I350" s="133">
        <v>7.99</v>
      </c>
      <c r="J350" s="133">
        <v>7.99</v>
      </c>
      <c r="K350" s="218"/>
      <c r="L350" s="14"/>
      <c r="M350" s="42"/>
      <c r="N350" s="31">
        <f ca="1">M350*0.78</f>
        <v>0</v>
      </c>
      <c r="O350" s="31">
        <f ca="1">N350/0.7</f>
        <v>0</v>
      </c>
      <c r="P350" s="31">
        <f ca="1">N350*0.9</f>
        <v>0</v>
      </c>
      <c r="R350" s="174"/>
      <c r="S350" s="174"/>
      <c r="T350" s="4"/>
      <c r="U350" s="175">
        <f ca="1">I350</f>
        <v>7.99</v>
      </c>
      <c r="V350" s="175"/>
      <c r="W350" s="175">
        <f ca="1">H350*1.05</f>
        <v>4.2</v>
      </c>
      <c r="X350" s="175">
        <f ca="1">W350*0.9</f>
        <v>3.7800000000000002</v>
      </c>
      <c r="Y350" s="176">
        <f ca="1">(U350-W350)/U350</f>
        <v>0.474342928660826</v>
      </c>
      <c r="Z350" s="184" t="e">
        <f ca="1">(V350-W350)/V350</f>
        <v>#DIV/0!</v>
      </c>
      <c r="AB350" s="4"/>
      <c r="AC350" s="4"/>
      <c r="AD350" s="4"/>
      <c r="AE350" s="4"/>
      <c r="AF350" s="4"/>
      <c r="AG350" s="4"/>
      <c r="AH350" s="4"/>
      <c r="AI350" s="4"/>
      <c r="AJ350" s="4"/>
    </row>
    <row r="351" spans="2:36" s="15" customFormat="1" customHeight="1">
      <c r="B351" s="129" t="s">
        <v>825</v>
      </c>
      <c r="C351" s="135" t="s">
        <v>826</v>
      </c>
      <c r="D351" s="137" t="s">
        <v>827</v>
      </c>
      <c r="E351" s="85" t="s">
        <v>266</v>
      </c>
      <c r="F351" s="132">
        <v>20</v>
      </c>
      <c r="G351" s="28">
        <f ca="1">H351*0.9</f>
        <v>1.4849999999999999</v>
      </c>
      <c r="H351" s="133">
        <v>1.65</v>
      </c>
      <c r="I351" s="133">
        <v>3.29</v>
      </c>
      <c r="J351" s="133">
        <v>3.29</v>
      </c>
      <c r="K351" s="218"/>
      <c r="L351" s="14"/>
      <c r="M351" s="42"/>
      <c r="N351" s="31">
        <f ca="1">M351*0.78</f>
        <v>0</v>
      </c>
      <c r="O351" s="31">
        <f ca="1">N351/0.7</f>
        <v>0</v>
      </c>
      <c r="P351" s="31">
        <f ca="1">N351*0.9</f>
        <v>0</v>
      </c>
      <c r="R351" s="174"/>
      <c r="S351" s="174"/>
      <c r="T351" s="4"/>
      <c r="U351" s="175">
        <f ca="1">I351</f>
        <v>3.29</v>
      </c>
      <c r="V351" s="175"/>
      <c r="W351" s="175">
        <f ca="1">H351*1.05</f>
        <v>1.7325</v>
      </c>
      <c r="X351" s="175">
        <f ca="1">W351*0.9</f>
        <v>1.55925</v>
      </c>
      <c r="Y351" s="176">
        <f ca="1">(U351-W351)/U351</f>
        <v>0.473404255319149</v>
      </c>
      <c r="Z351" s="184" t="e">
        <f ca="1">(V351-W351)/V351</f>
        <v>#DIV/0!</v>
      </c>
      <c r="AB351" s="4"/>
      <c r="AC351" s="4"/>
      <c r="AD351" s="4"/>
      <c r="AE351" s="4"/>
      <c r="AF351" s="4"/>
      <c r="AG351" s="4"/>
      <c r="AH351" s="4"/>
      <c r="AI351" s="4"/>
      <c r="AJ351" s="4"/>
    </row>
    <row r="352" spans="2:36" s="15" customFormat="1" customHeight="1">
      <c r="B352" s="129" t="s">
        <v>828</v>
      </c>
      <c r="C352" s="135" t="s">
        <v>829</v>
      </c>
      <c r="D352" s="137" t="s">
        <v>830</v>
      </c>
      <c r="E352" s="85" t="s">
        <v>266</v>
      </c>
      <c r="F352" s="132">
        <v>20</v>
      </c>
      <c r="G352" s="28">
        <f ca="1">H352*0.9</f>
        <v>2.475</v>
      </c>
      <c r="H352" s="133">
        <v>2.75</v>
      </c>
      <c r="I352" s="133">
        <v>5.49</v>
      </c>
      <c r="J352" s="133">
        <v>5.49</v>
      </c>
      <c r="K352" s="218"/>
      <c r="L352" s="14"/>
      <c r="M352" s="42"/>
      <c r="N352" s="31">
        <f ca="1">M352*0.78</f>
        <v>0</v>
      </c>
      <c r="O352" s="31">
        <f ca="1">N352/0.7</f>
        <v>0</v>
      </c>
      <c r="P352" s="31">
        <f ca="1">N352*0.9</f>
        <v>0</v>
      </c>
      <c r="R352" s="174"/>
      <c r="S352" s="174"/>
      <c r="T352" s="4"/>
      <c r="U352" s="175">
        <f ca="1">I352</f>
        <v>5.49</v>
      </c>
      <c r="V352" s="175"/>
      <c r="W352" s="175">
        <f ca="1">H352*1.05</f>
        <v>2.8875</v>
      </c>
      <c r="X352" s="175">
        <f ca="1">W352*0.9</f>
        <v>2.5987500000000003</v>
      </c>
      <c r="Y352" s="176">
        <f ca="1">(U352-W352)/U352</f>
        <v>0.4740437158469945</v>
      </c>
      <c r="Z352" s="184" t="e">
        <f ca="1">(V352-W352)/V352</f>
        <v>#DIV/0!</v>
      </c>
      <c r="AB352" s="4"/>
      <c r="AC352" s="4"/>
      <c r="AD352" s="4"/>
      <c r="AE352" s="4"/>
      <c r="AF352" s="4"/>
      <c r="AG352" s="4"/>
      <c r="AH352" s="4"/>
      <c r="AI352" s="4"/>
      <c r="AJ352" s="4"/>
    </row>
    <row r="353" spans="2:36" s="15" customFormat="1" customHeight="1">
      <c r="B353" s="129" t="s">
        <v>831</v>
      </c>
      <c r="C353" s="135" t="s">
        <v>832</v>
      </c>
      <c r="D353" s="137" t="s">
        <v>833</v>
      </c>
      <c r="E353" s="85" t="s">
        <v>266</v>
      </c>
      <c r="F353" s="132">
        <v>12</v>
      </c>
      <c r="G353" s="28">
        <f ca="1">H353*0.9</f>
        <v>5.4</v>
      </c>
      <c r="H353" s="133">
        <v>6</v>
      </c>
      <c r="I353" s="133">
        <v>11.99</v>
      </c>
      <c r="J353" s="133">
        <v>11.99</v>
      </c>
      <c r="K353" s="218"/>
      <c r="L353" s="14"/>
      <c r="M353" s="42"/>
      <c r="N353" s="31">
        <f ca="1">M353*0.78</f>
        <v>0</v>
      </c>
      <c r="O353" s="31">
        <f ca="1">N353/0.7</f>
        <v>0</v>
      </c>
      <c r="P353" s="31">
        <f ca="1">N353*0.9</f>
        <v>0</v>
      </c>
      <c r="R353" s="174"/>
      <c r="S353" s="174"/>
      <c r="T353" s="4"/>
      <c r="U353" s="175">
        <f ca="1">I353</f>
        <v>11.99</v>
      </c>
      <c r="V353" s="175"/>
      <c r="W353" s="175">
        <f ca="1">H353*1.05</f>
        <v>6.300000000000001</v>
      </c>
      <c r="X353" s="175">
        <f ca="1">W353*0.9</f>
        <v>5.670000000000001</v>
      </c>
      <c r="Y353" s="176">
        <f ca="1">(U353-W353)/U353</f>
        <v>0.47456213511259376</v>
      </c>
      <c r="Z353" s="184" t="e">
        <f ca="1">(V353-W353)/V353</f>
        <v>#DIV/0!</v>
      </c>
      <c r="AB353" s="4"/>
      <c r="AC353" s="4"/>
      <c r="AD353" s="4"/>
      <c r="AE353" s="4"/>
      <c r="AF353" s="4"/>
      <c r="AG353" s="4"/>
      <c r="AH353" s="4"/>
      <c r="AI353" s="4"/>
      <c r="AJ353" s="4"/>
    </row>
    <row r="354" spans="2:36" s="15" customFormat="1" customHeight="1">
      <c r="B354" s="129" t="s">
        <v>834</v>
      </c>
      <c r="C354" s="135" t="s">
        <v>835</v>
      </c>
      <c r="D354" s="137" t="s">
        <v>836</v>
      </c>
      <c r="E354" s="85" t="s">
        <v>266</v>
      </c>
      <c r="F354" s="132">
        <v>12</v>
      </c>
      <c r="G354" s="28">
        <f ca="1">H354*0.9</f>
        <v>2.7</v>
      </c>
      <c r="H354" s="133">
        <v>3</v>
      </c>
      <c r="I354" s="133">
        <v>5.99</v>
      </c>
      <c r="J354" s="133">
        <v>5.99</v>
      </c>
      <c r="K354" s="218"/>
      <c r="L354" s="14"/>
      <c r="M354" s="42"/>
      <c r="N354" s="31">
        <f ca="1">M354*0.78</f>
        <v>0</v>
      </c>
      <c r="O354" s="31">
        <f ca="1">N354/0.7</f>
        <v>0</v>
      </c>
      <c r="P354" s="31">
        <f ca="1">N354*0.9</f>
        <v>0</v>
      </c>
      <c r="R354" s="174"/>
      <c r="S354" s="174"/>
      <c r="T354" s="4"/>
      <c r="U354" s="175">
        <f ca="1">I354</f>
        <v>5.99</v>
      </c>
      <c r="V354" s="175"/>
      <c r="W354" s="175">
        <f ca="1">H354*1.05</f>
        <v>3.1500000000000004</v>
      </c>
      <c r="X354" s="175">
        <f ca="1">W354*0.9</f>
        <v>2.8350000000000004</v>
      </c>
      <c r="Y354" s="176">
        <f ca="1">(U354-W354)/U354</f>
        <v>0.47412353923205336</v>
      </c>
      <c r="Z354" s="184" t="e">
        <f ca="1">(V354-W354)/V354</f>
        <v>#DIV/0!</v>
      </c>
      <c r="AB354" s="4"/>
      <c r="AC354" s="4"/>
      <c r="AD354" s="4"/>
      <c r="AE354" s="4"/>
      <c r="AF354" s="4"/>
      <c r="AG354" s="4"/>
      <c r="AH354" s="4"/>
      <c r="AI354" s="4"/>
      <c r="AJ354" s="4"/>
    </row>
    <row r="355" spans="2:36" s="15" customFormat="1" customHeight="1">
      <c r="B355" s="153" t="s">
        <v>837</v>
      </c>
      <c r="C355" s="135" t="s">
        <v>838</v>
      </c>
      <c r="D355" s="136" t="s">
        <v>839</v>
      </c>
      <c r="E355" s="85" t="s">
        <v>266</v>
      </c>
      <c r="F355" s="132">
        <v>12</v>
      </c>
      <c r="G355" s="28">
        <f ca="1">H355*0.9</f>
        <v>3.6</v>
      </c>
      <c r="H355" s="133">
        <v>4</v>
      </c>
      <c r="I355" s="133">
        <v>7.99</v>
      </c>
      <c r="J355" s="133">
        <v>7.99</v>
      </c>
      <c r="K355" s="218"/>
      <c r="L355" s="14"/>
      <c r="M355" s="42"/>
      <c r="N355" s="31">
        <f ca="1">M355*0.78</f>
        <v>0</v>
      </c>
      <c r="O355" s="31">
        <f ca="1">N355/0.7</f>
        <v>0</v>
      </c>
      <c r="P355" s="31">
        <f ca="1">N355*0.9</f>
        <v>0</v>
      </c>
      <c r="R355" s="174"/>
      <c r="S355" s="174"/>
      <c r="T355" s="4"/>
      <c r="U355" s="175">
        <f ca="1">I355</f>
        <v>7.99</v>
      </c>
      <c r="V355" s="175"/>
      <c r="W355" s="175">
        <f ca="1">H355*1.05</f>
        <v>4.2</v>
      </c>
      <c r="X355" s="175">
        <f ca="1">W355*0.9</f>
        <v>3.7800000000000002</v>
      </c>
      <c r="Y355" s="176">
        <f ca="1">(U355-W355)/U355</f>
        <v>0.474342928660826</v>
      </c>
      <c r="Z355" s="184" t="e">
        <f ca="1">(V355-W355)/V355</f>
        <v>#DIV/0!</v>
      </c>
      <c r="AB355" s="4"/>
      <c r="AC355" s="4"/>
      <c r="AD355" s="4"/>
      <c r="AE355" s="4"/>
      <c r="AF355" s="4"/>
      <c r="AG355" s="4"/>
      <c r="AH355" s="4"/>
      <c r="AI355" s="4"/>
      <c r="AJ355" s="4"/>
    </row>
    <row r="356" spans="2:36" s="15" customFormat="1" customHeight="1">
      <c r="B356" s="153" t="s">
        <v>840</v>
      </c>
      <c r="C356" s="135" t="s">
        <v>841</v>
      </c>
      <c r="D356" s="136" t="s">
        <v>842</v>
      </c>
      <c r="E356" s="85" t="s">
        <v>266</v>
      </c>
      <c r="F356" s="132">
        <v>12</v>
      </c>
      <c r="G356" s="28">
        <f ca="1">H356*0.9</f>
        <v>3.6</v>
      </c>
      <c r="H356" s="133">
        <v>4</v>
      </c>
      <c r="I356" s="133">
        <v>7.99</v>
      </c>
      <c r="J356" s="133">
        <v>7.99</v>
      </c>
      <c r="K356" s="218"/>
      <c r="L356" s="14"/>
      <c r="M356" s="42"/>
      <c r="N356" s="31">
        <f ca="1">M356*0.78</f>
        <v>0</v>
      </c>
      <c r="O356" s="31">
        <f ca="1">N356/0.7</f>
        <v>0</v>
      </c>
      <c r="P356" s="31">
        <f ca="1">N356*0.9</f>
        <v>0</v>
      </c>
      <c r="R356" s="174"/>
      <c r="S356" s="174"/>
      <c r="T356" s="4"/>
      <c r="U356" s="175">
        <f ca="1">I356</f>
        <v>7.99</v>
      </c>
      <c r="V356" s="175"/>
      <c r="W356" s="175">
        <f ca="1">H356*1.05</f>
        <v>4.2</v>
      </c>
      <c r="X356" s="175">
        <f ca="1">W356*0.9</f>
        <v>3.7800000000000002</v>
      </c>
      <c r="Y356" s="176">
        <f ca="1">(U356-W356)/U356</f>
        <v>0.474342928660826</v>
      </c>
      <c r="Z356" s="184" t="e">
        <f ca="1">(V356-W356)/V356</f>
        <v>#DIV/0!</v>
      </c>
      <c r="AB356" s="4"/>
      <c r="AC356" s="4"/>
      <c r="AD356" s="4"/>
      <c r="AE356" s="4"/>
      <c r="AF356" s="4"/>
      <c r="AG356" s="4"/>
      <c r="AH356" s="4"/>
      <c r="AI356" s="4"/>
      <c r="AJ356" s="4"/>
    </row>
    <row r="357" spans="2:36" s="15" customFormat="1" customHeight="1">
      <c r="B357" s="129" t="s">
        <v>843</v>
      </c>
      <c r="C357" s="135" t="s">
        <v>844</v>
      </c>
      <c r="D357" s="154" t="s">
        <v>845</v>
      </c>
      <c r="E357" s="85" t="s">
        <v>266</v>
      </c>
      <c r="F357" s="132">
        <v>12</v>
      </c>
      <c r="G357" s="28">
        <f ca="1">H357*0.9</f>
        <v>4.95</v>
      </c>
      <c r="H357" s="133">
        <v>5.5</v>
      </c>
      <c r="I357" s="133">
        <v>10.99</v>
      </c>
      <c r="J357" s="133">
        <v>10.99</v>
      </c>
      <c r="K357" s="218"/>
      <c r="L357" s="14"/>
      <c r="M357" s="42"/>
      <c r="N357" s="31">
        <f ca="1">M357*0.78</f>
        <v>0</v>
      </c>
      <c r="O357" s="31">
        <f ca="1">N357/0.7</f>
        <v>0</v>
      </c>
      <c r="P357" s="31">
        <f ca="1">N357*0.9</f>
        <v>0</v>
      </c>
      <c r="R357" s="174"/>
      <c r="S357" s="174"/>
      <c r="T357" s="4"/>
      <c r="U357" s="175">
        <f ca="1">I357</f>
        <v>10.99</v>
      </c>
      <c r="V357" s="175"/>
      <c r="W357" s="175">
        <f ca="1">H357*1.05</f>
        <v>5.775</v>
      </c>
      <c r="X357" s="175">
        <f ca="1">W357*0.9</f>
        <v>5.197500000000001</v>
      </c>
      <c r="Y357" s="176">
        <f ca="1">(U357-W357)/U357</f>
        <v>0.4745222929936305</v>
      </c>
      <c r="Z357" s="184" t="e">
        <f ca="1">(V357-W357)/V357</f>
        <v>#DIV/0!</v>
      </c>
      <c r="AB357" s="4"/>
      <c r="AC357" s="4"/>
      <c r="AD357" s="4"/>
      <c r="AE357" s="4"/>
      <c r="AF357" s="4"/>
      <c r="AG357" s="4"/>
      <c r="AH357" s="4"/>
      <c r="AI357" s="4"/>
      <c r="AJ357" s="4"/>
    </row>
    <row r="358" spans="2:36" s="15" customFormat="1" customHeight="1">
      <c r="B358" s="132"/>
      <c r="C358" s="155"/>
      <c r="D358" s="129"/>
      <c r="E358" s="132"/>
      <c r="F358" s="156"/>
      <c r="G358" s="157"/>
      <c r="H358" s="157"/>
      <c r="I358" s="157"/>
      <c r="J358" s="157"/>
      <c r="K358" s="105"/>
      <c r="L358" s="14"/>
      <c r="M358" s="42"/>
      <c r="N358" s="31"/>
      <c r="O358" s="31"/>
      <c r="P358" s="31"/>
      <c r="R358" s="174"/>
      <c r="S358" s="174"/>
      <c r="T358" s="4"/>
      <c r="U358" s="175"/>
      <c r="V358" s="175"/>
      <c r="W358" s="175"/>
      <c r="X358" s="175"/>
      <c r="Y358" s="176"/>
      <c r="Z358" s="184"/>
      <c r="AB358" s="4"/>
      <c r="AC358" s="4"/>
      <c r="AD358" s="4"/>
      <c r="AE358" s="4"/>
      <c r="AF358" s="4"/>
      <c r="AG358" s="4"/>
      <c r="AH358" s="4"/>
      <c r="AI358" s="4"/>
      <c r="AJ358" s="4"/>
    </row>
    <row r="359" spans="2:36" s="15" customFormat="1" ht="24" customHeight="1">
      <c r="B359" s="106"/>
      <c r="C359" s="107" t="s">
        <v>846</v>
      </c>
      <c r="D359" s="119"/>
      <c r="E359" s="119"/>
      <c r="F359" s="119"/>
      <c r="G359" s="119"/>
      <c r="H359" s="119"/>
      <c r="I359" s="120"/>
      <c r="J359" s="120"/>
      <c r="K359" s="211"/>
      <c r="L359" s="14"/>
      <c r="M359" s="42"/>
      <c r="N359" s="31"/>
      <c r="O359" s="31"/>
      <c r="P359" s="31"/>
      <c r="R359" s="174"/>
      <c r="S359" s="174"/>
      <c r="T359" s="4"/>
      <c r="U359" s="175"/>
      <c r="V359" s="175"/>
      <c r="W359" s="175"/>
      <c r="X359" s="175"/>
      <c r="Y359" s="176"/>
      <c r="Z359" s="184"/>
      <c r="AB359" s="4"/>
      <c r="AC359" s="4"/>
      <c r="AD359" s="4"/>
      <c r="AE359" s="4"/>
      <c r="AF359" s="4"/>
      <c r="AG359" s="4"/>
      <c r="AH359" s="4"/>
      <c r="AI359" s="4"/>
      <c r="AJ359" s="4"/>
    </row>
    <row r="360" spans="2:36" s="15" customFormat="1" customHeight="1">
      <c r="B360" s="312" t="s">
        <v>847</v>
      </c>
      <c r="C360" s="310"/>
      <c r="D360" s="109"/>
      <c r="E360" s="109"/>
      <c r="F360" s="109"/>
      <c r="G360" s="110"/>
      <c r="H360" s="110"/>
      <c r="I360" s="23"/>
      <c r="J360" s="23"/>
      <c r="K360" s="212"/>
      <c r="L360" s="14"/>
      <c r="M360" s="42"/>
      <c r="N360" s="31"/>
      <c r="O360" s="31"/>
      <c r="P360" s="31"/>
      <c r="R360" s="174"/>
      <c r="S360" s="174"/>
      <c r="T360" s="4"/>
      <c r="U360" s="175"/>
      <c r="V360" s="175"/>
      <c r="W360" s="175"/>
      <c r="X360" s="175"/>
      <c r="Y360" s="176"/>
      <c r="Z360" s="184"/>
      <c r="AB360" s="4"/>
      <c r="AC360" s="4"/>
      <c r="AD360" s="4"/>
      <c r="AE360" s="4"/>
      <c r="AF360" s="4"/>
      <c r="AG360" s="4"/>
      <c r="AH360" s="4"/>
      <c r="AI360" s="4"/>
      <c r="AJ360" s="4"/>
    </row>
    <row r="361" spans="2:36" s="15" customFormat="1" customHeight="1">
      <c r="B361" s="158">
        <v>47998</v>
      </c>
      <c r="C361" s="159" t="s">
        <v>848</v>
      </c>
      <c r="D361" s="158">
        <v>479985</v>
      </c>
      <c r="E361" s="68">
        <v>4</v>
      </c>
      <c r="F361" s="68">
        <v>48</v>
      </c>
      <c r="G361" s="28">
        <f ca="1">H361*0.9</f>
        <v>4.905</v>
      </c>
      <c r="H361" s="28">
        <v>5.45</v>
      </c>
      <c r="I361" s="28">
        <v>14.99</v>
      </c>
      <c r="J361" s="28">
        <v>14.99</v>
      </c>
      <c r="K361" s="118"/>
      <c r="L361" s="29">
        <f ca="1">(J361/I361)-1</f>
        <v>0</v>
      </c>
      <c r="M361" s="160">
        <v>6.99</v>
      </c>
      <c r="N361" s="31">
        <f ca="1">M361*0.78</f>
        <v>5.4522</v>
      </c>
      <c r="O361" s="31">
        <f ca="1">N361/0.7</f>
        <v>7.788857142857144</v>
      </c>
      <c r="P361" s="31">
        <f ca="1">N361*0.9</f>
        <v>4.906980000000001</v>
      </c>
      <c r="R361" s="174"/>
      <c r="S361" s="174"/>
      <c r="T361" s="4"/>
      <c r="U361" s="175">
        <f ca="1">I361</f>
        <v>14.99</v>
      </c>
      <c r="V361" s="175"/>
      <c r="W361" s="175">
        <f ca="1">H361*1.05</f>
        <v>5.7225</v>
      </c>
      <c r="X361" s="175">
        <f ca="1">W361*0.9</f>
        <v>5.150250000000001</v>
      </c>
      <c r="Y361" s="176">
        <f ca="1">(U361-W361)/U361</f>
        <v>0.6182454969979987</v>
      </c>
      <c r="Z361" s="184" t="e">
        <f ca="1">(V361-W361)/V361</f>
        <v>#DIV/0!</v>
      </c>
      <c r="AB361" s="4"/>
      <c r="AC361" s="4"/>
      <c r="AD361" s="4"/>
      <c r="AE361" s="4"/>
      <c r="AF361" s="4"/>
      <c r="AG361" s="4"/>
      <c r="AH361" s="4"/>
      <c r="AI361" s="4"/>
      <c r="AJ361" s="4"/>
    </row>
    <row r="362" spans="2:36" s="15" customFormat="1" customHeight="1">
      <c r="B362" s="25">
        <v>75112</v>
      </c>
      <c r="C362" s="26" t="s">
        <v>849</v>
      </c>
      <c r="D362" s="158">
        <v>751121</v>
      </c>
      <c r="E362" s="161">
        <v>1</v>
      </c>
      <c r="F362" s="162">
        <v>180</v>
      </c>
      <c r="G362" s="28">
        <f ca="1">H362*0.9</f>
        <v>17.982</v>
      </c>
      <c r="H362" s="163">
        <v>19.98</v>
      </c>
      <c r="I362" s="163">
        <v>34.99</v>
      </c>
      <c r="J362" s="163">
        <v>39.99</v>
      </c>
      <c r="K362" s="221"/>
      <c r="L362" s="29">
        <f ca="1">(J362/I362)-1</f>
        <v>0.14289797084881384</v>
      </c>
      <c r="M362" s="38">
        <v>25.99</v>
      </c>
      <c r="N362" s="31">
        <f ca="1">M362*0.78</f>
        <v>20.272199999999998</v>
      </c>
      <c r="O362" s="31">
        <f ca="1">N362/0.7</f>
        <v>28.960285714285714</v>
      </c>
      <c r="P362" s="31">
        <f ca="1">N362*0.9</f>
        <v>18.244979999999998</v>
      </c>
      <c r="R362" s="174"/>
      <c r="S362" s="174"/>
      <c r="T362" s="4"/>
      <c r="U362" s="175">
        <f ca="1">I362</f>
        <v>34.99</v>
      </c>
      <c r="V362" s="175"/>
      <c r="W362" s="175">
        <f ca="1">H362*1.05</f>
        <v>20.979000000000003</v>
      </c>
      <c r="X362" s="175">
        <f ca="1">W362*0.9</f>
        <v>18.881100000000004</v>
      </c>
      <c r="Y362" s="176">
        <f ca="1">(U362-W362)/U362</f>
        <v>0.4004286939125464</v>
      </c>
      <c r="Z362" s="184" t="e">
        <f ca="1">(V362-W362)/V362</f>
        <v>#DIV/0!</v>
      </c>
      <c r="AB362" s="4"/>
      <c r="AC362" s="4"/>
      <c r="AD362" s="4"/>
      <c r="AE362" s="4"/>
      <c r="AF362" s="4"/>
      <c r="AG362" s="4"/>
      <c r="AH362" s="4"/>
      <c r="AI362" s="4"/>
      <c r="AJ362" s="4"/>
    </row>
    <row r="363" spans="2:36" s="15" customFormat="1" customHeight="1">
      <c r="B363" s="25">
        <v>75114</v>
      </c>
      <c r="C363" s="26" t="s">
        <v>850</v>
      </c>
      <c r="D363" s="158">
        <v>751145</v>
      </c>
      <c r="E363" s="161">
        <v>1</v>
      </c>
      <c r="F363" s="162">
        <v>120</v>
      </c>
      <c r="G363" s="28">
        <f ca="1">H363*0.9</f>
        <v>34.011</v>
      </c>
      <c r="H363" s="163">
        <v>37.79</v>
      </c>
      <c r="I363" s="163">
        <v>69.99</v>
      </c>
      <c r="J363" s="163">
        <v>69.99</v>
      </c>
      <c r="K363" s="221"/>
      <c r="L363" s="29">
        <f ca="1">(J363/I363)-1</f>
        <v>0</v>
      </c>
      <c r="M363" s="38">
        <v>48.99</v>
      </c>
      <c r="N363" s="31">
        <f ca="1">M363*0.78</f>
        <v>38.2122</v>
      </c>
      <c r="O363" s="31">
        <f ca="1">N363/0.7</f>
        <v>54.58885714285715</v>
      </c>
      <c r="P363" s="31">
        <f ca="1">N363*0.9</f>
        <v>34.390980000000006</v>
      </c>
      <c r="R363" s="174"/>
      <c r="S363" s="174"/>
      <c r="T363" s="4"/>
      <c r="U363" s="175">
        <f ca="1">I363</f>
        <v>69.99</v>
      </c>
      <c r="V363" s="175"/>
      <c r="W363" s="175">
        <f ca="1">H363*1.05</f>
        <v>39.6795</v>
      </c>
      <c r="X363" s="175">
        <f ca="1">W363*0.9</f>
        <v>35.711549999999995</v>
      </c>
      <c r="Y363" s="176">
        <f ca="1">(U363-W363)/U363</f>
        <v>0.43306900985855123</v>
      </c>
      <c r="Z363" s="184" t="e">
        <f ca="1">(V363-W363)/V363</f>
        <v>#DIV/0!</v>
      </c>
      <c r="AB363" s="4"/>
      <c r="AC363" s="4"/>
      <c r="AD363" s="4"/>
      <c r="AE363" s="4"/>
      <c r="AF363" s="4"/>
      <c r="AG363" s="4"/>
      <c r="AH363" s="4"/>
      <c r="AI363" s="4"/>
      <c r="AJ363" s="4"/>
    </row>
    <row r="364" spans="2:36" s="15" customFormat="1" customHeight="1">
      <c r="B364" s="25">
        <v>5998</v>
      </c>
      <c r="C364" s="164" t="s">
        <v>851</v>
      </c>
      <c r="D364" s="25">
        <v>59986</v>
      </c>
      <c r="E364" s="68">
        <v>1</v>
      </c>
      <c r="F364" s="68">
        <v>30</v>
      </c>
      <c r="G364" s="28">
        <f ca="1">H364*0.9</f>
        <v>51.516000000000005</v>
      </c>
      <c r="H364" s="28">
        <v>57.24</v>
      </c>
      <c r="I364" s="28">
        <v>119.99</v>
      </c>
      <c r="J364" s="28">
        <v>119.99</v>
      </c>
      <c r="K364" s="118"/>
      <c r="L364" s="29">
        <f ca="1">(J364/I364)-1</f>
        <v>0</v>
      </c>
      <c r="M364" s="38">
        <v>73.99</v>
      </c>
      <c r="N364" s="31">
        <f ca="1">M364*0.78</f>
        <v>57.712199999999996</v>
      </c>
      <c r="O364" s="31">
        <f ca="1">N364/0.7</f>
        <v>82.446</v>
      </c>
      <c r="P364" s="31">
        <f ca="1">N364*0.9</f>
        <v>51.940979999999996</v>
      </c>
      <c r="R364" s="174"/>
      <c r="S364" s="174"/>
      <c r="T364" s="4"/>
      <c r="U364" s="175">
        <f ca="1">I364</f>
        <v>119.99</v>
      </c>
      <c r="V364" s="175"/>
      <c r="W364" s="175">
        <f ca="1">H364*1.05</f>
        <v>60.102000000000004</v>
      </c>
      <c r="X364" s="175">
        <f ca="1">W364*0.9</f>
        <v>54.091800000000006</v>
      </c>
      <c r="Y364" s="176">
        <f ca="1">(U364-W364)/U364</f>
        <v>0.49910825902158507</v>
      </c>
      <c r="Z364" s="184" t="e">
        <f ca="1">(V364-W364)/V364</f>
        <v>#DIV/0!</v>
      </c>
      <c r="AB364" s="4"/>
      <c r="AC364" s="4"/>
      <c r="AD364" s="4"/>
      <c r="AE364" s="4"/>
      <c r="AF364" s="4"/>
      <c r="AG364" s="4"/>
      <c r="AH364" s="4"/>
      <c r="AI364" s="4"/>
      <c r="AJ364" s="4"/>
    </row>
    <row r="365" spans="2:36" s="15" customFormat="1" customHeight="1">
      <c r="B365" s="165"/>
      <c r="C365" s="166"/>
      <c r="D365" s="165"/>
      <c r="E365" s="167"/>
      <c r="F365" s="167"/>
      <c r="G365" s="168"/>
      <c r="H365" s="168"/>
      <c r="I365" s="168"/>
      <c r="J365" s="168"/>
      <c r="K365" s="222"/>
      <c r="L365" s="14"/>
      <c r="M365" s="42"/>
      <c r="N365" s="31"/>
      <c r="O365" s="31"/>
      <c r="P365" s="31"/>
      <c r="R365" s="174"/>
      <c r="S365" s="174"/>
      <c r="T365" s="4"/>
      <c r="U365" s="175"/>
      <c r="V365" s="175"/>
      <c r="W365" s="175"/>
      <c r="X365" s="175"/>
      <c r="Y365" s="176"/>
      <c r="Z365" s="184"/>
      <c r="AB365" s="4"/>
      <c r="AC365" s="4"/>
      <c r="AD365" s="4"/>
      <c r="AE365" s="4"/>
      <c r="AF365" s="4"/>
      <c r="AG365" s="4"/>
      <c r="AH365" s="4"/>
      <c r="AI365" s="4"/>
      <c r="AJ365" s="4"/>
    </row>
    <row r="366" spans="2:36" s="15" customFormat="1" customHeight="1">
      <c r="B366" s="312" t="s">
        <v>852</v>
      </c>
      <c r="C366" s="310"/>
      <c r="D366" s="169"/>
      <c r="E366" s="169"/>
      <c r="F366" s="169"/>
      <c r="G366" s="170"/>
      <c r="H366" s="170"/>
      <c r="I366" s="171"/>
      <c r="J366" s="171"/>
      <c r="K366" s="223"/>
      <c r="L366" s="14"/>
      <c r="M366" s="42"/>
      <c r="N366" s="31"/>
      <c r="O366" s="31"/>
      <c r="P366" s="31"/>
      <c r="R366" s="174"/>
      <c r="S366" s="174"/>
      <c r="T366" s="4"/>
      <c r="U366" s="175"/>
      <c r="V366" s="175"/>
      <c r="W366" s="175"/>
      <c r="X366" s="175"/>
      <c r="Y366" s="176"/>
      <c r="Z366" s="184"/>
      <c r="AB366" s="4"/>
      <c r="AC366" s="4"/>
      <c r="AD366" s="4"/>
      <c r="AE366" s="4"/>
      <c r="AF366" s="4"/>
      <c r="AG366" s="4"/>
      <c r="AH366" s="4"/>
      <c r="AI366" s="4"/>
      <c r="AJ366" s="4"/>
    </row>
    <row r="367" spans="2:36" s="15" customFormat="1" customHeight="1">
      <c r="B367" s="25">
        <v>78005</v>
      </c>
      <c r="C367" s="159" t="s">
        <v>853</v>
      </c>
      <c r="D367" s="25">
        <v>780050</v>
      </c>
      <c r="E367" s="68">
        <v>1</v>
      </c>
      <c r="F367" s="68">
        <v>45</v>
      </c>
      <c r="G367" s="28">
        <f ca="1">H367*0.9</f>
        <v>15.732000000000001</v>
      </c>
      <c r="H367" s="28">
        <v>17.48</v>
      </c>
      <c r="I367" s="28">
        <v>34.99</v>
      </c>
      <c r="J367" s="28">
        <v>34.99</v>
      </c>
      <c r="K367" s="118"/>
      <c r="L367" s="29">
        <f ca="1">(J367/I367)-1</f>
        <v>0</v>
      </c>
      <c r="M367" s="38">
        <v>22.99</v>
      </c>
      <c r="N367" s="31">
        <f ca="1">M367*0.78</f>
        <v>17.932199999999998</v>
      </c>
      <c r="O367" s="31">
        <f ca="1">N367/0.7</f>
        <v>25.61742857142857</v>
      </c>
      <c r="P367" s="31">
        <f ca="1">N367*0.9</f>
        <v>16.13898</v>
      </c>
      <c r="R367" s="174"/>
      <c r="S367" s="174"/>
      <c r="T367" s="4"/>
      <c r="U367" s="175">
        <f ca="1">I367</f>
        <v>34.99</v>
      </c>
      <c r="V367" s="175"/>
      <c r="W367" s="175">
        <f ca="1">H367*1.05</f>
        <v>18.354000000000003</v>
      </c>
      <c r="X367" s="175">
        <f ca="1">W367*0.9</f>
        <v>16.518600000000003</v>
      </c>
      <c r="Y367" s="176">
        <f ca="1">(U367-W367)/U367</f>
        <v>0.4754501286081737</v>
      </c>
      <c r="Z367" s="184" t="e">
        <f ca="1">(V367-W367)/V367</f>
        <v>#DIV/0!</v>
      </c>
      <c r="AB367" s="4"/>
      <c r="AC367" s="4"/>
      <c r="AD367" s="4"/>
      <c r="AE367" s="4"/>
      <c r="AF367" s="4"/>
      <c r="AG367" s="4"/>
      <c r="AH367" s="4"/>
      <c r="AI367" s="4"/>
      <c r="AJ367" s="4"/>
    </row>
  </sheetData>
  <mergeCells count="25">
    <mergeCell ref="B107:C107"/>
    <mergeCell ref="B360:C360"/>
    <mergeCell ref="B366:C366"/>
    <mergeCell ref="B202:C202"/>
    <mergeCell ref="B207:C207"/>
    <mergeCell ref="B210:C210"/>
    <mergeCell ref="B219:C219"/>
    <mergeCell ref="B226:C226"/>
    <mergeCell ref="B235:C235"/>
    <mergeCell ref="W1:X1"/>
    <mergeCell ref="B241:C241"/>
    <mergeCell ref="B263:C263"/>
    <mergeCell ref="B269:C269"/>
    <mergeCell ref="B291:C291"/>
    <mergeCell ref="B139:C139"/>
    <mergeCell ref="B148:C148"/>
    <mergeCell ref="B153:C153"/>
    <mergeCell ref="B163:C163"/>
    <mergeCell ref="B181:C181"/>
    <mergeCell ref="B188:C188"/>
    <mergeCell ref="B4:C4"/>
    <mergeCell ref="B36:C36"/>
    <mergeCell ref="B62:C62"/>
    <mergeCell ref="B68:C68"/>
    <mergeCell ref="B78:C78"/>
  </mergeCells>
  <pageMargins left="0.7" right="0.7" top="0.75" bottom="0.75" header="0.3" footer="0.3"/>
  <pageSetup orientation="portrait"/>
  <headerFooter scaleWithDoc="1" alignWithMargins="0" differentFirst="0" differentOddEven="0"/>
  <ignoredErrors>
    <ignoredError sqref="W157" formula="1"/>
    <ignoredError sqref="B27" numberStoredAsText="1"/>
  </ignoredErrors>
  <drawing r:id="rId2"/>
  <extLst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DiFilippo, Nicholas</dc:creator>
  <cp:lastModifiedBy>William Littleboy</cp:lastModifiedBy>
  <dcterms:created xsi:type="dcterms:W3CDTF">2025-02-03T17:24:08Z</dcterms:created>
  <dcterms:modified xsi:type="dcterms:W3CDTF">2025-08-14T16:12:44Z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SS Version">
    <vt:lpstr>22.2</vt:lpstr>
  </property>
</Properties>
</file>